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. CAPA" sheetId="1" state="visible" r:id="rId3"/>
    <sheet name="1. PREMISSAS" sheetId="2" state="visible" r:id="rId4"/>
    <sheet name="2. DRE" sheetId="3" state="visible" r:id="rId5"/>
    <sheet name="3. BALANÇO" sheetId="4" state="visible" r:id="rId6"/>
    <sheet name="4. FLUXO" sheetId="5" state="visible" r:id="rId7"/>
    <sheet name="5. WACC" sheetId="6" state="visible" r:id="rId8"/>
    <sheet name="6. DCF" sheetId="7" state="visible" r:id="rId9"/>
    <sheet name="7. MÚLTIPLOS" sheetId="8" state="visible" r:id="rId10"/>
    <sheet name="8. OFERTA" sheetId="9" state="visible" r:id="rId11"/>
    <sheet name="9. RETORNO" sheetId="10" state="visible" r:id="rId12"/>
    <sheet name="10. SENSIBILIDADE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<sst xmlns="http://schemas.openxmlformats.org/spreadsheetml/2006/main" count="563" uniqueCount="483">
  <si>
    <t xml:space="preserve">MODELO DE ANÁLISE ECM — EQUITY CAPITAL MARKETS</t>
  </si>
  <si>
    <t xml:space="preserve">Investment Banking | Área de Equity Capital Markets</t>
  </si>
  <si>
    <t xml:space="preserve">EMPRESA ANALISADA</t>
  </si>
  <si>
    <t xml:space="preserve">SETOR / SEGMENTO</t>
  </si>
  <si>
    <t xml:space="preserve">DATA DA ANÁLISE</t>
  </si>
  <si>
    <t xml:space="preserve">ANALISTA RESPONSÁVEL</t>
  </si>
  <si>
    <t xml:space="preserve">APROVADO POR (MD/Director)</t>
  </si>
  <si>
    <t xml:space="preserve">VERSÃO DO MODELO</t>
  </si>
  <si>
    <t xml:space="preserve">v1.0</t>
  </si>
  <si>
    <t xml:space="preserve">STATUS</t>
  </si>
  <si>
    <t xml:space="preserve">DRAFT</t>
  </si>
  <si>
    <t xml:space="preserve">ÍNDICE DO MODELO</t>
  </si>
  <si>
    <t xml:space="preserve">0. CAPA</t>
  </si>
  <si>
    <t xml:space="preserve">Identificação e índice do modelo</t>
  </si>
  <si>
    <t xml:space="preserve">1. PREMISSAS</t>
  </si>
  <si>
    <t xml:space="preserve">Macro (CDI, IPCA, PIB, câmbio) e operacionais (crescimento, margens, CAPEX)</t>
  </si>
  <si>
    <t xml:space="preserve">2. DRE</t>
  </si>
  <si>
    <t xml:space="preserve">Demonstração de Resultado: histórico 2021-2024 + projeções 2025-2029</t>
  </si>
  <si>
    <t xml:space="preserve">3. BALANÇO</t>
  </si>
  <si>
    <t xml:space="preserve">Balanço patrimonial projetado — NCG, capital investido, ROIC, ROE</t>
  </si>
  <si>
    <t xml:space="preserve">4. FLUXO</t>
  </si>
  <si>
    <t xml:space="preserve">FCO, FCFF, FCFE — índices de qualidade de caixa</t>
  </si>
  <si>
    <t xml:space="preserve">5. WACC</t>
  </si>
  <si>
    <t xml:space="preserve">Custo de capital (CAPM) + sensibilidade beta x ERP</t>
  </si>
  <si>
    <t xml:space="preserve">6. DCF</t>
  </si>
  <si>
    <t xml:space="preserve">Valuation por fluxo de caixa descontado — Gordon Growth + Exit Multiple</t>
  </si>
  <si>
    <t xml:space="preserve">7. MÚLTIPLOS</t>
  </si>
  <si>
    <t xml:space="preserve">Peer group (8 empresas) + transações precedentes</t>
  </si>
  <si>
    <t xml:space="preserve">8. OFERTA</t>
  </si>
  <si>
    <t xml:space="preserve">Simulador da oferta — primária/secundária, diluição, greenshoe, fees</t>
  </si>
  <si>
    <t xml:space="preserve">9. RETORNO</t>
  </si>
  <si>
    <t xml:space="preserve">TSR, EPS accretion/dilution, dividendos, buyback</t>
  </si>
  <si>
    <t xml:space="preserve">10. SENSIBILIDADE</t>
  </si>
  <si>
    <t xml:space="preserve">Análise de cenários e tabelas de sensibilidade bidimensional</t>
  </si>
  <si>
    <t xml:space="preserve">CONVENÇÃO DE CORES</t>
  </si>
  <si>
    <t xml:space="preserve">Texto nesta cor</t>
  </si>
  <si>
    <t xml:space="preserve">Inputs / Premissas (hardcoded — usuário pode alterar)</t>
  </si>
  <si>
    <t xml:space="preserve">Fórmulas e cálculos automáticos</t>
  </si>
  <si>
    <t xml:space="preserve">Links para outras abas</t>
  </si>
  <si>
    <t xml:space="preserve">Links externos / alertas</t>
  </si>
  <si>
    <t xml:space="preserve">1. PREMISSAS MACROECONÔMICAS E OPERACIONAIS — ECM</t>
  </si>
  <si>
    <t xml:space="preserve">LINHA / PREMISSA</t>
  </si>
  <si>
    <t xml:space="preserve">UNID.</t>
  </si>
  <si>
    <t xml:space="preserve">NOTA / FONTE</t>
  </si>
  <si>
    <t xml:space="preserve">2021A</t>
  </si>
  <si>
    <t xml:space="preserve">2022A</t>
  </si>
  <si>
    <t xml:space="preserve">2023A</t>
  </si>
  <si>
    <t xml:space="preserve">2024A</t>
  </si>
  <si>
    <t xml:space="preserve">2025E</t>
  </si>
  <si>
    <t xml:space="preserve">2026E</t>
  </si>
  <si>
    <t xml:space="preserve">2027E</t>
  </si>
  <si>
    <t xml:space="preserve">2028E</t>
  </si>
  <si>
    <t xml:space="preserve">2029E</t>
  </si>
  <si>
    <t xml:space="preserve">PREMISSAS MACROECONÔMICAS</t>
  </si>
  <si>
    <t xml:space="preserve">CDI (% a.a.)</t>
  </si>
  <si>
    <t xml:space="preserve">%</t>
  </si>
  <si>
    <t xml:space="preserve">Fonte: Focus/BACEN</t>
  </si>
  <si>
    <t xml:space="preserve">IPCA (% a.a.)</t>
  </si>
  <si>
    <t xml:space="preserve">PIB Real (% a.a.)</t>
  </si>
  <si>
    <t xml:space="preserve">USD/BRL (fim de ano)</t>
  </si>
  <si>
    <t xml:space="preserve">R$</t>
  </si>
  <si>
    <t xml:space="preserve">Cotação fim de período</t>
  </si>
  <si>
    <t xml:space="preserve">Selic Meta (fim ano)</t>
  </si>
  <si>
    <t xml:space="preserve">Fonte: Copom/BACEN</t>
  </si>
  <si>
    <t xml:space="preserve">PREMISSAS DE RECEITA E MARGENS</t>
  </si>
  <si>
    <t xml:space="preserve">Crescimento Receita Líq. (% a.a.)</t>
  </si>
  <si>
    <t xml:space="preserve">Premissa central de crescimento</t>
  </si>
  <si>
    <t xml:space="preserve">-</t>
  </si>
  <si>
    <t xml:space="preserve">Margem Bruta (%)</t>
  </si>
  <si>
    <t xml:space="preserve">% sobre Receita Líquida</t>
  </si>
  <si>
    <t xml:space="preserve">Margem EBITDA (%)</t>
  </si>
  <si>
    <t xml:space="preserve">Margem EBIT (%)</t>
  </si>
  <si>
    <t xml:space="preserve">Antes de IR/CS</t>
  </si>
  <si>
    <t xml:space="preserve">Margem Líquida (%)</t>
  </si>
  <si>
    <t xml:space="preserve">Lucro Líquido / Receita</t>
  </si>
  <si>
    <t xml:space="preserve">CAPEX, CAPITAL DE GIRO E FINANCIAMENTO</t>
  </si>
  <si>
    <t xml:space="preserve">CAPEX / Receita Líquida (%)</t>
  </si>
  <si>
    <t xml:space="preserve">Investimentos / RL</t>
  </si>
  <si>
    <t xml:space="preserve">Dias de Contas a Receber</t>
  </si>
  <si>
    <t xml:space="preserve">dias</t>
  </si>
  <si>
    <t xml:space="preserve">PMR</t>
  </si>
  <si>
    <t xml:space="preserve">Dias de Estoques</t>
  </si>
  <si>
    <t xml:space="preserve">PME</t>
  </si>
  <si>
    <t xml:space="preserve">Dias de Fornecedores</t>
  </si>
  <si>
    <t xml:space="preserve">PMP</t>
  </si>
  <si>
    <t xml:space="preserve">Alíquota Efetiva IR/CS (%)</t>
  </si>
  <si>
    <t xml:space="preserve">IR+CS efetivo</t>
  </si>
  <si>
    <t xml:space="preserve">Payout de Dividendos (%)</t>
  </si>
  <si>
    <t xml:space="preserve">% LL distribuído</t>
  </si>
  <si>
    <t xml:space="preserve">D/EBITDA Alvo (covenant)</t>
  </si>
  <si>
    <t xml:space="preserve">x</t>
  </si>
  <si>
    <t xml:space="preserve">Limite máximo</t>
  </si>
  <si>
    <t xml:space="preserve">2. DEMONSTRAÇÃO DE RESULTADO DO EXERCÍCIO (DRE) — R$ MIL</t>
  </si>
  <si>
    <t xml:space="preserve">LINHA DA DRE</t>
  </si>
  <si>
    <t xml:space="preserve">REF.</t>
  </si>
  <si>
    <t xml:space="preserve">DEMONSTRAÇÃO DE RESULTADO — R$ MIL</t>
  </si>
  <si>
    <t xml:space="preserve">Receita Bruta</t>
  </si>
  <si>
    <t xml:space="preserve">RL+</t>
  </si>
  <si>
    <t xml:space="preserve">(-) Deduções de Receita</t>
  </si>
  <si>
    <t xml:space="preserve">RL-</t>
  </si>
  <si>
    <t xml:space="preserve">(=) Receita Líquida</t>
  </si>
  <si>
    <t xml:space="preserve">RL</t>
  </si>
  <si>
    <t xml:space="preserve">(-) CPV/CSV</t>
  </si>
  <si>
    <t xml:space="preserve">CPV</t>
  </si>
  <si>
    <t xml:space="preserve">(=) Lucro Bruto</t>
  </si>
  <si>
    <t xml:space="preserve">LB</t>
  </si>
  <si>
    <t xml:space="preserve">MB%</t>
  </si>
  <si>
    <t xml:space="preserve">(-) Despesas Comerciais</t>
  </si>
  <si>
    <t xml:space="preserve">DC</t>
  </si>
  <si>
    <t xml:space="preserve">(-) Despesas G&amp;A</t>
  </si>
  <si>
    <t xml:space="preserve">GA</t>
  </si>
  <si>
    <t xml:space="preserve">(+) Outras Rec/Desp Op.</t>
  </si>
  <si>
    <t xml:space="preserve">OUT</t>
  </si>
  <si>
    <t xml:space="preserve">(=) EBITDA</t>
  </si>
  <si>
    <t xml:space="preserve">EBITDA</t>
  </si>
  <si>
    <t xml:space="preserve">(-) D&amp;A</t>
  </si>
  <si>
    <t xml:space="preserve">DA</t>
  </si>
  <si>
    <t xml:space="preserve">(=) EBIT</t>
  </si>
  <si>
    <t xml:space="preserve">EBIT</t>
  </si>
  <si>
    <t xml:space="preserve">ME%</t>
  </si>
  <si>
    <t xml:space="preserve">Resultado Financeiro</t>
  </si>
  <si>
    <t xml:space="preserve">RF</t>
  </si>
  <si>
    <t xml:space="preserve">(=) EBT</t>
  </si>
  <si>
    <t xml:space="preserve">EBT</t>
  </si>
  <si>
    <t xml:space="preserve">(-) IR/CS</t>
  </si>
  <si>
    <t xml:space="preserve">IR</t>
  </si>
  <si>
    <t xml:space="preserve">(=) Lucro Líquido</t>
  </si>
  <si>
    <t xml:space="preserve">LL</t>
  </si>
  <si>
    <t xml:space="preserve">ML%</t>
  </si>
  <si>
    <t xml:space="preserve">3. BALANÇO PATRIMONIAL PROJETADO — R$ MIL</t>
  </si>
  <si>
    <t xml:space="preserve">LINHA</t>
  </si>
  <si>
    <t xml:space="preserve">ATIVO</t>
  </si>
  <si>
    <t xml:space="preserve">ATT</t>
  </si>
  <si>
    <t xml:space="preserve">Caixa e Equivalentes</t>
  </si>
  <si>
    <t xml:space="preserve">CX</t>
  </si>
  <si>
    <t xml:space="preserve">Contas a Receber</t>
  </si>
  <si>
    <t xml:space="preserve">CR</t>
  </si>
  <si>
    <t xml:space="preserve">Estoques</t>
  </si>
  <si>
    <t xml:space="preserve">EST</t>
  </si>
  <si>
    <t xml:space="preserve">Outros Ativos Circulantes</t>
  </si>
  <si>
    <t xml:space="preserve">OAC</t>
  </si>
  <si>
    <t xml:space="preserve">Total Ativo Circulante</t>
  </si>
  <si>
    <t xml:space="preserve">TAC</t>
  </si>
  <si>
    <t xml:space="preserve">Imobilizado Líquido</t>
  </si>
  <si>
    <t xml:space="preserve">IMO</t>
  </si>
  <si>
    <t xml:space="preserve">Intangível e Goodwill</t>
  </si>
  <si>
    <t xml:space="preserve">INT</t>
  </si>
  <si>
    <t xml:space="preserve">Outros Ativos NC</t>
  </si>
  <si>
    <t xml:space="preserve">OANC</t>
  </si>
  <si>
    <t xml:space="preserve">Total Ativo Não Circulante</t>
  </si>
  <si>
    <t xml:space="preserve">TANC</t>
  </si>
  <si>
    <t xml:space="preserve">TOTAL ATIVO</t>
  </si>
  <si>
    <t xml:space="preserve">TA</t>
  </si>
  <si>
    <t xml:space="preserve">PASSIVO E PL</t>
  </si>
  <si>
    <t xml:space="preserve">PLT</t>
  </si>
  <si>
    <t xml:space="preserve">Fornecedores</t>
  </si>
  <si>
    <t xml:space="preserve">FOR</t>
  </si>
  <si>
    <t xml:space="preserve">Dívida CP</t>
  </si>
  <si>
    <t xml:space="preserve">DCP</t>
  </si>
  <si>
    <t xml:space="preserve">Outros Passivos Circulantes</t>
  </si>
  <si>
    <t xml:space="preserve">OPC</t>
  </si>
  <si>
    <t xml:space="preserve">Total Passivo Circulante</t>
  </si>
  <si>
    <t xml:space="preserve">TPC</t>
  </si>
  <si>
    <t xml:space="preserve">Dívida LP</t>
  </si>
  <si>
    <t xml:space="preserve">DLP</t>
  </si>
  <si>
    <t xml:space="preserve">Outros Passivos NC</t>
  </si>
  <si>
    <t xml:space="preserve">OPNC</t>
  </si>
  <si>
    <t xml:space="preserve">Total Passivo Não Circulante</t>
  </si>
  <si>
    <t xml:space="preserve">TPNC</t>
  </si>
  <si>
    <t xml:space="preserve">Patrimônio Líquido</t>
  </si>
  <si>
    <t xml:space="preserve">PL</t>
  </si>
  <si>
    <t xml:space="preserve">Capital Social</t>
  </si>
  <si>
    <t xml:space="preserve">CS</t>
  </si>
  <si>
    <t xml:space="preserve">Reservas e Lucros Acumulados</t>
  </si>
  <si>
    <t xml:space="preserve">RLA</t>
  </si>
  <si>
    <t xml:space="preserve">Total PL</t>
  </si>
  <si>
    <t xml:space="preserve">TPL</t>
  </si>
  <si>
    <t xml:space="preserve">TOTAL PASSIVO + PL</t>
  </si>
  <si>
    <t xml:space="preserve">TTP</t>
  </si>
  <si>
    <t xml:space="preserve">── INDICADORES ──</t>
  </si>
  <si>
    <t xml:space="preserve">IND</t>
  </si>
  <si>
    <t xml:space="preserve">Dívida Líquida</t>
  </si>
  <si>
    <t xml:space="preserve">DL</t>
  </si>
  <si>
    <t xml:space="preserve">Capital Investido (CI)</t>
  </si>
  <si>
    <t xml:space="preserve">CI</t>
  </si>
  <si>
    <t xml:space="preserve">NCG (Necessidade Cap. Giro)</t>
  </si>
  <si>
    <t xml:space="preserve">NCG</t>
  </si>
  <si>
    <t xml:space="preserve">ROIC (%)</t>
  </si>
  <si>
    <t xml:space="preserve">ROIC</t>
  </si>
  <si>
    <t xml:space="preserve">ROE (%)</t>
  </si>
  <si>
    <t xml:space="preserve">ROE</t>
  </si>
  <si>
    <t xml:space="preserve">Dívida Líq./EBITDA (x)</t>
  </si>
  <si>
    <t xml:space="preserve">DLEB</t>
  </si>
  <si>
    <t xml:space="preserve">4. DEMONSTRAÇÃO DO FLUXO DE CAIXA — R$ MIL</t>
  </si>
  <si>
    <t xml:space="preserve">FCO — FLUXO DE CAIXA OPERACIONAL</t>
  </si>
  <si>
    <t xml:space="preserve">FCO_T</t>
  </si>
  <si>
    <t xml:space="preserve">(-) Variação de NCG</t>
  </si>
  <si>
    <t xml:space="preserve">DNCG</t>
  </si>
  <si>
    <t xml:space="preserve">(-) IR/CS Pago</t>
  </si>
  <si>
    <t xml:space="preserve">IRP</t>
  </si>
  <si>
    <t xml:space="preserve">(=) FCO</t>
  </si>
  <si>
    <t xml:space="preserve">FCO</t>
  </si>
  <si>
    <t xml:space="preserve">FCI — FLUXO DE CAIXA DE INVESTIMENTO</t>
  </si>
  <si>
    <t xml:space="preserve">FCI_T</t>
  </si>
  <si>
    <t xml:space="preserve">CAPEX</t>
  </si>
  <si>
    <t xml:space="preserve">Aquisições / Desinvestimentos</t>
  </si>
  <si>
    <t xml:space="preserve">ACQ</t>
  </si>
  <si>
    <t xml:space="preserve">(=) FCI</t>
  </si>
  <si>
    <t xml:space="preserve">FCI</t>
  </si>
  <si>
    <t xml:space="preserve">FCFF — FREE CASH FLOW TO FIRM</t>
  </si>
  <si>
    <t xml:space="preserve">FCFF_T</t>
  </si>
  <si>
    <t xml:space="preserve">(=) FCFF = FCO + FCI</t>
  </si>
  <si>
    <t xml:space="preserve">FCFF</t>
  </si>
  <si>
    <t xml:space="preserve">FCF — FLUXO DE CAIXA DE FINANCIAMENTO</t>
  </si>
  <si>
    <t xml:space="preserve">FCF_T</t>
  </si>
  <si>
    <t xml:space="preserve">Captação / (Amortização) Dívida</t>
  </si>
  <si>
    <t xml:space="preserve">CAP</t>
  </si>
  <si>
    <t xml:space="preserve">Resultado Financeiro (caixa)</t>
  </si>
  <si>
    <t xml:space="preserve">RFCX</t>
  </si>
  <si>
    <t xml:space="preserve">Dividendos Pagos</t>
  </si>
  <si>
    <t xml:space="preserve">DIV</t>
  </si>
  <si>
    <t xml:space="preserve">(=) FCF</t>
  </si>
  <si>
    <t xml:space="preserve">FCF</t>
  </si>
  <si>
    <t xml:space="preserve">FCFE — FREE CASH FLOW TO EQUITY</t>
  </si>
  <si>
    <t xml:space="preserve">FCFE_T</t>
  </si>
  <si>
    <t xml:space="preserve">(=) FCFE = FCFF + Captação + RF</t>
  </si>
  <si>
    <t xml:space="preserve">FCFE</t>
  </si>
  <si>
    <t xml:space="preserve">── QUALIDADE DE CAIXA ──</t>
  </si>
  <si>
    <t xml:space="preserve">QC_T</t>
  </si>
  <si>
    <t xml:space="preserve">FCO / EBITDA (%)</t>
  </si>
  <si>
    <t xml:space="preserve">FCOEB</t>
  </si>
  <si>
    <t xml:space="preserve">FCFF / EBITDA (%)</t>
  </si>
  <si>
    <t xml:space="preserve">FCFFEB</t>
  </si>
  <si>
    <t xml:space="preserve">Conversão EBITDA → Caixa (%)</t>
  </si>
  <si>
    <t xml:space="preserve">CONV</t>
  </si>
  <si>
    <t xml:space="preserve">5. CUSTO DE CAPITAL (WACC) — METODOLOGIA CAPM</t>
  </si>
  <si>
    <t xml:space="preserve">INPUTS DO CAPM — CUSTO DO EQUITY (Ke)</t>
  </si>
  <si>
    <t xml:space="preserve">Taxa livre de risco (Rf)</t>
  </si>
  <si>
    <t xml:space="preserve">Rf</t>
  </si>
  <si>
    <t xml:space="preserve">US T-Bond 10Y (jun/2024)</t>
  </si>
  <si>
    <t xml:space="preserve">Prêmio de risco de mercado (ERP)</t>
  </si>
  <si>
    <t xml:space="preserve">ERP</t>
  </si>
  <si>
    <t xml:space="preserve">Damodaran EM 2024</t>
  </si>
  <si>
    <t xml:space="preserve">Beta desalavancado (βu)</t>
  </si>
  <si>
    <t xml:space="preserve">BU</t>
  </si>
  <si>
    <t xml:space="preserve">Mediana peers listados</t>
  </si>
  <si>
    <t xml:space="preserve">D/E ratio (estrutura alvo)</t>
  </si>
  <si>
    <t xml:space="preserve">DE</t>
  </si>
  <si>
    <t xml:space="preserve">Dívida Líq. / PL target</t>
  </si>
  <si>
    <t xml:space="preserve">Alíquota IR/CS (t)</t>
  </si>
  <si>
    <t xml:space="preserve">T</t>
  </si>
  <si>
    <t xml:space="preserve">Taxa efetiva</t>
  </si>
  <si>
    <t xml:space="preserve">Beta realavancado (βL)</t>
  </si>
  <si>
    <t xml:space="preserve">BL</t>
  </si>
  <si>
    <t xml:space="preserve">Bu*(1+(1-t)*D/E)</t>
  </si>
  <si>
    <t xml:space="preserve">Ke (USD) = Rf + βL*ERP</t>
  </si>
  <si>
    <t xml:space="preserve">KEUSD</t>
  </si>
  <si>
    <t xml:space="preserve">Ke em dólares</t>
  </si>
  <si>
    <t xml:space="preserve">Risco-Brasil (CDS 5Y spread)</t>
  </si>
  <si>
    <t xml:space="preserve">CDS</t>
  </si>
  <si>
    <t xml:space="preserve">CDS Brasil 5Y</t>
  </si>
  <si>
    <t xml:space="preserve">Inflação USA (%)</t>
  </si>
  <si>
    <t xml:space="preserve">IFUSA</t>
  </si>
  <si>
    <t xml:space="preserve">CPI projetado</t>
  </si>
  <si>
    <t xml:space="preserve">Inflação Brasil (%)</t>
  </si>
  <si>
    <t xml:space="preserve">IFBR</t>
  </si>
  <si>
    <t xml:space="preserve">IPCA projetado</t>
  </si>
  <si>
    <t xml:space="preserve">Ke (BRL) — Fisher equation</t>
  </si>
  <si>
    <t xml:space="preserve">KEBRL</t>
  </si>
  <si>
    <t xml:space="preserve">Ke convertido para BRL</t>
  </si>
  <si>
    <t xml:space="preserve">CUSTO DA DÍVIDA (Kd) E ESTRUTURA DE CAPITAL</t>
  </si>
  <si>
    <t xml:space="preserve">Kd bruto (CDI + spread)</t>
  </si>
  <si>
    <t xml:space="preserve">KD</t>
  </si>
  <si>
    <t xml:space="preserve">CDI 12,5% + spread 3pp</t>
  </si>
  <si>
    <t xml:space="preserve">Kd líquido = Kd*(1-t)</t>
  </si>
  <si>
    <t xml:space="preserve">KDLIQ</t>
  </si>
  <si>
    <t xml:space="preserve">Shield fiscal IR/CS</t>
  </si>
  <si>
    <t xml:space="preserve">E/(D+E) — peso Equity</t>
  </si>
  <si>
    <t xml:space="preserve">WE</t>
  </si>
  <si>
    <t xml:space="preserve">% do valor total</t>
  </si>
  <si>
    <t xml:space="preserve">D/(D+E) — peso Dívida</t>
  </si>
  <si>
    <t xml:space="preserve">WD</t>
  </si>
  <si>
    <t xml:space="preserve">1 - WE</t>
  </si>
  <si>
    <t xml:space="preserve">WACC = Ke*WE + Kd*(1-t)*WD</t>
  </si>
  <si>
    <t xml:space="preserve">WACC</t>
  </si>
  <si>
    <t xml:space="preserve">Custo médio ponderado</t>
  </si>
  <si>
    <t xml:space="preserve">SENSIBILIDADE WACC — Beta x ERP</t>
  </si>
  <si>
    <t xml:space="preserve">Beta / ERP →</t>
  </si>
  <si>
    <t xml:space="preserve">6. VALUATION POR DCF — FLUXO DE CAIXA DESCONTADO (R$ MIL)</t>
  </si>
  <si>
    <t xml:space="preserve">FCFF PROJETADO</t>
  </si>
  <si>
    <t xml:space="preserve">(-) IR sobre EBIT</t>
  </si>
  <si>
    <t xml:space="preserve">IREBIT</t>
  </si>
  <si>
    <t xml:space="preserve">NOPAT</t>
  </si>
  <si>
    <t xml:space="preserve">(+) D&amp;A</t>
  </si>
  <si>
    <t xml:space="preserve">(-) CAPEX</t>
  </si>
  <si>
    <t xml:space="preserve">(=) FCFF</t>
  </si>
  <si>
    <t xml:space="preserve">FATOR DE DESCONTO</t>
  </si>
  <si>
    <t xml:space="preserve">FD_T</t>
  </si>
  <si>
    <t xml:space="preserve">Período (anos)</t>
  </si>
  <si>
    <t xml:space="preserve">PER</t>
  </si>
  <si>
    <t xml:space="preserve">Fator de Desconto</t>
  </si>
  <si>
    <t xml:space="preserve">FD</t>
  </si>
  <si>
    <t xml:space="preserve">FCFF Descontado</t>
  </si>
  <si>
    <t xml:space="preserve">FCFF_D</t>
  </si>
  <si>
    <t xml:space="preserve">VALOR TERMINAL E ENTERPRISE VALUE</t>
  </si>
  <si>
    <t xml:space="preserve">WACC (para TV)</t>
  </si>
  <si>
    <t xml:space="preserve">WACC_TV</t>
  </si>
  <si>
    <t xml:space="preserve">Taxa de crescimento na perpetuidade (g)</t>
  </si>
  <si>
    <t xml:space="preserve">G</t>
  </si>
  <si>
    <t xml:space="preserve">FCFF Último Ano Proj.</t>
  </si>
  <si>
    <t xml:space="preserve">FCFF_ULT</t>
  </si>
  <si>
    <t xml:space="preserve">Valor Terminal (Gordon Growth)</t>
  </si>
  <si>
    <t xml:space="preserve">VT_GG</t>
  </si>
  <si>
    <t xml:space="preserve">Múltiplo de saída EV/EBITDA</t>
  </si>
  <si>
    <t xml:space="preserve">MULT_TV</t>
  </si>
  <si>
    <t xml:space="preserve">EBITDA último ano proj.</t>
  </si>
  <si>
    <t xml:space="preserve">EBITDA_ULT</t>
  </si>
  <si>
    <t xml:space="preserve">Valor Terminal (Exit Multiple)</t>
  </si>
  <si>
    <t xml:space="preserve">VT_EM</t>
  </si>
  <si>
    <t xml:space="preserve">Fator desconto TV (5 anos)</t>
  </si>
  <si>
    <t xml:space="preserve">FD_TV</t>
  </si>
  <si>
    <t xml:space="preserve">VT Descontado (Gordon Growth)</t>
  </si>
  <si>
    <t xml:space="preserve">VT_GG_D</t>
  </si>
  <si>
    <t xml:space="preserve">VT Descontado (Exit Multiple)</t>
  </si>
  <si>
    <t xml:space="preserve">VT_EM_D</t>
  </si>
  <si>
    <t xml:space="preserve">VP FCFF Projetado (2025-2029)</t>
  </si>
  <si>
    <t xml:space="preserve">VP_FCFF</t>
  </si>
  <si>
    <t xml:space="preserve">EV — Gordon Growth</t>
  </si>
  <si>
    <t xml:space="preserve">EV_GG</t>
  </si>
  <si>
    <t xml:space="preserve">EV — Exit Multiple</t>
  </si>
  <si>
    <t xml:space="preserve">EV_EM</t>
  </si>
  <si>
    <t xml:space="preserve">(-) Dívida Líquida</t>
  </si>
  <si>
    <t xml:space="preserve">DL_EV</t>
  </si>
  <si>
    <t xml:space="preserve">Equity Value — Gordon Growth (R$)</t>
  </si>
  <si>
    <t xml:space="preserve">EQ_GG</t>
  </si>
  <si>
    <t xml:space="preserve">Equity Value — Exit Multiple (R$)</t>
  </si>
  <si>
    <t xml:space="preserve">EQ_EM</t>
  </si>
  <si>
    <t xml:space="preserve">Ações Diluídas (mil)</t>
  </si>
  <si>
    <t xml:space="preserve">ACOES</t>
  </si>
  <si>
    <t xml:space="preserve">Preço por Ação — Gordon Growth</t>
  </si>
  <si>
    <t xml:space="preserve">PX_GG</t>
  </si>
  <si>
    <t xml:space="preserve">Preço por Ação — Exit Multiple</t>
  </si>
  <si>
    <t xml:space="preserve">PX_EM</t>
  </si>
  <si>
    <t xml:space="preserve">7. ANÁLISE DE MÚLTIPLOS — PEER GROUP E TRANSAÇÕES PRECEDENTES</t>
  </si>
  <si>
    <t xml:space="preserve">PEER GROUP — MÚLTIPLOS DE MERCADO (LTM)</t>
  </si>
  <si>
    <t xml:space="preserve">EMPRESA</t>
  </si>
  <si>
    <t xml:space="preserve">TICKER</t>
  </si>
  <si>
    <t xml:space="preserve">EV/EBITDA</t>
  </si>
  <si>
    <t xml:space="preserve">EV/EBIT</t>
  </si>
  <si>
    <t xml:space="preserve">P/L</t>
  </si>
  <si>
    <t xml:space="preserve">P/VPA</t>
  </si>
  <si>
    <t xml:space="preserve">EV/Receita</t>
  </si>
  <si>
    <t xml:space="preserve">Div.Yield</t>
  </si>
  <si>
    <t xml:space="preserve">Mg.EBITDA%</t>
  </si>
  <si>
    <t xml:space="preserve">Empresa Alpha</t>
  </si>
  <si>
    <t xml:space="preserve">ALPH3</t>
  </si>
  <si>
    <t xml:space="preserve">Empresa Beta</t>
  </si>
  <si>
    <t xml:space="preserve">BETA3</t>
  </si>
  <si>
    <t xml:space="preserve">Empresa Gamma</t>
  </si>
  <si>
    <t xml:space="preserve">GAMM3</t>
  </si>
  <si>
    <t xml:space="preserve">Empresa Delta</t>
  </si>
  <si>
    <t xml:space="preserve">DELT3</t>
  </si>
  <si>
    <t xml:space="preserve">Empresa Epsilon</t>
  </si>
  <si>
    <t xml:space="preserve">EPSI3</t>
  </si>
  <si>
    <t xml:space="preserve">Empresa Zeta</t>
  </si>
  <si>
    <t xml:space="preserve">ZETA3</t>
  </si>
  <si>
    <t xml:space="preserve">Empresa Eta</t>
  </si>
  <si>
    <t xml:space="preserve">ETAZ3</t>
  </si>
  <si>
    <t xml:space="preserve">Empresa Theta</t>
  </si>
  <si>
    <t xml:space="preserve">THET3</t>
  </si>
  <si>
    <t xml:space="preserve">Mínimo</t>
  </si>
  <si>
    <t xml:space="preserve">P25</t>
  </si>
  <si>
    <t xml:space="preserve">Mediana</t>
  </si>
  <si>
    <t xml:space="preserve">P75</t>
  </si>
  <si>
    <t xml:space="preserve">Máximo</t>
  </si>
  <si>
    <t xml:space="preserve">Média</t>
  </si>
  <si>
    <t xml:space="preserve">VALUATION IMPLÍCITO POR MÚLTIPLOS — R$ MIL</t>
  </si>
  <si>
    <t xml:space="preserve">EBITDA LTM (R$ mil)</t>
  </si>
  <si>
    <t xml:space="preserve">EBIT LTM (R$ mil)</t>
  </si>
  <si>
    <t xml:space="preserve">Receita Líq. LTM (R$ mil)</t>
  </si>
  <si>
    <t xml:space="preserve">EV Implícito (EV/EBITDA mediana)</t>
  </si>
  <si>
    <t xml:space="preserve">EV Implícito (EV/EBIT mediana)</t>
  </si>
  <si>
    <t xml:space="preserve">EV Implícito (EV/Receita mediana)</t>
  </si>
  <si>
    <t xml:space="preserve">8. SIMULADOR DA OFERTA — ECM</t>
  </si>
  <si>
    <t xml:space="preserve">ESTRUTURA DA OFERTA</t>
  </si>
  <si>
    <t xml:space="preserve">Preço por Ação (R$)</t>
  </si>
  <si>
    <t xml:space="preserve">PX</t>
  </si>
  <si>
    <t xml:space="preserve">Total de Ações Pré-Oferta (mil)</t>
  </si>
  <si>
    <t xml:space="preserve">ACOES_PRE</t>
  </si>
  <si>
    <t xml:space="preserve">Ações Primárias Emitidas (mil)</t>
  </si>
  <si>
    <t xml:space="preserve">PRIM</t>
  </si>
  <si>
    <t xml:space="preserve">Ações Secundárias (mil)</t>
  </si>
  <si>
    <t xml:space="preserve">SEC</t>
  </si>
  <si>
    <t xml:space="preserve">Greenshoe (% das ações ofertadas)</t>
  </si>
  <si>
    <t xml:space="preserve">GS_PCT</t>
  </si>
  <si>
    <t xml:space="preserve">Desconto da oferta vs. preço justo (%)</t>
  </si>
  <si>
    <t xml:space="preserve">DSC</t>
  </si>
  <si>
    <t xml:space="preserve">Underwriting fee (%)</t>
  </si>
  <si>
    <t xml:space="preserve">UW_FEE</t>
  </si>
  <si>
    <t xml:space="preserve">Advisory fee (%)</t>
  </si>
  <si>
    <t xml:space="preserve">ADV_FEE</t>
  </si>
  <si>
    <t xml:space="preserve">Outros custos de oferta (R$ mil)</t>
  </si>
  <si>
    <t xml:space="preserve">OUT_COST</t>
  </si>
  <si>
    <t xml:space="preserve">RESULTADOS DA OFERTA</t>
  </si>
  <si>
    <t xml:space="preserve">Total Acoes Ofertadas (prim+sec)</t>
  </si>
  <si>
    <t xml:space="preserve">TOT_ACO</t>
  </si>
  <si>
    <t xml:space="preserve">Acoes Greenshoe (mil)</t>
  </si>
  <si>
    <t xml:space="preserve">GS_ACO</t>
  </si>
  <si>
    <t xml:space="preserve">Volume Total Oferta (R$ mil)</t>
  </si>
  <si>
    <t xml:space="preserve">VOL_TOT</t>
  </si>
  <si>
    <t xml:space="preserve">Receita Primaria (R$ mil)</t>
  </si>
  <si>
    <t xml:space="preserve">REC_PRIM</t>
  </si>
  <si>
    <t xml:space="preserve">Underwriting fee (R$ mil)</t>
  </si>
  <si>
    <t xml:space="preserve">UW_R</t>
  </si>
  <si>
    <t xml:space="preserve">Advisory fee (R$ mil)</t>
  </si>
  <si>
    <t xml:space="preserve">ADV_R</t>
  </si>
  <si>
    <t xml:space="preserve">Custos totais da oferta (R$ mil)</t>
  </si>
  <si>
    <t xml:space="preserve">CUSTO_T</t>
  </si>
  <si>
    <t xml:space="preserve">Proceeds liquidos (R$ mil)</t>
  </si>
  <si>
    <t xml:space="preserve">PROCD</t>
  </si>
  <si>
    <t xml:space="preserve">Total acoes pos-oferta (mil)</t>
  </si>
  <si>
    <t xml:space="preserve">ACOES_POS</t>
  </si>
  <si>
    <t xml:space="preserve">% diluicao dos acionistas antigos</t>
  </si>
  <si>
    <t xml:space="preserve">DILUI</t>
  </si>
  <si>
    <t xml:space="preserve">Free float pos-oferta (%)</t>
  </si>
  <si>
    <t xml:space="preserve">FF</t>
  </si>
  <si>
    <t xml:space="preserve">Market cap pos-oferta (R$ mil)</t>
  </si>
  <si>
    <t xml:space="preserve">MKTCAP</t>
  </si>
  <si>
    <t xml:space="preserve">EV implicito pos-oferta (R$ mil)</t>
  </si>
  <si>
    <t xml:space="preserve">EV_POS</t>
  </si>
  <si>
    <t xml:space="preserve">EV/EBITDA pos-oferta (x)</t>
  </si>
  <si>
    <t xml:space="preserve">EV_EB</t>
  </si>
  <si>
    <t xml:space="preserve">P/E pos-oferta (x)</t>
  </si>
  <si>
    <t xml:space="preserve">PE_POS</t>
  </si>
  <si>
    <t xml:space="preserve">9. ANÁLISE DE RETORNO AO ACIONISTA — TSR, EPS E DIVIDENDOS</t>
  </si>
  <si>
    <t xml:space="preserve">MÉTRICAS DE RETORNO AO ACIONISTA</t>
  </si>
  <si>
    <t xml:space="preserve">Preço de compra / oferta (R$)</t>
  </si>
  <si>
    <t xml:space="preserve">PX_IN</t>
  </si>
  <si>
    <t xml:space="preserve">Preço-alvo (12 meses) (R$)</t>
  </si>
  <si>
    <t xml:space="preserve">PX_TP</t>
  </si>
  <si>
    <t xml:space="preserve">Ações diluídas (mil)</t>
  </si>
  <si>
    <t xml:space="preserve">LL projetado próx. 12m (R$ mil)</t>
  </si>
  <si>
    <t xml:space="preserve">LL_12M</t>
  </si>
  <si>
    <t xml:space="preserve">Dividendos p/ ação (R$)</t>
  </si>
  <si>
    <t xml:space="preserve">DPA</t>
  </si>
  <si>
    <t xml:space="preserve">Payout ratio (%)</t>
  </si>
  <si>
    <t xml:space="preserve">POUT</t>
  </si>
  <si>
    <t xml:space="preserve">MÉTRICAS CALCULADAS</t>
  </si>
  <si>
    <t xml:space="preserve">EPS - Lucro por Acao (R$)</t>
  </si>
  <si>
    <t xml:space="preserve">EPS</t>
  </si>
  <si>
    <t xml:space="preserve">P/E (preco entrada)</t>
  </si>
  <si>
    <t xml:space="preserve">PE</t>
  </si>
  <si>
    <t xml:space="preserve">P/E (preco-alvo)</t>
  </si>
  <si>
    <t xml:space="preserve">PE_TP</t>
  </si>
  <si>
    <t xml:space="preserve">Dividend Yield (preco entrada)</t>
  </si>
  <si>
    <t xml:space="preserve">DY</t>
  </si>
  <si>
    <t xml:space="preserve">Upside de capital (%)</t>
  </si>
  <si>
    <t xml:space="preserve">UPS</t>
  </si>
  <si>
    <t xml:space="preserve">TSR Total (capital+dividendo)</t>
  </si>
  <si>
    <t xml:space="preserve">TSR</t>
  </si>
  <si>
    <t xml:space="preserve">Book Value por Acao (R$)</t>
  </si>
  <si>
    <t xml:space="preserve">BVPS</t>
  </si>
  <si>
    <t xml:space="preserve">PVPA</t>
  </si>
  <si>
    <t xml:space="preserve">10. ANÁLISE DE SENSIBILIDADE E CENÁRIOS</t>
  </si>
  <si>
    <t xml:space="preserve">ANÁLISE DE CENÁRIOS — PREMISSAS E RESULTADOS</t>
  </si>
  <si>
    <t xml:space="preserve">PREMISSA</t>
  </si>
  <si>
    <t xml:space="preserve">DOWNSIDE</t>
  </si>
  <si>
    <t xml:space="preserve">BASE</t>
  </si>
  <si>
    <t xml:space="preserve">OTIMISTA</t>
  </si>
  <si>
    <t xml:space="preserve">Crescimento Receita (CAGR 5a)</t>
  </si>
  <si>
    <t xml:space="preserve">Margem EBITDA terminal</t>
  </si>
  <si>
    <t xml:space="preserve">WACC (%)</t>
  </si>
  <si>
    <t xml:space="preserve">Múltiplo de saída EV/EBITDA (x)</t>
  </si>
  <si>
    <t xml:space="preserve">g — crescimento perpetuidade</t>
  </si>
  <si>
    <t xml:space="preserve">RESULTADOS POR CENÁRIO</t>
  </si>
  <si>
    <t xml:space="preserve">MÉTRICA</t>
  </si>
  <si>
    <t xml:space="preserve">EV (Gordon Growth) R$ mil</t>
  </si>
  <si>
    <t xml:space="preserve">Equity Value R$ mil</t>
  </si>
  <si>
    <t xml:space="preserve">Preço por ação (R$)</t>
  </si>
  <si>
    <t xml:space="preserve">EV/EBITDA implícito (x)</t>
  </si>
  <si>
    <t xml:space="preserve">Upside vs preço oferta (%)</t>
  </si>
  <si>
    <t xml:space="preserve">SENSIBILIDADE: PREÇO/AÇÃO — WACC vs g (Gordon Growth)</t>
  </si>
  <si>
    <t xml:space="preserve">WACC \ g →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</si>
</sst>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;\(0.0%\);\-"/>
    <numFmt numFmtId="166" formatCode="#,##0.00"/>
    <numFmt numFmtId="167" formatCode="#,##0"/>
    <numFmt numFmtId="168" formatCode="0.0\x;\(0.0&quot;x)&quot;;\-"/>
    <numFmt numFmtId="169" formatCode="#,##0;\(#,##0\);\-"/>
    <numFmt numFmtId="170" formatCode="0.00"/>
    <numFmt numFmtId="171" formatCode="0.00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1"/>
      <color rgb="FFC9A84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E75B6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F7A4A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sz val="10"/>
      <color rgb="FF595959"/>
      <name val="Arial"/>
      <family val="0"/>
      <charset val="1"/>
    </font>
    <font>
      <sz val="10"/>
      <color rgb="FF1F7A4A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5DFA0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D9D9D9"/>
        <bgColor rgb="FFD6E4F7"/>
      </patternFill>
    </fill>
    <fill>
      <patternFill patternType="solid">
        <fgColor rgb="FFD6E4F7"/>
        <bgColor rgb="FFD9D9D9"/>
      </patternFill>
    </fill>
    <fill>
      <patternFill patternType="solid">
        <fgColor rgb="FF595959"/>
        <bgColor rgb="FF333333"/>
      </patternFill>
    </fill>
    <fill>
      <patternFill patternType="solid">
        <fgColor rgb="FFFFFFFF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9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4A"/>
      <rgbColor rgb="FFC0C0C0"/>
      <rgbColor rgb="FF808080"/>
      <rgbColor rgb="FF9999FF"/>
      <rgbColor rgb="FF993366"/>
      <rgbColor rgb="FFF2F2F2"/>
      <rgbColor rgb="FFD6E4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5DFA0"/>
      <rgbColor rgb="FF2E75B6"/>
      <rgbColor rgb="FF33CCCC"/>
      <rgbColor rgb="FF99CC00"/>
      <rgbColor rgb="FFFFCC00"/>
      <rgbColor rgb="FFFF9900"/>
      <rgbColor rgb="FFFF6600"/>
      <rgbColor rgb="FF595959"/>
      <rgbColor rgb="FFC9A84C"/>
      <rgbColor rgb="FF1F3864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30"/>
    <col collapsed="false" customWidth="true" hidden="false" outlineLevel="0" max="3" min="3" style="1" width="20"/>
  </cols>
  <sheetData>
    <row r="1" customFormat="false" ht="34.5" hidden="false" customHeight="true" outlineLevel="0" collapsed="false">
      <c r="A1" s="2" t="s">
        <v>0</v>
      </c>
      <c r="B1" s="2"/>
      <c r="C1" s="2"/>
    </row>
    <row r="2" customFormat="false" ht="21.75" hidden="false" customHeight="true" outlineLevel="0" collapsed="false">
      <c r="A2" s="3" t="s">
        <v>1</v>
      </c>
      <c r="B2" s="3"/>
      <c r="C2" s="3"/>
    </row>
    <row r="4" customFormat="false" ht="18" hidden="false" customHeight="true" outlineLevel="0" collapsed="false">
      <c r="A4" s="4" t="s">
        <v>2</v>
      </c>
      <c r="B4" s="5"/>
    </row>
    <row r="5" customFormat="false" ht="18" hidden="false" customHeight="true" outlineLevel="0" collapsed="false">
      <c r="A5" s="4" t="s">
        <v>3</v>
      </c>
      <c r="B5" s="5"/>
    </row>
    <row r="6" customFormat="false" ht="18" hidden="false" customHeight="true" outlineLevel="0" collapsed="false">
      <c r="A6" s="4" t="s">
        <v>4</v>
      </c>
      <c r="B6" s="5"/>
    </row>
    <row r="7" customFormat="false" ht="18" hidden="false" customHeight="true" outlineLevel="0" collapsed="false">
      <c r="A7" s="4" t="s">
        <v>5</v>
      </c>
      <c r="B7" s="5"/>
    </row>
    <row r="8" customFormat="false" ht="18" hidden="false" customHeight="true" outlineLevel="0" collapsed="false">
      <c r="A8" s="4" t="s">
        <v>6</v>
      </c>
      <c r="B8" s="5"/>
    </row>
    <row r="9" customFormat="false" ht="18" hidden="false" customHeight="true" outlineLevel="0" collapsed="false">
      <c r="A9" s="4" t="s">
        <v>7</v>
      </c>
      <c r="B9" s="6" t="s">
        <v>8</v>
      </c>
    </row>
    <row r="10" customFormat="false" ht="18" hidden="false" customHeight="true" outlineLevel="0" collapsed="false">
      <c r="A10" s="4" t="s">
        <v>9</v>
      </c>
      <c r="B10" s="6" t="s">
        <v>10</v>
      </c>
    </row>
    <row r="12" customFormat="false" ht="21.75" hidden="false" customHeight="true" outlineLevel="0" collapsed="false">
      <c r="A12" s="7" t="s">
        <v>11</v>
      </c>
      <c r="B12" s="7"/>
      <c r="C12" s="7"/>
    </row>
    <row r="13" customFormat="false" ht="16.5" hidden="false" customHeight="true" outlineLevel="0" collapsed="false">
      <c r="A13" s="8" t="s">
        <v>12</v>
      </c>
      <c r="B13" s="9" t="s">
        <v>13</v>
      </c>
    </row>
    <row r="14" customFormat="false" ht="16.5" hidden="false" customHeight="true" outlineLevel="0" collapsed="false">
      <c r="A14" s="8" t="s">
        <v>14</v>
      </c>
      <c r="B14" s="9" t="s">
        <v>15</v>
      </c>
    </row>
    <row r="15" customFormat="false" ht="16.5" hidden="false" customHeight="true" outlineLevel="0" collapsed="false">
      <c r="A15" s="8" t="s">
        <v>16</v>
      </c>
      <c r="B15" s="9" t="s">
        <v>17</v>
      </c>
    </row>
    <row r="16" customFormat="false" ht="16.5" hidden="false" customHeight="true" outlineLevel="0" collapsed="false">
      <c r="A16" s="8" t="s">
        <v>18</v>
      </c>
      <c r="B16" s="9" t="s">
        <v>19</v>
      </c>
    </row>
    <row r="17" customFormat="false" ht="16.5" hidden="false" customHeight="true" outlineLevel="0" collapsed="false">
      <c r="A17" s="8" t="s">
        <v>20</v>
      </c>
      <c r="B17" s="9" t="s">
        <v>21</v>
      </c>
    </row>
    <row r="18" customFormat="false" ht="16.5" hidden="false" customHeight="true" outlineLevel="0" collapsed="false">
      <c r="A18" s="8" t="s">
        <v>22</v>
      </c>
      <c r="B18" s="9" t="s">
        <v>23</v>
      </c>
    </row>
    <row r="19" customFormat="false" ht="16.5" hidden="false" customHeight="true" outlineLevel="0" collapsed="false">
      <c r="A19" s="8" t="s">
        <v>24</v>
      </c>
      <c r="B19" s="9" t="s">
        <v>25</v>
      </c>
    </row>
    <row r="20" customFormat="false" ht="16.5" hidden="false" customHeight="true" outlineLevel="0" collapsed="false">
      <c r="A20" s="8" t="s">
        <v>26</v>
      </c>
      <c r="B20" s="9" t="s">
        <v>27</v>
      </c>
    </row>
    <row r="21" customFormat="false" ht="16.5" hidden="false" customHeight="true" outlineLevel="0" collapsed="false">
      <c r="A21" s="8" t="s">
        <v>28</v>
      </c>
      <c r="B21" s="9" t="s">
        <v>29</v>
      </c>
    </row>
    <row r="22" customFormat="false" ht="16.5" hidden="false" customHeight="true" outlineLevel="0" collapsed="false">
      <c r="A22" s="8" t="s">
        <v>30</v>
      </c>
      <c r="B22" s="9" t="s">
        <v>31</v>
      </c>
    </row>
    <row r="23" customFormat="false" ht="16.5" hidden="false" customHeight="true" outlineLevel="0" collapsed="false">
      <c r="A23" s="8" t="s">
        <v>32</v>
      </c>
      <c r="B23" s="9" t="s">
        <v>33</v>
      </c>
    </row>
    <row r="25" customFormat="false" ht="15" hidden="false" customHeight="true" outlineLevel="0" collapsed="false">
      <c r="A25" s="10" t="s">
        <v>34</v>
      </c>
      <c r="B25" s="10"/>
      <c r="C25" s="10"/>
    </row>
    <row r="26" customFormat="false" ht="16.5" hidden="false" customHeight="true" outlineLevel="0" collapsed="false">
      <c r="A26" s="11" t="s">
        <v>35</v>
      </c>
      <c r="B26" s="6" t="s">
        <v>36</v>
      </c>
    </row>
    <row r="27" customFormat="false" ht="16.5" hidden="false" customHeight="true" outlineLevel="0" collapsed="false">
      <c r="A27" s="12" t="s">
        <v>35</v>
      </c>
      <c r="B27" s="6" t="s">
        <v>37</v>
      </c>
    </row>
    <row r="28" customFormat="false" ht="16.5" hidden="false" customHeight="true" outlineLevel="0" collapsed="false">
      <c r="A28" s="13" t="s">
        <v>35</v>
      </c>
      <c r="B28" s="6" t="s">
        <v>38</v>
      </c>
    </row>
    <row r="29" customFormat="false" ht="16.5" hidden="false" customHeight="true" outlineLevel="0" collapsed="false">
      <c r="A29" s="14" t="s">
        <v>35</v>
      </c>
      <c r="B29" s="6" t="s">
        <v>39</v>
      </c>
    </row>
  </sheetData>
  <mergeCells count="4">
    <mergeCell ref="A1:C1"/>
    <mergeCell ref="A2:C2"/>
    <mergeCell ref="A12:C12"/>
    <mergeCell ref="A25:C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0"/>
    <col collapsed="false" customWidth="true" hidden="false" outlineLevel="0" max="3" min="3" style="1" width="25"/>
    <col collapsed="false" customWidth="true" hidden="false" outlineLevel="0" max="12" min="4" style="1" width="11"/>
  </cols>
  <sheetData>
    <row r="1" customFormat="false" ht="27.75" hidden="false" customHeight="true" outlineLevel="0" collapsed="false">
      <c r="A1" s="15" t="s">
        <v>40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customFormat="false" ht="18" hidden="false" customHeight="true" outlineLevel="0" collapsed="false">
      <c r="A2" s="4" t="s">
        <v>41</v>
      </c>
      <c r="B2" s="16" t="s">
        <v>42</v>
      </c>
      <c r="C2" s="4" t="s">
        <v>43</v>
      </c>
      <c r="D2" s="17" t="s">
        <v>44</v>
      </c>
      <c r="E2" s="17" t="s">
        <v>45</v>
      </c>
      <c r="F2" s="17" t="s">
        <v>46</v>
      </c>
      <c r="G2" s="17" t="s">
        <v>47</v>
      </c>
      <c r="H2" s="18" t="s">
        <v>48</v>
      </c>
      <c r="I2" s="18" t="s">
        <v>49</v>
      </c>
      <c r="J2" s="18" t="s">
        <v>50</v>
      </c>
      <c r="K2" s="18" t="s">
        <v>51</v>
      </c>
      <c r="L2" s="18" t="s">
        <v>52</v>
      </c>
    </row>
    <row r="3" customFormat="false" ht="16.5" hidden="false" customHeight="true" outlineLevel="0" collapsed="false">
      <c r="A3" s="19" t="s">
        <v>53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customFormat="false" ht="16.5" hidden="false" customHeight="true" outlineLevel="0" collapsed="false">
      <c r="A4" s="6" t="s">
        <v>54</v>
      </c>
      <c r="B4" s="20" t="s">
        <v>55</v>
      </c>
      <c r="C4" s="6" t="s">
        <v>56</v>
      </c>
      <c r="D4" s="21" t="n">
        <v>0.042</v>
      </c>
      <c r="E4" s="21" t="n">
        <v>0.1238</v>
      </c>
      <c r="F4" s="21" t="n">
        <v>0.1175</v>
      </c>
      <c r="G4" s="21" t="n">
        <v>0.1065</v>
      </c>
      <c r="H4" s="22" t="n">
        <v>0.125</v>
      </c>
      <c r="I4" s="22" t="n">
        <v>0.115</v>
      </c>
      <c r="J4" s="22" t="n">
        <v>0.105</v>
      </c>
      <c r="K4" s="22" t="n">
        <v>0.098</v>
      </c>
      <c r="L4" s="22" t="n">
        <v>0.092</v>
      </c>
    </row>
    <row r="5" customFormat="false" ht="16.5" hidden="false" customHeight="true" outlineLevel="0" collapsed="false">
      <c r="A5" s="6" t="s">
        <v>57</v>
      </c>
      <c r="B5" s="20" t="s">
        <v>55</v>
      </c>
      <c r="C5" s="6" t="s">
        <v>56</v>
      </c>
      <c r="D5" s="21" t="n">
        <v>0.101</v>
      </c>
      <c r="E5" s="21" t="n">
        <v>0.058</v>
      </c>
      <c r="F5" s="21" t="n">
        <v>0.046</v>
      </c>
      <c r="G5" s="21" t="n">
        <v>0.048</v>
      </c>
      <c r="H5" s="22" t="n">
        <v>0.042</v>
      </c>
      <c r="I5" s="22" t="n">
        <v>0.038</v>
      </c>
      <c r="J5" s="22" t="n">
        <v>0.035</v>
      </c>
      <c r="K5" s="22" t="n">
        <v>0.033</v>
      </c>
      <c r="L5" s="22" t="n">
        <v>0.032</v>
      </c>
    </row>
    <row r="6" customFormat="false" ht="16.5" hidden="false" customHeight="true" outlineLevel="0" collapsed="false">
      <c r="A6" s="6" t="s">
        <v>58</v>
      </c>
      <c r="B6" s="20" t="s">
        <v>55</v>
      </c>
      <c r="C6" s="6" t="s">
        <v>56</v>
      </c>
      <c r="D6" s="21" t="n">
        <v>0.048</v>
      </c>
      <c r="E6" s="21" t="n">
        <v>0.031</v>
      </c>
      <c r="F6" s="21" t="n">
        <v>0.029</v>
      </c>
      <c r="G6" s="21" t="n">
        <v>0.033</v>
      </c>
      <c r="H6" s="22" t="n">
        <v>0.025</v>
      </c>
      <c r="I6" s="22" t="n">
        <v>0.022</v>
      </c>
      <c r="J6" s="22" t="n">
        <v>0.025</v>
      </c>
      <c r="K6" s="22" t="n">
        <v>0.025</v>
      </c>
      <c r="L6" s="22" t="n">
        <v>0.025</v>
      </c>
    </row>
    <row r="7" customFormat="false" ht="16.5" hidden="false" customHeight="true" outlineLevel="0" collapsed="false">
      <c r="A7" s="6" t="s">
        <v>59</v>
      </c>
      <c r="B7" s="20" t="s">
        <v>60</v>
      </c>
      <c r="C7" s="6" t="s">
        <v>61</v>
      </c>
      <c r="D7" s="23" t="n">
        <v>5.58</v>
      </c>
      <c r="E7" s="23" t="n">
        <v>5.29</v>
      </c>
      <c r="F7" s="23" t="n">
        <v>4.84</v>
      </c>
      <c r="G7" s="23" t="n">
        <v>5.7</v>
      </c>
      <c r="H7" s="24" t="n">
        <v>5.8</v>
      </c>
      <c r="I7" s="24" t="n">
        <v>5.7</v>
      </c>
      <c r="J7" s="24" t="n">
        <v>5.6</v>
      </c>
      <c r="K7" s="24" t="n">
        <v>5.5</v>
      </c>
      <c r="L7" s="24" t="n">
        <v>5.4</v>
      </c>
    </row>
    <row r="8" customFormat="false" ht="16.5" hidden="false" customHeight="true" outlineLevel="0" collapsed="false">
      <c r="A8" s="6" t="s">
        <v>62</v>
      </c>
      <c r="B8" s="20" t="s">
        <v>55</v>
      </c>
      <c r="C8" s="6" t="s">
        <v>63</v>
      </c>
      <c r="D8" s="21" t="n">
        <v>0.04</v>
      </c>
      <c r="E8" s="21" t="n">
        <v>0.1375</v>
      </c>
      <c r="F8" s="21" t="n">
        <v>0.1175</v>
      </c>
      <c r="G8" s="21" t="n">
        <v>0.1215</v>
      </c>
      <c r="H8" s="22" t="n">
        <v>0.127</v>
      </c>
      <c r="I8" s="22" t="n">
        <v>0.117</v>
      </c>
      <c r="J8" s="22" t="n">
        <v>0.107</v>
      </c>
      <c r="K8" s="22" t="n">
        <v>0.1</v>
      </c>
      <c r="L8" s="22" t="n">
        <v>0.092</v>
      </c>
    </row>
    <row r="10" customFormat="false" ht="16.5" hidden="false" customHeight="true" outlineLevel="0" collapsed="false">
      <c r="A10" s="19" t="s">
        <v>64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</row>
    <row r="11" customFormat="false" ht="16.5" hidden="false" customHeight="true" outlineLevel="0" collapsed="false">
      <c r="A11" s="6" t="s">
        <v>65</v>
      </c>
      <c r="B11" s="20" t="s">
        <v>55</v>
      </c>
      <c r="C11" s="6" t="s">
        <v>66</v>
      </c>
      <c r="D11" s="25" t="s">
        <v>67</v>
      </c>
      <c r="E11" s="21" t="n">
        <v>0.18</v>
      </c>
      <c r="F11" s="21" t="n">
        <v>0.12</v>
      </c>
      <c r="G11" s="21" t="n">
        <v>0.09</v>
      </c>
      <c r="H11" s="22" t="n">
        <v>0.22</v>
      </c>
      <c r="I11" s="22" t="n">
        <v>0.18</v>
      </c>
      <c r="J11" s="22" t="n">
        <v>0.15</v>
      </c>
      <c r="K11" s="22" t="n">
        <v>0.12</v>
      </c>
      <c r="L11" s="22" t="n">
        <v>0.1</v>
      </c>
    </row>
    <row r="12" customFormat="false" ht="16.5" hidden="false" customHeight="true" outlineLevel="0" collapsed="false">
      <c r="A12" s="6" t="s">
        <v>68</v>
      </c>
      <c r="B12" s="20" t="s">
        <v>55</v>
      </c>
      <c r="C12" s="6" t="s">
        <v>69</v>
      </c>
      <c r="D12" s="21" t="n">
        <v>0.48</v>
      </c>
      <c r="E12" s="21" t="n">
        <v>0.46</v>
      </c>
      <c r="F12" s="21" t="n">
        <v>0.47</v>
      </c>
      <c r="G12" s="21" t="n">
        <v>0.48</v>
      </c>
      <c r="H12" s="22" t="n">
        <v>0.49</v>
      </c>
      <c r="I12" s="22" t="n">
        <v>0.5</v>
      </c>
      <c r="J12" s="22" t="n">
        <v>0.51</v>
      </c>
      <c r="K12" s="22" t="n">
        <v>0.51</v>
      </c>
      <c r="L12" s="22" t="n">
        <v>0.52</v>
      </c>
    </row>
    <row r="13" customFormat="false" ht="16.5" hidden="false" customHeight="true" outlineLevel="0" collapsed="false">
      <c r="A13" s="6" t="s">
        <v>70</v>
      </c>
      <c r="B13" s="20" t="s">
        <v>55</v>
      </c>
      <c r="C13" s="6" t="s">
        <v>69</v>
      </c>
      <c r="D13" s="21" t="n">
        <v>0.22</v>
      </c>
      <c r="E13" s="21" t="n">
        <v>0.21</v>
      </c>
      <c r="F13" s="21" t="n">
        <v>0.23</v>
      </c>
      <c r="G13" s="21" t="n">
        <v>0.24</v>
      </c>
      <c r="H13" s="22" t="n">
        <v>0.25</v>
      </c>
      <c r="I13" s="22" t="n">
        <v>0.26</v>
      </c>
      <c r="J13" s="22" t="n">
        <v>0.27</v>
      </c>
      <c r="K13" s="22" t="n">
        <v>0.27</v>
      </c>
      <c r="L13" s="22" t="n">
        <v>0.28</v>
      </c>
    </row>
    <row r="14" customFormat="false" ht="16.5" hidden="false" customHeight="true" outlineLevel="0" collapsed="false">
      <c r="A14" s="6" t="s">
        <v>71</v>
      </c>
      <c r="B14" s="20" t="s">
        <v>55</v>
      </c>
      <c r="C14" s="6" t="s">
        <v>72</v>
      </c>
      <c r="D14" s="21" t="n">
        <v>0.16</v>
      </c>
      <c r="E14" s="21" t="n">
        <v>0.15</v>
      </c>
      <c r="F14" s="21" t="n">
        <v>0.17</v>
      </c>
      <c r="G14" s="21" t="n">
        <v>0.18</v>
      </c>
      <c r="H14" s="22" t="n">
        <v>0.19</v>
      </c>
      <c r="I14" s="22" t="n">
        <v>0.2</v>
      </c>
      <c r="J14" s="22" t="n">
        <v>0.21</v>
      </c>
      <c r="K14" s="22" t="n">
        <v>0.22</v>
      </c>
      <c r="L14" s="22" t="n">
        <v>0.22</v>
      </c>
    </row>
    <row r="15" customFormat="false" ht="16.5" hidden="false" customHeight="true" outlineLevel="0" collapsed="false">
      <c r="A15" s="6" t="s">
        <v>73</v>
      </c>
      <c r="B15" s="20" t="s">
        <v>55</v>
      </c>
      <c r="C15" s="6" t="s">
        <v>74</v>
      </c>
      <c r="D15" s="21" t="n">
        <v>0.1</v>
      </c>
      <c r="E15" s="21" t="n">
        <v>0.09</v>
      </c>
      <c r="F15" s="21" t="n">
        <v>0.11</v>
      </c>
      <c r="G15" s="21" t="n">
        <v>0.12</v>
      </c>
      <c r="H15" s="22" t="n">
        <v>0.13</v>
      </c>
      <c r="I15" s="22" t="n">
        <v>0.14</v>
      </c>
      <c r="J15" s="22" t="n">
        <v>0.15</v>
      </c>
      <c r="K15" s="22" t="n">
        <v>0.15</v>
      </c>
      <c r="L15" s="22" t="n">
        <v>0.16</v>
      </c>
    </row>
    <row r="17" customFormat="false" ht="16.5" hidden="false" customHeight="true" outlineLevel="0" collapsed="false">
      <c r="A17" s="19" t="s">
        <v>75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</row>
    <row r="18" customFormat="false" ht="16.5" hidden="false" customHeight="true" outlineLevel="0" collapsed="false">
      <c r="A18" s="6" t="s">
        <v>76</v>
      </c>
      <c r="B18" s="20" t="s">
        <v>55</v>
      </c>
      <c r="C18" s="6" t="s">
        <v>77</v>
      </c>
      <c r="D18" s="21" t="n">
        <v>0.05</v>
      </c>
      <c r="E18" s="21" t="n">
        <v>0.06</v>
      </c>
      <c r="F18" s="21" t="n">
        <v>0.05</v>
      </c>
      <c r="G18" s="21" t="n">
        <v>0.05</v>
      </c>
      <c r="H18" s="22" t="n">
        <v>0.06</v>
      </c>
      <c r="I18" s="22" t="n">
        <v>0.06</v>
      </c>
      <c r="J18" s="22" t="n">
        <v>0.05</v>
      </c>
      <c r="K18" s="22" t="n">
        <v>0.05</v>
      </c>
      <c r="L18" s="22" t="n">
        <v>0.04</v>
      </c>
    </row>
    <row r="19" customFormat="false" ht="16.5" hidden="false" customHeight="true" outlineLevel="0" collapsed="false">
      <c r="A19" s="6" t="s">
        <v>78</v>
      </c>
      <c r="B19" s="20" t="s">
        <v>79</v>
      </c>
      <c r="C19" s="6" t="s">
        <v>80</v>
      </c>
      <c r="D19" s="26" t="n">
        <v>45</v>
      </c>
      <c r="E19" s="26" t="n">
        <v>42</v>
      </c>
      <c r="F19" s="26" t="n">
        <v>40</v>
      </c>
      <c r="G19" s="26" t="n">
        <v>38</v>
      </c>
      <c r="H19" s="27" t="n">
        <v>38</v>
      </c>
      <c r="I19" s="27" t="n">
        <v>37</v>
      </c>
      <c r="J19" s="27" t="n">
        <v>36</v>
      </c>
      <c r="K19" s="27" t="n">
        <v>35</v>
      </c>
      <c r="L19" s="27" t="n">
        <v>35</v>
      </c>
    </row>
    <row r="20" customFormat="false" ht="16.5" hidden="false" customHeight="true" outlineLevel="0" collapsed="false">
      <c r="A20" s="6" t="s">
        <v>81</v>
      </c>
      <c r="B20" s="20" t="s">
        <v>79</v>
      </c>
      <c r="C20" s="6" t="s">
        <v>82</v>
      </c>
      <c r="D20" s="26" t="n">
        <v>55</v>
      </c>
      <c r="E20" s="26" t="n">
        <v>52</v>
      </c>
      <c r="F20" s="26" t="n">
        <v>50</v>
      </c>
      <c r="G20" s="26" t="n">
        <v>48</v>
      </c>
      <c r="H20" s="27" t="n">
        <v>47</v>
      </c>
      <c r="I20" s="27" t="n">
        <v>46</v>
      </c>
      <c r="J20" s="27" t="n">
        <v>45</v>
      </c>
      <c r="K20" s="27" t="n">
        <v>44</v>
      </c>
      <c r="L20" s="27" t="n">
        <v>44</v>
      </c>
    </row>
    <row r="21" customFormat="false" ht="16.5" hidden="false" customHeight="true" outlineLevel="0" collapsed="false">
      <c r="A21" s="6" t="s">
        <v>83</v>
      </c>
      <c r="B21" s="20" t="s">
        <v>79</v>
      </c>
      <c r="C21" s="6" t="s">
        <v>84</v>
      </c>
      <c r="D21" s="26" t="n">
        <v>40</v>
      </c>
      <c r="E21" s="26" t="n">
        <v>42</v>
      </c>
      <c r="F21" s="26" t="n">
        <v>45</v>
      </c>
      <c r="G21" s="26" t="n">
        <v>47</v>
      </c>
      <c r="H21" s="27" t="n">
        <v>48</v>
      </c>
      <c r="I21" s="27" t="n">
        <v>50</v>
      </c>
      <c r="J21" s="27" t="n">
        <v>52</v>
      </c>
      <c r="K21" s="27" t="n">
        <v>53</v>
      </c>
      <c r="L21" s="27" t="n">
        <v>54</v>
      </c>
    </row>
    <row r="22" customFormat="false" ht="16.5" hidden="false" customHeight="true" outlineLevel="0" collapsed="false">
      <c r="A22" s="6" t="s">
        <v>85</v>
      </c>
      <c r="B22" s="20" t="s">
        <v>55</v>
      </c>
      <c r="C22" s="6" t="s">
        <v>86</v>
      </c>
      <c r="D22" s="21" t="n">
        <v>0.28</v>
      </c>
      <c r="E22" s="21" t="n">
        <v>0.27</v>
      </c>
      <c r="F22" s="21" t="n">
        <v>0.27</v>
      </c>
      <c r="G22" s="21" t="n">
        <v>0.26</v>
      </c>
      <c r="H22" s="22" t="n">
        <v>0.26</v>
      </c>
      <c r="I22" s="22" t="n">
        <v>0.25</v>
      </c>
      <c r="J22" s="22" t="n">
        <v>0.25</v>
      </c>
      <c r="K22" s="22" t="n">
        <v>0.25</v>
      </c>
      <c r="L22" s="22" t="n">
        <v>0.25</v>
      </c>
    </row>
    <row r="23" customFormat="false" ht="16.5" hidden="false" customHeight="true" outlineLevel="0" collapsed="false">
      <c r="A23" s="6" t="s">
        <v>87</v>
      </c>
      <c r="B23" s="20" t="s">
        <v>55</v>
      </c>
      <c r="C23" s="6" t="s">
        <v>88</v>
      </c>
      <c r="D23" s="21" t="n">
        <v>0.25</v>
      </c>
      <c r="E23" s="21" t="n">
        <v>0.25</v>
      </c>
      <c r="F23" s="21" t="n">
        <v>0.3</v>
      </c>
      <c r="G23" s="21" t="n">
        <v>0.3</v>
      </c>
      <c r="H23" s="22" t="n">
        <v>0.3</v>
      </c>
      <c r="I23" s="22" t="n">
        <v>0.35</v>
      </c>
      <c r="J23" s="22" t="n">
        <v>0.35</v>
      </c>
      <c r="K23" s="22" t="n">
        <v>0.4</v>
      </c>
      <c r="L23" s="22" t="n">
        <v>0.4</v>
      </c>
    </row>
    <row r="24" customFormat="false" ht="16.5" hidden="false" customHeight="true" outlineLevel="0" collapsed="false">
      <c r="A24" s="6" t="s">
        <v>89</v>
      </c>
      <c r="B24" s="20" t="s">
        <v>90</v>
      </c>
      <c r="C24" s="6" t="s">
        <v>91</v>
      </c>
      <c r="D24" s="28" t="n">
        <v>2.5</v>
      </c>
      <c r="E24" s="28" t="n">
        <v>2.5</v>
      </c>
      <c r="F24" s="28" t="n">
        <v>2</v>
      </c>
      <c r="G24" s="28" t="n">
        <v>2</v>
      </c>
      <c r="H24" s="29" t="n">
        <v>2</v>
      </c>
      <c r="I24" s="29" t="n">
        <v>1.8</v>
      </c>
      <c r="J24" s="29" t="n">
        <v>1.8</v>
      </c>
      <c r="K24" s="29" t="n">
        <v>1.5</v>
      </c>
      <c r="L24" s="29" t="n">
        <v>1.5</v>
      </c>
    </row>
  </sheetData>
  <mergeCells count="4">
    <mergeCell ref="A1:L1"/>
    <mergeCell ref="A3:L3"/>
    <mergeCell ref="A10:L10"/>
    <mergeCell ref="A17:L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0"/>
    <col collapsed="false" customWidth="true" hidden="false" outlineLevel="0" max="11" min="3" style="1" width="13"/>
  </cols>
  <sheetData>
    <row r="1" customFormat="false" ht="27.75" hidden="false" customHeight="true" outlineLevel="0" collapsed="false">
      <c r="A1" s="15" t="s">
        <v>92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customFormat="false" ht="18" hidden="false" customHeight="true" outlineLevel="0" collapsed="false">
      <c r="A2" s="4" t="s">
        <v>93</v>
      </c>
      <c r="B2" s="16" t="s">
        <v>94</v>
      </c>
      <c r="C2" s="17" t="s">
        <v>44</v>
      </c>
      <c r="D2" s="17" t="s">
        <v>45</v>
      </c>
      <c r="E2" s="17" t="s">
        <v>46</v>
      </c>
      <c r="F2" s="17" t="s">
        <v>47</v>
      </c>
      <c r="G2" s="18" t="s">
        <v>48</v>
      </c>
      <c r="H2" s="18" t="s">
        <v>49</v>
      </c>
      <c r="I2" s="18" t="s">
        <v>50</v>
      </c>
      <c r="J2" s="18" t="s">
        <v>51</v>
      </c>
      <c r="K2" s="18" t="s">
        <v>52</v>
      </c>
    </row>
    <row r="3" customFormat="false" ht="16.5" hidden="false" customHeight="true" outlineLevel="0" collapsed="false">
      <c r="A3" s="19" t="s">
        <v>95</v>
      </c>
      <c r="B3" s="19"/>
      <c r="C3" s="19"/>
      <c r="D3" s="19"/>
      <c r="E3" s="19"/>
      <c r="F3" s="19"/>
      <c r="G3" s="19"/>
      <c r="H3" s="19"/>
      <c r="I3" s="19"/>
      <c r="J3" s="19"/>
      <c r="K3" s="19"/>
    </row>
    <row r="4" customFormat="false" ht="16.5" hidden="false" customHeight="true" outlineLevel="0" collapsed="false">
      <c r="A4" s="30" t="s">
        <v>96</v>
      </c>
      <c r="B4" s="31" t="s">
        <v>97</v>
      </c>
      <c r="C4" s="32" t="n">
        <v>950000</v>
      </c>
      <c r="D4" s="32" t="n">
        <v>1120000</v>
      </c>
      <c r="E4" s="32" t="n">
        <v>1254000</v>
      </c>
      <c r="F4" s="32" t="n">
        <v>1372000</v>
      </c>
      <c r="G4" s="33" t="n">
        <f aca="false">F4*(1+'1. PREMISSAS'!H11)</f>
        <v>1673840</v>
      </c>
      <c r="H4" s="33" t="n">
        <f aca="false">G4*(1+'1. PREMISSAS'!I11)</f>
        <v>1975131.2</v>
      </c>
      <c r="I4" s="33" t="n">
        <f aca="false">H4*(1+'1. PREMISSAS'!J11)</f>
        <v>2271400.88</v>
      </c>
      <c r="J4" s="33" t="n">
        <f aca="false">I4*(1+'1. PREMISSAS'!K11)</f>
        <v>2543968.9856</v>
      </c>
      <c r="K4" s="33" t="n">
        <f aca="false">J4*(1+'1. PREMISSAS'!L11)</f>
        <v>2798365.88416</v>
      </c>
    </row>
    <row r="5" customFormat="false" ht="16.5" hidden="false" customHeight="true" outlineLevel="0" collapsed="false">
      <c r="A5" s="34" t="s">
        <v>98</v>
      </c>
      <c r="B5" s="20" t="s">
        <v>99</v>
      </c>
      <c r="C5" s="32" t="n">
        <v>-95000</v>
      </c>
      <c r="D5" s="32" t="n">
        <v>-112000</v>
      </c>
      <c r="E5" s="32" t="n">
        <v>-125400</v>
      </c>
      <c r="F5" s="32" t="n">
        <v>-137200</v>
      </c>
      <c r="G5" s="33" t="n">
        <f aca="false">-G4*0.1</f>
        <v>-167384</v>
      </c>
      <c r="H5" s="33" t="n">
        <f aca="false">-H4*0.1</f>
        <v>-197513.12</v>
      </c>
      <c r="I5" s="33" t="n">
        <f aca="false">-I4*0.1</f>
        <v>-227140.088</v>
      </c>
      <c r="J5" s="33" t="n">
        <f aca="false">-J4*0.1</f>
        <v>-254396.89856</v>
      </c>
      <c r="K5" s="33" t="n">
        <f aca="false">-K4*0.1</f>
        <v>-279836.588416</v>
      </c>
    </row>
    <row r="6" customFormat="false" ht="16.5" hidden="false" customHeight="true" outlineLevel="0" collapsed="false">
      <c r="A6" s="30" t="s">
        <v>100</v>
      </c>
      <c r="B6" s="31" t="s">
        <v>101</v>
      </c>
      <c r="C6" s="35" t="n">
        <f aca="false">C4+C5</f>
        <v>855000</v>
      </c>
      <c r="D6" s="35" t="n">
        <f aca="false">D4+D5</f>
        <v>1008000</v>
      </c>
      <c r="E6" s="35" t="n">
        <f aca="false">E4+E5</f>
        <v>1128600</v>
      </c>
      <c r="F6" s="35" t="n">
        <f aca="false">F4+F5</f>
        <v>1234800</v>
      </c>
      <c r="G6" s="35" t="n">
        <f aca="false">G4+G5</f>
        <v>1506456</v>
      </c>
      <c r="H6" s="35" t="n">
        <f aca="false">H4+H5</f>
        <v>1777618.08</v>
      </c>
      <c r="I6" s="35" t="n">
        <f aca="false">I4+I5</f>
        <v>2044260.792</v>
      </c>
      <c r="J6" s="35" t="n">
        <f aca="false">J4+J5</f>
        <v>2289572.08704</v>
      </c>
      <c r="K6" s="35" t="n">
        <f aca="false">K4+K5</f>
        <v>2518529.295744</v>
      </c>
    </row>
    <row r="7" customFormat="false" ht="16.5" hidden="false" customHeight="true" outlineLevel="0" collapsed="false">
      <c r="A7" s="34" t="s">
        <v>102</v>
      </c>
      <c r="B7" s="20" t="s">
        <v>103</v>
      </c>
      <c r="C7" s="36" t="n">
        <f aca="false">-C6*(1-'1. PREMISSAS'!D12)</f>
        <v>-444600</v>
      </c>
      <c r="D7" s="36" t="n">
        <f aca="false">-D6*(1-'1. PREMISSAS'!E12)</f>
        <v>-544320</v>
      </c>
      <c r="E7" s="36" t="n">
        <f aca="false">-E6*(1-'1. PREMISSAS'!F12)</f>
        <v>-598158</v>
      </c>
      <c r="F7" s="36" t="n">
        <f aca="false">-F6*(1-'1. PREMISSAS'!G12)</f>
        <v>-642096</v>
      </c>
      <c r="G7" s="33" t="n">
        <f aca="false">-G6*(1-'1. PREMISSAS'!H12)</f>
        <v>-768292.56</v>
      </c>
      <c r="H7" s="33" t="n">
        <f aca="false">-H6*(1-'1. PREMISSAS'!I12)</f>
        <v>-888809.04</v>
      </c>
      <c r="I7" s="33" t="n">
        <f aca="false">-I6*(1-'1. PREMISSAS'!J12)</f>
        <v>-1001687.78808</v>
      </c>
      <c r="J7" s="33" t="n">
        <f aca="false">-J6*(1-'1. PREMISSAS'!K12)</f>
        <v>-1121890.3226496</v>
      </c>
      <c r="K7" s="33" t="n">
        <f aca="false">-K6*(1-'1. PREMISSAS'!L12)</f>
        <v>-1208894.06195712</v>
      </c>
    </row>
    <row r="8" customFormat="false" ht="16.5" hidden="false" customHeight="true" outlineLevel="0" collapsed="false">
      <c r="A8" s="30" t="s">
        <v>104</v>
      </c>
      <c r="B8" s="31" t="s">
        <v>105</v>
      </c>
      <c r="C8" s="35" t="n">
        <f aca="false">C6+C7</f>
        <v>410400</v>
      </c>
      <c r="D8" s="35" t="n">
        <f aca="false">D6+D7</f>
        <v>463680</v>
      </c>
      <c r="E8" s="35" t="n">
        <f aca="false">E6+E7</f>
        <v>530442</v>
      </c>
      <c r="F8" s="35" t="n">
        <f aca="false">F6+F7</f>
        <v>592704</v>
      </c>
      <c r="G8" s="35" t="n">
        <f aca="false">G6+G7</f>
        <v>738163.44</v>
      </c>
      <c r="H8" s="35" t="n">
        <f aca="false">H6+H7</f>
        <v>888809.04</v>
      </c>
      <c r="I8" s="35" t="n">
        <f aca="false">I6+I7</f>
        <v>1042573.00392</v>
      </c>
      <c r="J8" s="35" t="n">
        <f aca="false">J6+J7</f>
        <v>1167681.7643904</v>
      </c>
      <c r="K8" s="35" t="n">
        <f aca="false">K6+K7</f>
        <v>1309635.23378688</v>
      </c>
    </row>
    <row r="9" customFormat="false" ht="16.5" hidden="false" customHeight="true" outlineLevel="0" collapsed="false">
      <c r="A9" s="34" t="s">
        <v>68</v>
      </c>
      <c r="B9" s="20" t="s">
        <v>106</v>
      </c>
    </row>
    <row r="10" customFormat="false" ht="16.5" hidden="false" customHeight="true" outlineLevel="0" collapsed="false">
      <c r="A10" s="34" t="s">
        <v>107</v>
      </c>
      <c r="B10" s="20" t="s">
        <v>108</v>
      </c>
      <c r="C10" s="32" t="n">
        <v>-76000</v>
      </c>
      <c r="D10" s="32" t="n">
        <v>-89600</v>
      </c>
      <c r="E10" s="32" t="n">
        <v>-100320</v>
      </c>
      <c r="F10" s="32" t="n">
        <v>-109760</v>
      </c>
      <c r="G10" s="33" t="n">
        <f aca="false">-G6*0.08</f>
        <v>-120516.48</v>
      </c>
      <c r="H10" s="33" t="n">
        <f aca="false">-H6*0.08</f>
        <v>-142209.4464</v>
      </c>
      <c r="I10" s="33" t="n">
        <f aca="false">-I6*0.08</f>
        <v>-163540.86336</v>
      </c>
      <c r="J10" s="33" t="n">
        <f aca="false">-J6*0.08</f>
        <v>-183165.7669632</v>
      </c>
      <c r="K10" s="33" t="n">
        <f aca="false">-K6*0.08</f>
        <v>-201482.34365952</v>
      </c>
    </row>
    <row r="11" customFormat="false" ht="16.5" hidden="false" customHeight="true" outlineLevel="0" collapsed="false">
      <c r="A11" s="34" t="s">
        <v>109</v>
      </c>
      <c r="B11" s="20" t="s">
        <v>110</v>
      </c>
      <c r="C11" s="32" t="n">
        <v>-47500</v>
      </c>
      <c r="D11" s="32" t="n">
        <v>-55000</v>
      </c>
      <c r="E11" s="32" t="n">
        <v>-62700</v>
      </c>
      <c r="F11" s="32" t="n">
        <v>-68600</v>
      </c>
      <c r="G11" s="33" t="n">
        <f aca="false">-G6*0.05</f>
        <v>-75322.8</v>
      </c>
      <c r="H11" s="33" t="n">
        <f aca="false">-H6*0.05</f>
        <v>-88880.904</v>
      </c>
      <c r="I11" s="33" t="n">
        <f aca="false">-I6*0.05</f>
        <v>-102213.0396</v>
      </c>
      <c r="J11" s="33" t="n">
        <f aca="false">-J6*0.05</f>
        <v>-114478.604352</v>
      </c>
      <c r="K11" s="33" t="n">
        <f aca="false">-K6*0.05</f>
        <v>-125926.4647872</v>
      </c>
    </row>
    <row r="12" customFormat="false" ht="16.5" hidden="false" customHeight="true" outlineLevel="0" collapsed="false">
      <c r="A12" s="34" t="s">
        <v>111</v>
      </c>
      <c r="B12" s="20" t="s">
        <v>112</v>
      </c>
      <c r="C12" s="32" t="n">
        <v>9500</v>
      </c>
      <c r="D12" s="32" t="n">
        <v>11200</v>
      </c>
      <c r="E12" s="32" t="n">
        <v>12540</v>
      </c>
      <c r="F12" s="32" t="n">
        <v>13720</v>
      </c>
      <c r="G12" s="33" t="n">
        <f aca="false">G6*0.01</f>
        <v>15064.56</v>
      </c>
      <c r="H12" s="33" t="n">
        <f aca="false">H6*0.01</f>
        <v>17776.1808</v>
      </c>
      <c r="I12" s="33" t="n">
        <f aca="false">I6*0.01</f>
        <v>20442.60792</v>
      </c>
      <c r="J12" s="33" t="n">
        <f aca="false">J6*0.01</f>
        <v>22895.7208704</v>
      </c>
      <c r="K12" s="33" t="n">
        <f aca="false">K6*0.01</f>
        <v>25185.29295744</v>
      </c>
    </row>
    <row r="13" customFormat="false" ht="16.5" hidden="false" customHeight="true" outlineLevel="0" collapsed="false">
      <c r="A13" s="30" t="s">
        <v>113</v>
      </c>
      <c r="B13" s="31" t="s">
        <v>114</v>
      </c>
      <c r="C13" s="35" t="n">
        <f aca="false">C8+C10+C11+C12</f>
        <v>296400</v>
      </c>
      <c r="D13" s="35" t="n">
        <f aca="false">D8+D10+D11+D12</f>
        <v>330280</v>
      </c>
      <c r="E13" s="35" t="n">
        <f aca="false">E8+E10+E11+E12</f>
        <v>379962</v>
      </c>
      <c r="F13" s="35" t="n">
        <f aca="false">F8+F10+F11+F12</f>
        <v>428064</v>
      </c>
      <c r="G13" s="35" t="n">
        <f aca="false">G8+G10+G11+G12</f>
        <v>557388.72</v>
      </c>
      <c r="H13" s="35" t="n">
        <f aca="false">H8+H10+H11+H12</f>
        <v>675494.8704</v>
      </c>
      <c r="I13" s="35" t="n">
        <f aca="false">I8+I10+I11+I12</f>
        <v>797261.70888</v>
      </c>
      <c r="J13" s="35" t="n">
        <f aca="false">J8+J10+J11+J12</f>
        <v>892933.1139456</v>
      </c>
      <c r="K13" s="35" t="n">
        <f aca="false">K8+K10+K11+K12</f>
        <v>1007411.7182976</v>
      </c>
    </row>
    <row r="14" customFormat="false" ht="16.5" hidden="false" customHeight="true" outlineLevel="0" collapsed="false">
      <c r="A14" s="34" t="s">
        <v>70</v>
      </c>
      <c r="B14" s="20" t="s">
        <v>106</v>
      </c>
      <c r="C14" s="37" t="n">
        <f aca="false">IF(C6&lt;&gt;0,C8/C6,0)</f>
        <v>0.48</v>
      </c>
      <c r="D14" s="37" t="n">
        <f aca="false">IF(D6&lt;&gt;0,D8/D6,0)</f>
        <v>0.46</v>
      </c>
      <c r="E14" s="37" t="n">
        <f aca="false">IF(E6&lt;&gt;0,E8/E6,0)</f>
        <v>0.47</v>
      </c>
      <c r="F14" s="37" t="n">
        <f aca="false">IF(F6&lt;&gt;0,F8/F6,0)</f>
        <v>0.48</v>
      </c>
      <c r="G14" s="38" t="n">
        <f aca="false">IF(G6&lt;&gt;0,G13/G6,0)</f>
        <v>0.37</v>
      </c>
      <c r="H14" s="38" t="n">
        <f aca="false">IF(H6&lt;&gt;0,H13/H6,0)</f>
        <v>0.38</v>
      </c>
      <c r="I14" s="38" t="n">
        <f aca="false">IF(I6&lt;&gt;0,I13/I6,0)</f>
        <v>0.39</v>
      </c>
      <c r="J14" s="38" t="n">
        <f aca="false">IF(J6&lt;&gt;0,J13/J6,0)</f>
        <v>0.39</v>
      </c>
      <c r="K14" s="38" t="n">
        <f aca="false">IF(K6&lt;&gt;0,K13/K6,0)</f>
        <v>0.4</v>
      </c>
    </row>
    <row r="15" customFormat="false" ht="16.5" hidden="false" customHeight="true" outlineLevel="0" collapsed="false">
      <c r="A15" s="34" t="s">
        <v>115</v>
      </c>
      <c r="B15" s="20" t="s">
        <v>116</v>
      </c>
      <c r="C15" s="37" t="n">
        <f aca="false">IF(C6&lt;&gt;0,C13/C6,0)</f>
        <v>0.346666666666667</v>
      </c>
      <c r="D15" s="37" t="n">
        <f aca="false">IF(D6&lt;&gt;0,D13/D6,0)</f>
        <v>0.32765873015873</v>
      </c>
      <c r="E15" s="37" t="n">
        <f aca="false">IF(E6&lt;&gt;0,E13/E6,0)</f>
        <v>0.336666666666667</v>
      </c>
      <c r="F15" s="37" t="n">
        <f aca="false">IF(F6&lt;&gt;0,F13/F6,0)</f>
        <v>0.346666666666667</v>
      </c>
      <c r="G15" s="33" t="n">
        <f aca="false">-G6*0.03</f>
        <v>-45193.68</v>
      </c>
      <c r="H15" s="33" t="n">
        <f aca="false">-H6*0.03</f>
        <v>-53328.5424</v>
      </c>
      <c r="I15" s="33" t="n">
        <f aca="false">-I6*0.03</f>
        <v>-61327.82376</v>
      </c>
      <c r="J15" s="33" t="n">
        <f aca="false">-J6*0.03</f>
        <v>-68687.1626112</v>
      </c>
      <c r="K15" s="33" t="n">
        <f aca="false">-K6*0.03</f>
        <v>-75555.87887232</v>
      </c>
    </row>
    <row r="16" customFormat="false" ht="16.5" hidden="false" customHeight="true" outlineLevel="0" collapsed="false">
      <c r="A16" s="30" t="s">
        <v>117</v>
      </c>
      <c r="B16" s="31" t="s">
        <v>118</v>
      </c>
      <c r="C16" s="35" t="n">
        <f aca="false">C13+C15</f>
        <v>296400.346666667</v>
      </c>
      <c r="D16" s="35" t="n">
        <f aca="false">D13+D15</f>
        <v>330280.32765873</v>
      </c>
      <c r="E16" s="35" t="n">
        <f aca="false">E13+E15</f>
        <v>379962.336666667</v>
      </c>
      <c r="F16" s="35" t="n">
        <f aca="false">F13+F15</f>
        <v>428064.346666667</v>
      </c>
      <c r="G16" s="35" t="n">
        <f aca="false">G13+G15</f>
        <v>512195.04</v>
      </c>
      <c r="H16" s="35" t="n">
        <f aca="false">H13+H15</f>
        <v>622166.328</v>
      </c>
      <c r="I16" s="35" t="n">
        <f aca="false">I13+I15</f>
        <v>735933.88512</v>
      </c>
      <c r="J16" s="35" t="n">
        <f aca="false">J13+J15</f>
        <v>824245.9513344</v>
      </c>
      <c r="K16" s="35" t="n">
        <f aca="false">K13+K15</f>
        <v>931855.83942528</v>
      </c>
    </row>
    <row r="17" customFormat="false" ht="16.5" hidden="false" customHeight="true" outlineLevel="0" collapsed="false">
      <c r="A17" s="34" t="s">
        <v>71</v>
      </c>
      <c r="B17" s="20" t="s">
        <v>119</v>
      </c>
      <c r="C17" s="37" t="n">
        <f aca="false">IF(C6&lt;&gt;0,C16/C6,0)</f>
        <v>0.346667072124756</v>
      </c>
      <c r="D17" s="37" t="n">
        <f aca="false">IF(D6&lt;&gt;0,D16/D6,0)</f>
        <v>0.327659055216994</v>
      </c>
      <c r="E17" s="37" t="n">
        <f aca="false">IF(E6&lt;&gt;0,E16/E6,0)</f>
        <v>0.336666964971351</v>
      </c>
      <c r="F17" s="37" t="n">
        <f aca="false">IF(F6&lt;&gt;0,F16/F6,0)</f>
        <v>0.346666947413886</v>
      </c>
      <c r="G17" s="38" t="n">
        <f aca="false">IF(G6&lt;&gt;0,G16/G6,0)</f>
        <v>0.34</v>
      </c>
      <c r="H17" s="38" t="n">
        <f aca="false">IF(H6&lt;&gt;0,H16/H6,0)</f>
        <v>0.35</v>
      </c>
      <c r="I17" s="38" t="n">
        <f aca="false">IF(I6&lt;&gt;0,I16/I6,0)</f>
        <v>0.36</v>
      </c>
      <c r="J17" s="38" t="n">
        <f aca="false">IF(J6&lt;&gt;0,J16/J6,0)</f>
        <v>0.36</v>
      </c>
      <c r="K17" s="38" t="n">
        <f aca="false">IF(K6&lt;&gt;0,K16/K6,0)</f>
        <v>0.37</v>
      </c>
    </row>
    <row r="18" customFormat="false" ht="16.5" hidden="false" customHeight="true" outlineLevel="0" collapsed="false">
      <c r="A18" s="34" t="s">
        <v>120</v>
      </c>
      <c r="B18" s="20" t="s">
        <v>121</v>
      </c>
      <c r="C18" s="32" t="n">
        <v>-28500</v>
      </c>
      <c r="D18" s="32" t="n">
        <v>-44800</v>
      </c>
      <c r="E18" s="32" t="n">
        <v>-36360</v>
      </c>
      <c r="F18" s="32" t="n">
        <v>-34300</v>
      </c>
      <c r="G18" s="33" t="n">
        <f aca="false">-G6*0.025</f>
        <v>-37661.4</v>
      </c>
      <c r="H18" s="33" t="n">
        <f aca="false">-H6*0.025</f>
        <v>-44440.452</v>
      </c>
      <c r="I18" s="33" t="n">
        <f aca="false">-I6*0.025</f>
        <v>-51106.5198</v>
      </c>
      <c r="J18" s="33" t="n">
        <f aca="false">-J6*0.025</f>
        <v>-57239.302176</v>
      </c>
      <c r="K18" s="33" t="n">
        <f aca="false">-K6*0.025</f>
        <v>-62963.2323936</v>
      </c>
    </row>
    <row r="19" customFormat="false" ht="16.5" hidden="false" customHeight="true" outlineLevel="0" collapsed="false">
      <c r="A19" s="30" t="s">
        <v>122</v>
      </c>
      <c r="B19" s="31" t="s">
        <v>123</v>
      </c>
      <c r="C19" s="35" t="n">
        <f aca="false">C16+C18</f>
        <v>267900.346666667</v>
      </c>
      <c r="D19" s="35" t="n">
        <f aca="false">D16+D18</f>
        <v>285480.32765873</v>
      </c>
      <c r="E19" s="35" t="n">
        <f aca="false">E16+E18</f>
        <v>343602.336666667</v>
      </c>
      <c r="F19" s="35" t="n">
        <f aca="false">F16+F18</f>
        <v>393764.346666667</v>
      </c>
      <c r="G19" s="35" t="n">
        <f aca="false">G16+G18</f>
        <v>474533.64</v>
      </c>
      <c r="H19" s="35" t="n">
        <f aca="false">H16+H18</f>
        <v>577725.876</v>
      </c>
      <c r="I19" s="35" t="n">
        <f aca="false">I16+I18</f>
        <v>684827.36532</v>
      </c>
      <c r="J19" s="35" t="n">
        <f aca="false">J16+J18</f>
        <v>767006.6491584</v>
      </c>
      <c r="K19" s="35" t="n">
        <f aca="false">K16+K18</f>
        <v>868892.60703168</v>
      </c>
    </row>
    <row r="20" customFormat="false" ht="16.5" hidden="false" customHeight="true" outlineLevel="0" collapsed="false">
      <c r="A20" s="34" t="s">
        <v>124</v>
      </c>
      <c r="B20" s="20" t="s">
        <v>125</v>
      </c>
      <c r="C20" s="36" t="n">
        <f aca="false">IF(C19&gt;0,-C19*'1. PREMISSAS'!D22,0)</f>
        <v>-75012.0970666667</v>
      </c>
      <c r="D20" s="36" t="n">
        <f aca="false">IF(D19&gt;0,-D19*'1. PREMISSAS'!E22,0)</f>
        <v>-77079.6884678572</v>
      </c>
      <c r="E20" s="36" t="n">
        <f aca="false">IF(E19&gt;0,-E19*'1. PREMISSAS'!F22,0)</f>
        <v>-92772.6309</v>
      </c>
      <c r="F20" s="36" t="n">
        <f aca="false">IF(F19&gt;0,-F19*'1. PREMISSAS'!G22,0)</f>
        <v>-102378.730133333</v>
      </c>
      <c r="G20" s="33" t="n">
        <f aca="false">IF(G19&gt;0,-G19*'1. PREMISSAS'!H22,0)</f>
        <v>-123378.7464</v>
      </c>
      <c r="H20" s="33" t="n">
        <f aca="false">IF(H19&gt;0,-H19*'1. PREMISSAS'!I22,0)</f>
        <v>-144431.469</v>
      </c>
      <c r="I20" s="33" t="n">
        <f aca="false">IF(I19&gt;0,-I19*'1. PREMISSAS'!J22,0)</f>
        <v>-171206.84133</v>
      </c>
      <c r="J20" s="33" t="n">
        <f aca="false">IF(J19&gt;0,-J19*'1. PREMISSAS'!K22,0)</f>
        <v>-191751.6622896</v>
      </c>
      <c r="K20" s="33" t="n">
        <f aca="false">IF(K19&gt;0,-K19*'1. PREMISSAS'!L22,0)</f>
        <v>-217223.15175792</v>
      </c>
    </row>
    <row r="21" customFormat="false" ht="16.5" hidden="false" customHeight="true" outlineLevel="0" collapsed="false">
      <c r="A21" s="30" t="s">
        <v>126</v>
      </c>
      <c r="B21" s="31" t="s">
        <v>127</v>
      </c>
      <c r="C21" s="35" t="n">
        <f aca="false">C19+C20</f>
        <v>192888.2496</v>
      </c>
      <c r="D21" s="35" t="n">
        <f aca="false">D19+D20</f>
        <v>208400.639190873</v>
      </c>
      <c r="E21" s="35" t="n">
        <f aca="false">E19+E20</f>
        <v>250829.705766667</v>
      </c>
      <c r="F21" s="35" t="n">
        <f aca="false">F19+F20</f>
        <v>291385.616533333</v>
      </c>
      <c r="G21" s="35" t="n">
        <f aca="false">G19+G20</f>
        <v>351154.8936</v>
      </c>
      <c r="H21" s="35" t="n">
        <f aca="false">H19+H20</f>
        <v>433294.407</v>
      </c>
      <c r="I21" s="35" t="n">
        <f aca="false">I19+I20</f>
        <v>513620.52399</v>
      </c>
      <c r="J21" s="35" t="n">
        <f aca="false">J19+J20</f>
        <v>575254.9868688</v>
      </c>
      <c r="K21" s="35" t="n">
        <f aca="false">K19+K20</f>
        <v>651669.45527376</v>
      </c>
    </row>
    <row r="22" customFormat="false" ht="16.5" hidden="false" customHeight="true" outlineLevel="0" collapsed="false">
      <c r="A22" s="34" t="s">
        <v>73</v>
      </c>
      <c r="B22" s="20" t="s">
        <v>128</v>
      </c>
      <c r="C22" s="37" t="n">
        <f aca="false">IF(C6&lt;&gt;0,C21/C6,0)</f>
        <v>0.225600291929825</v>
      </c>
      <c r="D22" s="37" t="n">
        <f aca="false">IF(D6&lt;&gt;0,D21/D6,0)</f>
        <v>0.206746665863961</v>
      </c>
      <c r="E22" s="37" t="n">
        <f aca="false">IF(E6&lt;&gt;0,E21/E6,0)</f>
        <v>0.222248543121271</v>
      </c>
      <c r="F22" s="37" t="n">
        <f aca="false">IF(F6&lt;&gt;0,F21/F6,0)</f>
        <v>0.23597798553072</v>
      </c>
      <c r="G22" s="38" t="n">
        <f aca="false">IF(G6&lt;&gt;0,G21/G6,0)</f>
        <v>0.2331</v>
      </c>
      <c r="H22" s="38" t="n">
        <f aca="false">IF(H6&lt;&gt;0,H21/H6,0)</f>
        <v>0.24375</v>
      </c>
      <c r="I22" s="38" t="n">
        <f aca="false">IF(I6&lt;&gt;0,I21/I6,0)</f>
        <v>0.25125</v>
      </c>
      <c r="J22" s="38" t="n">
        <f aca="false">IF(J6&lt;&gt;0,J21/J6,0)</f>
        <v>0.25125</v>
      </c>
      <c r="K22" s="38" t="n">
        <f aca="false">IF(K6&lt;&gt;0,K21/K6,0)</f>
        <v>0.25875</v>
      </c>
    </row>
  </sheetData>
  <mergeCells count="2">
    <mergeCell ref="A1:K1"/>
    <mergeCell ref="A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0"/>
    <col collapsed="false" customWidth="true" hidden="false" outlineLevel="0" max="11" min="3" style="1" width="13"/>
  </cols>
  <sheetData>
    <row r="1" customFormat="false" ht="27.75" hidden="false" customHeight="true" outlineLevel="0" collapsed="false">
      <c r="A1" s="15" t="s">
        <v>129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customFormat="false" ht="18" hidden="false" customHeight="true" outlineLevel="0" collapsed="false">
      <c r="A2" s="4" t="s">
        <v>130</v>
      </c>
      <c r="B2" s="16" t="s">
        <v>94</v>
      </c>
      <c r="C2" s="17" t="s">
        <v>44</v>
      </c>
      <c r="D2" s="17" t="s">
        <v>45</v>
      </c>
      <c r="E2" s="17" t="s">
        <v>46</v>
      </c>
      <c r="F2" s="17" t="s">
        <v>47</v>
      </c>
      <c r="G2" s="18" t="s">
        <v>48</v>
      </c>
      <c r="H2" s="18" t="s">
        <v>49</v>
      </c>
      <c r="I2" s="18" t="s">
        <v>50</v>
      </c>
      <c r="J2" s="18" t="s">
        <v>51</v>
      </c>
      <c r="K2" s="18" t="s">
        <v>52</v>
      </c>
    </row>
    <row r="3" customFormat="false" ht="16.5" hidden="false" customHeight="true" outlineLevel="0" collapsed="false">
      <c r="A3" s="30" t="s">
        <v>131</v>
      </c>
      <c r="B3" s="31" t="s">
        <v>132</v>
      </c>
    </row>
    <row r="4" customFormat="false" ht="16.5" hidden="false" customHeight="true" outlineLevel="0" collapsed="false">
      <c r="A4" s="34" t="s">
        <v>133</v>
      </c>
      <c r="B4" s="20" t="s">
        <v>134</v>
      </c>
      <c r="C4" s="32" t="n">
        <v>180000</v>
      </c>
      <c r="D4" s="32" t="n">
        <v>210000</v>
      </c>
      <c r="E4" s="32" t="n">
        <v>245000</v>
      </c>
      <c r="F4" s="32" t="n">
        <v>270000</v>
      </c>
    </row>
    <row r="5" customFormat="false" ht="16.5" hidden="false" customHeight="true" outlineLevel="0" collapsed="false">
      <c r="A5" s="34" t="s">
        <v>135</v>
      </c>
      <c r="B5" s="20" t="s">
        <v>136</v>
      </c>
      <c r="C5" s="32" t="n">
        <v>131250</v>
      </c>
      <c r="D5" s="32" t="n">
        <v>129067</v>
      </c>
      <c r="E5" s="32" t="n">
        <v>137644</v>
      </c>
      <c r="F5" s="32" t="n">
        <v>143040</v>
      </c>
      <c r="G5" s="33" t="n">
        <f aca="false">'2. DRE'!G6*'1. PREMISSAS'!H19/365</f>
        <v>156836.515068493</v>
      </c>
      <c r="H5" s="33" t="n">
        <f aca="false">'2. DRE'!H6*'1. PREMISSAS'!I19/365</f>
        <v>180196.901260274</v>
      </c>
      <c r="I5" s="33" t="n">
        <f aca="false">'2. DRE'!I6*'1. PREMISSAS'!J19/365</f>
        <v>201625.721950685</v>
      </c>
      <c r="J5" s="33" t="n">
        <f aca="false">'2. DRE'!J6*'1. PREMISSAS'!K19/365</f>
        <v>219548.008346301</v>
      </c>
      <c r="K5" s="33" t="n">
        <f aca="false">'2. DRE'!K6*'1. PREMISSAS'!L19/365</f>
        <v>241502.809180932</v>
      </c>
    </row>
    <row r="6" customFormat="false" ht="16.5" hidden="false" customHeight="true" outlineLevel="0" collapsed="false">
      <c r="A6" s="34" t="s">
        <v>137</v>
      </c>
      <c r="B6" s="20" t="s">
        <v>138</v>
      </c>
      <c r="C6" s="32" t="n">
        <v>143233</v>
      </c>
      <c r="D6" s="32" t="n">
        <v>160411</v>
      </c>
      <c r="E6" s="32" t="n">
        <v>171370</v>
      </c>
      <c r="F6" s="32" t="n">
        <v>180416</v>
      </c>
      <c r="G6" s="33" t="n">
        <f aca="false">ABS('2. DRE'!G7)*'1. PREMISSAS'!H20/365</f>
        <v>98930.8227945205</v>
      </c>
      <c r="H6" s="33" t="n">
        <f aca="false">ABS('2. DRE'!H7)*'1. PREMISSAS'!I20/365</f>
        <v>112014.289972603</v>
      </c>
      <c r="I6" s="33" t="n">
        <f aca="false">ABS('2. DRE'!I7)*'1. PREMISSAS'!J20/365</f>
        <v>123495.754694795</v>
      </c>
      <c r="J6" s="33" t="n">
        <f aca="false">ABS('2. DRE'!J7)*'1. PREMISSAS'!K20/365</f>
        <v>135241.573141322</v>
      </c>
      <c r="K6" s="33" t="n">
        <f aca="false">ABS('2. DRE'!K7)*'1. PREMISSAS'!L20/365</f>
        <v>145729.695140036</v>
      </c>
    </row>
    <row r="7" customFormat="false" ht="16.5" hidden="false" customHeight="true" outlineLevel="0" collapsed="false">
      <c r="A7" s="34" t="s">
        <v>139</v>
      </c>
      <c r="B7" s="20" t="s">
        <v>140</v>
      </c>
      <c r="C7" s="32" t="n">
        <v>30000</v>
      </c>
      <c r="D7" s="32" t="n">
        <v>35000</v>
      </c>
      <c r="E7" s="32" t="n">
        <v>40000</v>
      </c>
      <c r="F7" s="32" t="n">
        <v>42000</v>
      </c>
      <c r="G7" s="33" t="n">
        <f aca="false">F7*1.05</f>
        <v>44100</v>
      </c>
      <c r="H7" s="33" t="n">
        <f aca="false">G7*1.05</f>
        <v>46305</v>
      </c>
      <c r="I7" s="33" t="n">
        <f aca="false">H7*1.05</f>
        <v>48620.25</v>
      </c>
      <c r="J7" s="33" t="n">
        <f aca="false">I7*1.05</f>
        <v>51051.2625</v>
      </c>
      <c r="K7" s="33" t="n">
        <f aca="false">J7*1.05</f>
        <v>53603.825625</v>
      </c>
    </row>
    <row r="8" customFormat="false" ht="16.5" hidden="false" customHeight="true" outlineLevel="0" collapsed="false">
      <c r="A8" s="30" t="s">
        <v>141</v>
      </c>
      <c r="B8" s="31" t="s">
        <v>142</v>
      </c>
      <c r="C8" s="35" t="n">
        <f aca="false">C4+C5+C6+C7</f>
        <v>484483</v>
      </c>
      <c r="D8" s="35" t="n">
        <f aca="false">D4+D5+D6+D7</f>
        <v>534478</v>
      </c>
      <c r="E8" s="35" t="n">
        <f aca="false">E4+E5+E6+E7</f>
        <v>594014</v>
      </c>
      <c r="F8" s="35" t="n">
        <f aca="false">F4+F5+F6+F7</f>
        <v>635456</v>
      </c>
      <c r="G8" s="35" t="n">
        <f aca="false">G4+G5+G6+G7</f>
        <v>299867.337863014</v>
      </c>
      <c r="H8" s="35" t="n">
        <f aca="false">H4+H5+H6+H7</f>
        <v>338516.191232877</v>
      </c>
      <c r="I8" s="35" t="n">
        <f aca="false">I4+I5+I6+I7</f>
        <v>373741.726645479</v>
      </c>
      <c r="J8" s="35" t="n">
        <f aca="false">J4+J5+J6+J7</f>
        <v>405840.843987623</v>
      </c>
      <c r="K8" s="35" t="n">
        <f aca="false">K4+K5+K6+K7</f>
        <v>440836.329945968</v>
      </c>
    </row>
    <row r="9" customFormat="false" ht="16.5" hidden="false" customHeight="true" outlineLevel="0" collapsed="false">
      <c r="A9" s="34" t="s">
        <v>143</v>
      </c>
      <c r="B9" s="20" t="s">
        <v>144</v>
      </c>
      <c r="C9" s="32" t="n">
        <v>350000</v>
      </c>
      <c r="D9" s="32" t="n">
        <v>365000</v>
      </c>
      <c r="E9" s="32" t="n">
        <v>372000</v>
      </c>
      <c r="F9" s="32" t="n">
        <v>380000</v>
      </c>
      <c r="G9" s="33" t="n">
        <f aca="false">F9+'2. DRE'!G6*'1. PREMISSAS'!H18+('2. DRE'!G15)</f>
        <v>425193.68</v>
      </c>
      <c r="H9" s="33" t="n">
        <f aca="false">G9+'2. DRE'!H6*'1. PREMISSAS'!I18+('2. DRE'!H15)</f>
        <v>478522.2224</v>
      </c>
      <c r="I9" s="33" t="n">
        <f aca="false">H9+'2. DRE'!I6*'1. PREMISSAS'!J18+('2. DRE'!I15)</f>
        <v>519407.43824</v>
      </c>
      <c r="J9" s="33" t="n">
        <f aca="false">I9+'2. DRE'!J6*'1. PREMISSAS'!K18+('2. DRE'!J15)</f>
        <v>565198.8799808</v>
      </c>
      <c r="K9" s="33" t="n">
        <f aca="false">J9+'2. DRE'!K6*'1. PREMISSAS'!L18+('2. DRE'!K15)</f>
        <v>590384.17293824</v>
      </c>
    </row>
    <row r="10" customFormat="false" ht="16.5" hidden="false" customHeight="true" outlineLevel="0" collapsed="false">
      <c r="A10" s="34" t="s">
        <v>145</v>
      </c>
      <c r="B10" s="20" t="s">
        <v>146</v>
      </c>
      <c r="C10" s="32" t="n">
        <v>80000</v>
      </c>
      <c r="D10" s="32" t="n">
        <v>78000</v>
      </c>
      <c r="E10" s="32" t="n">
        <v>76000</v>
      </c>
      <c r="F10" s="32" t="n">
        <v>74000</v>
      </c>
      <c r="G10" s="33" t="n">
        <f aca="false">F10-2000</f>
        <v>72000</v>
      </c>
      <c r="H10" s="33" t="n">
        <f aca="false">G10-2000</f>
        <v>70000</v>
      </c>
      <c r="I10" s="33" t="n">
        <f aca="false">H10-2000</f>
        <v>68000</v>
      </c>
      <c r="J10" s="33" t="n">
        <f aca="false">I10-2000</f>
        <v>66000</v>
      </c>
      <c r="K10" s="33" t="n">
        <f aca="false">J10-2000</f>
        <v>64000</v>
      </c>
    </row>
    <row r="11" customFormat="false" ht="16.5" hidden="false" customHeight="true" outlineLevel="0" collapsed="false">
      <c r="A11" s="34" t="s">
        <v>147</v>
      </c>
      <c r="B11" s="20" t="s">
        <v>148</v>
      </c>
      <c r="C11" s="32" t="n">
        <v>25000</v>
      </c>
      <c r="D11" s="32" t="n">
        <v>27000</v>
      </c>
      <c r="E11" s="32" t="n">
        <v>28000</v>
      </c>
      <c r="F11" s="32" t="n">
        <v>30000</v>
      </c>
      <c r="G11" s="33" t="n">
        <f aca="false">F11*1.03</f>
        <v>30900</v>
      </c>
      <c r="H11" s="33" t="n">
        <f aca="false">G11*1.03</f>
        <v>31827</v>
      </c>
      <c r="I11" s="33" t="n">
        <f aca="false">H11*1.03</f>
        <v>32781.81</v>
      </c>
      <c r="J11" s="33" t="n">
        <f aca="false">I11*1.03</f>
        <v>33765.2643</v>
      </c>
      <c r="K11" s="33" t="n">
        <f aca="false">J11*1.03</f>
        <v>34778.222229</v>
      </c>
    </row>
    <row r="12" customFormat="false" ht="16.5" hidden="false" customHeight="true" outlineLevel="0" collapsed="false">
      <c r="A12" s="30" t="s">
        <v>149</v>
      </c>
      <c r="B12" s="31" t="s">
        <v>150</v>
      </c>
      <c r="C12" s="35" t="n">
        <f aca="false">C9+C10+C11</f>
        <v>455000</v>
      </c>
      <c r="D12" s="35" t="n">
        <f aca="false">D9+D10+D11</f>
        <v>470000</v>
      </c>
      <c r="E12" s="35" t="n">
        <f aca="false">E9+E10+E11</f>
        <v>476000</v>
      </c>
      <c r="F12" s="35" t="n">
        <f aca="false">F9+F10+F11</f>
        <v>484000</v>
      </c>
      <c r="G12" s="35" t="n">
        <f aca="false">G9+G10+G11</f>
        <v>528093.68</v>
      </c>
      <c r="H12" s="35" t="n">
        <f aca="false">H9+H10+H11</f>
        <v>580349.2224</v>
      </c>
      <c r="I12" s="35" t="n">
        <f aca="false">I9+I10+I11</f>
        <v>620189.24824</v>
      </c>
      <c r="J12" s="35" t="n">
        <f aca="false">J9+J10+J11</f>
        <v>664964.1442808</v>
      </c>
      <c r="K12" s="35" t="n">
        <f aca="false">K9+K10+K11</f>
        <v>689162.39516724</v>
      </c>
    </row>
    <row r="13" customFormat="false" ht="16.5" hidden="false" customHeight="true" outlineLevel="0" collapsed="false">
      <c r="A13" s="30" t="s">
        <v>151</v>
      </c>
      <c r="B13" s="31" t="s">
        <v>152</v>
      </c>
      <c r="C13" s="35" t="n">
        <f aca="false">C8+C12</f>
        <v>939483</v>
      </c>
      <c r="D13" s="35" t="n">
        <f aca="false">D8+D12</f>
        <v>1004478</v>
      </c>
      <c r="E13" s="35" t="n">
        <f aca="false">E8+E12</f>
        <v>1070014</v>
      </c>
      <c r="F13" s="35" t="n">
        <f aca="false">F8+F12</f>
        <v>1119456</v>
      </c>
      <c r="G13" s="35" t="n">
        <f aca="false">G8+G12</f>
        <v>827961.017863014</v>
      </c>
      <c r="H13" s="35" t="n">
        <f aca="false">H8+H12</f>
        <v>918865.413632877</v>
      </c>
      <c r="I13" s="35" t="n">
        <f aca="false">I8+I12</f>
        <v>993930.97488548</v>
      </c>
      <c r="J13" s="35" t="n">
        <f aca="false">J8+J12</f>
        <v>1070804.98826842</v>
      </c>
      <c r="K13" s="35" t="n">
        <f aca="false">K8+K12</f>
        <v>1129998.72511321</v>
      </c>
    </row>
    <row r="14" customFormat="false" ht="16.5" hidden="false" customHeight="true" outlineLevel="0" collapsed="false">
      <c r="A14" s="30" t="s">
        <v>153</v>
      </c>
      <c r="B14" s="31" t="s">
        <v>154</v>
      </c>
    </row>
    <row r="15" customFormat="false" ht="16.5" hidden="false" customHeight="true" outlineLevel="0" collapsed="false">
      <c r="A15" s="34" t="s">
        <v>155</v>
      </c>
      <c r="B15" s="20" t="s">
        <v>156</v>
      </c>
      <c r="C15" s="36" t="n">
        <f aca="false">ABS('2. DRE'!C7)*'1. PREMISSAS'!D21/365</f>
        <v>48723.2876712329</v>
      </c>
      <c r="D15" s="36" t="n">
        <f aca="false">ABS('2. DRE'!D7)*'1. PREMISSAS'!E21/365</f>
        <v>62634.0821917808</v>
      </c>
      <c r="E15" s="36" t="n">
        <f aca="false">ABS('2. DRE'!E7)*'1. PREMISSAS'!F21/365</f>
        <v>73745.5068493151</v>
      </c>
      <c r="F15" s="36" t="n">
        <f aca="false">ABS('2. DRE'!F7)*'1. PREMISSAS'!G21/365</f>
        <v>82680.8547945206</v>
      </c>
      <c r="G15" s="33" t="n">
        <f aca="false">ABS('2. DRE'!G7)*'1. PREMISSAS'!H21/365</f>
        <v>101035.733917808</v>
      </c>
      <c r="H15" s="33" t="n">
        <f aca="false">ABS('2. DRE'!H7)*'1. PREMISSAS'!I21/365</f>
        <v>121754.663013699</v>
      </c>
      <c r="I15" s="33" t="n">
        <f aca="false">ABS('2. DRE'!I7)*'1. PREMISSAS'!J21/365</f>
        <v>142706.205425096</v>
      </c>
      <c r="J15" s="33" t="n">
        <f aca="false">ABS('2. DRE'!J7)*'1. PREMISSAS'!K21/365</f>
        <v>162904.622192956</v>
      </c>
      <c r="K15" s="33" t="n">
        <f aca="false">ABS('2. DRE'!K7)*'1. PREMISSAS'!L21/365</f>
        <v>178850.080399136</v>
      </c>
    </row>
    <row r="16" customFormat="false" ht="16.5" hidden="false" customHeight="true" outlineLevel="0" collapsed="false">
      <c r="A16" s="34" t="s">
        <v>157</v>
      </c>
      <c r="B16" s="20" t="s">
        <v>158</v>
      </c>
      <c r="C16" s="32" t="n">
        <v>-80000</v>
      </c>
      <c r="D16" s="32" t="n">
        <v>-90000</v>
      </c>
      <c r="E16" s="32" t="n">
        <v>-95000</v>
      </c>
      <c r="F16" s="32" t="n">
        <v>-100000</v>
      </c>
      <c r="G16" s="33" t="n">
        <f aca="false">F16*1.05</f>
        <v>-105000</v>
      </c>
      <c r="H16" s="33" t="n">
        <f aca="false">G16*1.05</f>
        <v>-110250</v>
      </c>
      <c r="I16" s="33" t="n">
        <f aca="false">H16*1.05</f>
        <v>-115762.5</v>
      </c>
      <c r="J16" s="33" t="n">
        <f aca="false">I16*1.05</f>
        <v>-121550.625</v>
      </c>
      <c r="K16" s="33" t="n">
        <f aca="false">J16*1.05</f>
        <v>-127628.15625</v>
      </c>
    </row>
    <row r="17" customFormat="false" ht="16.5" hidden="false" customHeight="true" outlineLevel="0" collapsed="false">
      <c r="A17" s="34" t="s">
        <v>159</v>
      </c>
      <c r="B17" s="20" t="s">
        <v>160</v>
      </c>
      <c r="C17" s="32" t="n">
        <v>-60000</v>
      </c>
      <c r="D17" s="32" t="n">
        <v>-65000</v>
      </c>
      <c r="E17" s="32" t="n">
        <v>-70000</v>
      </c>
      <c r="F17" s="32" t="n">
        <v>-75000</v>
      </c>
      <c r="G17" s="33" t="n">
        <f aca="false">F17*1.04</f>
        <v>-78000</v>
      </c>
      <c r="H17" s="33" t="n">
        <f aca="false">G17*1.04</f>
        <v>-81120</v>
      </c>
      <c r="I17" s="33" t="n">
        <f aca="false">H17*1.04</f>
        <v>-84364.8</v>
      </c>
      <c r="J17" s="33" t="n">
        <f aca="false">I17*1.04</f>
        <v>-87739.392</v>
      </c>
      <c r="K17" s="33" t="n">
        <f aca="false">J17*1.04</f>
        <v>-91248.96768</v>
      </c>
    </row>
    <row r="18" customFormat="false" ht="16.5" hidden="false" customHeight="true" outlineLevel="0" collapsed="false">
      <c r="A18" s="30" t="s">
        <v>161</v>
      </c>
      <c r="B18" s="31" t="s">
        <v>162</v>
      </c>
      <c r="C18" s="35" t="n">
        <f aca="false">C15+C16+C17</f>
        <v>-91276.7123287671</v>
      </c>
      <c r="D18" s="35" t="n">
        <f aca="false">D15+D16+D17</f>
        <v>-92365.9178082192</v>
      </c>
      <c r="E18" s="35" t="n">
        <f aca="false">E15+E16+E17</f>
        <v>-91254.4931506849</v>
      </c>
      <c r="F18" s="35" t="n">
        <f aca="false">F15+F16+F17</f>
        <v>-92319.1452054795</v>
      </c>
      <c r="G18" s="35" t="n">
        <f aca="false">G15+G16+G17</f>
        <v>-81964.2660821918</v>
      </c>
      <c r="H18" s="35" t="n">
        <f aca="false">H15+H16+H17</f>
        <v>-69615.3369863014</v>
      </c>
      <c r="I18" s="35" t="n">
        <f aca="false">I15+I16+I17</f>
        <v>-57421.0945749041</v>
      </c>
      <c r="J18" s="35" t="n">
        <f aca="false">J15+J16+J17</f>
        <v>-46385.3948070444</v>
      </c>
      <c r="K18" s="35" t="n">
        <f aca="false">K15+K16+K17</f>
        <v>-40027.0435308644</v>
      </c>
    </row>
    <row r="19" customFormat="false" ht="16.5" hidden="false" customHeight="true" outlineLevel="0" collapsed="false">
      <c r="A19" s="34" t="s">
        <v>163</v>
      </c>
      <c r="B19" s="20" t="s">
        <v>164</v>
      </c>
      <c r="C19" s="32" t="n">
        <v>-320000</v>
      </c>
      <c r="D19" s="32" t="n">
        <v>-300000</v>
      </c>
      <c r="E19" s="32" t="n">
        <v>-280000</v>
      </c>
      <c r="F19" s="32" t="n">
        <v>-260000</v>
      </c>
      <c r="G19" s="33" t="n">
        <f aca="false">F19*0.95</f>
        <v>-247000</v>
      </c>
      <c r="H19" s="33" t="n">
        <f aca="false">G19*0.95</f>
        <v>-234650</v>
      </c>
      <c r="I19" s="33" t="n">
        <f aca="false">H19*0.95</f>
        <v>-222917.5</v>
      </c>
      <c r="J19" s="33" t="n">
        <f aca="false">I19*0.95</f>
        <v>-211771.625</v>
      </c>
      <c r="K19" s="33" t="n">
        <f aca="false">J19*0.95</f>
        <v>-201183.04375</v>
      </c>
    </row>
    <row r="20" customFormat="false" ht="16.5" hidden="false" customHeight="true" outlineLevel="0" collapsed="false">
      <c r="A20" s="34" t="s">
        <v>165</v>
      </c>
      <c r="B20" s="20" t="s">
        <v>166</v>
      </c>
      <c r="C20" s="32" t="n">
        <v>-40000</v>
      </c>
      <c r="D20" s="32" t="n">
        <v>-42000</v>
      </c>
      <c r="E20" s="32" t="n">
        <v>-44000</v>
      </c>
      <c r="F20" s="32" t="n">
        <v>-46000</v>
      </c>
      <c r="G20" s="33" t="n">
        <f aca="false">F20*1.03</f>
        <v>-47380</v>
      </c>
      <c r="H20" s="33" t="n">
        <f aca="false">G20*1.03</f>
        <v>-48801.4</v>
      </c>
      <c r="I20" s="33" t="n">
        <f aca="false">H20*1.03</f>
        <v>-50265.442</v>
      </c>
      <c r="J20" s="33" t="n">
        <f aca="false">I20*1.03</f>
        <v>-51773.40526</v>
      </c>
      <c r="K20" s="33" t="n">
        <f aca="false">J20*1.03</f>
        <v>-53326.6074178</v>
      </c>
    </row>
    <row r="21" customFormat="false" ht="16.5" hidden="false" customHeight="true" outlineLevel="0" collapsed="false">
      <c r="A21" s="30" t="s">
        <v>167</v>
      </c>
      <c r="B21" s="31" t="s">
        <v>168</v>
      </c>
      <c r="C21" s="35" t="n">
        <f aca="false">C19+C20</f>
        <v>-360000</v>
      </c>
      <c r="D21" s="35" t="n">
        <f aca="false">D19+D20</f>
        <v>-342000</v>
      </c>
      <c r="E21" s="35" t="n">
        <f aca="false">E19+E20</f>
        <v>-324000</v>
      </c>
      <c r="F21" s="35" t="n">
        <f aca="false">F19+F20</f>
        <v>-306000</v>
      </c>
      <c r="G21" s="35" t="n">
        <f aca="false">G19+G20</f>
        <v>-294380</v>
      </c>
      <c r="H21" s="35" t="n">
        <f aca="false">H19+H20</f>
        <v>-283451.4</v>
      </c>
      <c r="I21" s="35" t="n">
        <f aca="false">I19+I20</f>
        <v>-273182.942</v>
      </c>
      <c r="J21" s="35" t="n">
        <f aca="false">J19+J20</f>
        <v>-263545.03026</v>
      </c>
      <c r="K21" s="35" t="n">
        <f aca="false">K19+K20</f>
        <v>-254509.6511678</v>
      </c>
    </row>
    <row r="22" customFormat="false" ht="16.5" hidden="false" customHeight="true" outlineLevel="0" collapsed="false">
      <c r="A22" s="30" t="s">
        <v>169</v>
      </c>
      <c r="B22" s="31" t="s">
        <v>170</v>
      </c>
    </row>
    <row r="23" customFormat="false" ht="16.5" hidden="false" customHeight="true" outlineLevel="0" collapsed="false">
      <c r="A23" s="34" t="s">
        <v>171</v>
      </c>
      <c r="B23" s="20" t="s">
        <v>172</v>
      </c>
      <c r="C23" s="32" t="n">
        <v>400000</v>
      </c>
      <c r="D23" s="32" t="n">
        <v>400000</v>
      </c>
      <c r="E23" s="32" t="n">
        <v>400000</v>
      </c>
      <c r="F23" s="32" t="n">
        <v>400000</v>
      </c>
      <c r="G23" s="32" t="n">
        <v>400000</v>
      </c>
      <c r="H23" s="32" t="n">
        <v>400000</v>
      </c>
      <c r="I23" s="32" t="n">
        <v>400000</v>
      </c>
      <c r="J23" s="32" t="n">
        <v>400000</v>
      </c>
      <c r="K23" s="32" t="n">
        <v>400000</v>
      </c>
    </row>
    <row r="24" customFormat="false" ht="16.5" hidden="false" customHeight="true" outlineLevel="0" collapsed="false">
      <c r="A24" s="34" t="s">
        <v>173</v>
      </c>
      <c r="B24" s="20" t="s">
        <v>174</v>
      </c>
      <c r="C24" s="36" t="n">
        <f aca="false">C13-(C18+C21+C23)</f>
        <v>990759.712328767</v>
      </c>
      <c r="D24" s="36" t="n">
        <f aca="false">D13-(D18+D21+D23)</f>
        <v>1038843.91780822</v>
      </c>
      <c r="E24" s="36" t="n">
        <f aca="false">E13-(E18+E21+E23)</f>
        <v>1085268.49315069</v>
      </c>
      <c r="F24" s="36" t="n">
        <f aca="false">F13-(F18+F21+F23)</f>
        <v>1117775.14520548</v>
      </c>
      <c r="G24" s="33" t="n">
        <f aca="false">G13-(G18+G21+G23)</f>
        <v>804305.283945205</v>
      </c>
      <c r="H24" s="33" t="n">
        <f aca="false">H13-(H18+H21+H23)</f>
        <v>871932.150619178</v>
      </c>
      <c r="I24" s="33" t="n">
        <f aca="false">I13-(I18+I21+I23)</f>
        <v>924535.011460384</v>
      </c>
      <c r="J24" s="33" t="n">
        <f aca="false">J13-(J18+J21+J23)</f>
        <v>980735.413335468</v>
      </c>
      <c r="K24" s="33" t="n">
        <f aca="false">K13-(K18+K21+K23)</f>
        <v>1024535.41981187</v>
      </c>
    </row>
    <row r="25" customFormat="false" ht="16.5" hidden="false" customHeight="true" outlineLevel="0" collapsed="false">
      <c r="A25" s="30" t="s">
        <v>175</v>
      </c>
      <c r="B25" s="31" t="s">
        <v>176</v>
      </c>
      <c r="C25" s="35" t="n">
        <f aca="false">C23+C24</f>
        <v>1390759.71232877</v>
      </c>
      <c r="D25" s="35" t="n">
        <f aca="false">D23+D24</f>
        <v>1438843.91780822</v>
      </c>
      <c r="E25" s="35" t="n">
        <f aca="false">E23+E24</f>
        <v>1485268.49315069</v>
      </c>
      <c r="F25" s="35" t="n">
        <f aca="false">F23+F24</f>
        <v>1517775.14520548</v>
      </c>
      <c r="G25" s="35" t="n">
        <f aca="false">G23+G24</f>
        <v>1204305.28394521</v>
      </c>
      <c r="H25" s="35" t="n">
        <f aca="false">H23+H24</f>
        <v>1271932.15061918</v>
      </c>
      <c r="I25" s="35" t="n">
        <f aca="false">I23+I24</f>
        <v>1324535.01146038</v>
      </c>
      <c r="J25" s="35" t="n">
        <f aca="false">J23+J24</f>
        <v>1380735.41333547</v>
      </c>
      <c r="K25" s="35" t="n">
        <f aca="false">K23+K24</f>
        <v>1424535.41981187</v>
      </c>
    </row>
    <row r="26" customFormat="false" ht="16.5" hidden="false" customHeight="true" outlineLevel="0" collapsed="false">
      <c r="A26" s="30" t="s">
        <v>177</v>
      </c>
      <c r="B26" s="31" t="s">
        <v>178</v>
      </c>
      <c r="C26" s="35" t="n">
        <f aca="false">C18+C21+C25</f>
        <v>939483</v>
      </c>
      <c r="D26" s="35" t="n">
        <f aca="false">D18+D21+D25</f>
        <v>1004478</v>
      </c>
      <c r="E26" s="35" t="n">
        <f aca="false">E18+E21+E25</f>
        <v>1070014</v>
      </c>
      <c r="F26" s="35" t="n">
        <f aca="false">F18+F21+F25</f>
        <v>1119456</v>
      </c>
      <c r="G26" s="35" t="n">
        <f aca="false">G18+G21+G25</f>
        <v>827961.017863014</v>
      </c>
      <c r="H26" s="35" t="n">
        <f aca="false">H18+H21+H25</f>
        <v>918865.413632877</v>
      </c>
      <c r="I26" s="35" t="n">
        <f aca="false">I18+I21+I25</f>
        <v>993930.97488548</v>
      </c>
      <c r="J26" s="35" t="n">
        <f aca="false">J18+J21+J25</f>
        <v>1070804.98826842</v>
      </c>
      <c r="K26" s="35" t="n">
        <f aca="false">K18+K21+K25</f>
        <v>1129998.72511321</v>
      </c>
    </row>
    <row r="27" customFormat="false" ht="16.5" hidden="false" customHeight="true" outlineLevel="0" collapsed="false">
      <c r="A27" s="30" t="s">
        <v>179</v>
      </c>
      <c r="B27" s="31" t="s">
        <v>180</v>
      </c>
    </row>
    <row r="28" customFormat="false" ht="16.5" hidden="false" customHeight="true" outlineLevel="0" collapsed="false">
      <c r="A28" s="34" t="s">
        <v>181</v>
      </c>
      <c r="B28" s="20" t="s">
        <v>182</v>
      </c>
      <c r="C28" s="36" t="n">
        <f aca="false">ABS(C16)+ABS(C19)-C4</f>
        <v>220000</v>
      </c>
      <c r="D28" s="36" t="n">
        <f aca="false">ABS(D16)+ABS(D19)-D4</f>
        <v>180000</v>
      </c>
      <c r="E28" s="36" t="n">
        <f aca="false">ABS(E16)+ABS(E19)-E4</f>
        <v>130000</v>
      </c>
      <c r="F28" s="36" t="n">
        <f aca="false">ABS(F16)+ABS(F19)-F4</f>
        <v>90000</v>
      </c>
      <c r="G28" s="36" t="n">
        <f aca="false">ABS(G16)+ABS(G19)-G4</f>
        <v>352000</v>
      </c>
      <c r="H28" s="36" t="n">
        <f aca="false">ABS(H16)+ABS(H19)-H4</f>
        <v>344900</v>
      </c>
      <c r="I28" s="36" t="n">
        <f aca="false">ABS(I16)+ABS(I19)-I4</f>
        <v>338680</v>
      </c>
      <c r="J28" s="36" t="n">
        <f aca="false">ABS(J16)+ABS(J19)-J4</f>
        <v>333322.25</v>
      </c>
      <c r="K28" s="36" t="n">
        <f aca="false">ABS(K16)+ABS(K19)-K4</f>
        <v>328811.2</v>
      </c>
    </row>
    <row r="29" customFormat="false" ht="16.5" hidden="false" customHeight="true" outlineLevel="0" collapsed="false">
      <c r="A29" s="34" t="s">
        <v>183</v>
      </c>
      <c r="B29" s="20" t="s">
        <v>184</v>
      </c>
      <c r="C29" s="36" t="n">
        <f aca="false">C13-C4-C11</f>
        <v>734483</v>
      </c>
      <c r="D29" s="36" t="n">
        <f aca="false">D13-D4-D11</f>
        <v>767478</v>
      </c>
      <c r="E29" s="36" t="n">
        <f aca="false">E13-E4-E11</f>
        <v>797014</v>
      </c>
      <c r="F29" s="36" t="n">
        <f aca="false">F13-F4-F11</f>
        <v>819456</v>
      </c>
      <c r="G29" s="36" t="n">
        <f aca="false">G13-G4-G11</f>
        <v>797061.017863014</v>
      </c>
      <c r="H29" s="36" t="n">
        <f aca="false">H13-H4-H11</f>
        <v>887038.413632877</v>
      </c>
      <c r="I29" s="36" t="n">
        <f aca="false">I13-I4-I11</f>
        <v>961149.16488548</v>
      </c>
      <c r="J29" s="36" t="n">
        <f aca="false">J13-J4-J11</f>
        <v>1037039.72396842</v>
      </c>
      <c r="K29" s="36" t="n">
        <f aca="false">K13-K4-K11</f>
        <v>1095220.50288421</v>
      </c>
    </row>
    <row r="30" customFormat="false" ht="16.5" hidden="false" customHeight="true" outlineLevel="0" collapsed="false">
      <c r="A30" s="34" t="s">
        <v>185</v>
      </c>
      <c r="B30" s="20" t="s">
        <v>186</v>
      </c>
      <c r="C30" s="36" t="n">
        <f aca="false">C5+C6-ABS(C15)</f>
        <v>225759.712328767</v>
      </c>
      <c r="D30" s="36" t="n">
        <f aca="false">D5+D6-ABS(D15)</f>
        <v>226843.917808219</v>
      </c>
      <c r="E30" s="36" t="n">
        <f aca="false">E5+E6-ABS(E15)</f>
        <v>235268.493150685</v>
      </c>
      <c r="F30" s="36" t="n">
        <f aca="false">F5+F6-ABS(F15)</f>
        <v>240775.145205479</v>
      </c>
      <c r="G30" s="36" t="n">
        <f aca="false">G5+G6-ABS(G15)</f>
        <v>154731.603945205</v>
      </c>
      <c r="H30" s="36" t="n">
        <f aca="false">H5+H6-ABS(H15)</f>
        <v>170456.528219178</v>
      </c>
      <c r="I30" s="36" t="n">
        <f aca="false">I5+I6-ABS(I15)</f>
        <v>182415.271220384</v>
      </c>
      <c r="J30" s="36" t="n">
        <f aca="false">J5+J6-ABS(J15)</f>
        <v>191884.959294667</v>
      </c>
      <c r="K30" s="36" t="n">
        <f aca="false">K5+K6-ABS(K15)</f>
        <v>208382.423921832</v>
      </c>
    </row>
    <row r="31" customFormat="false" ht="16.5" hidden="false" customHeight="true" outlineLevel="0" collapsed="false">
      <c r="A31" s="34" t="s">
        <v>187</v>
      </c>
      <c r="B31" s="20" t="s">
        <v>188</v>
      </c>
      <c r="C31" s="37" t="n">
        <f aca="false">IF(C29&lt;&gt;0,'2. DRE'!C16*(1-'1. PREMISSAS'!D22)/C29,0)</f>
        <v>0.290555737300931</v>
      </c>
      <c r="D31" s="37" t="n">
        <f aca="false">IF(D29&lt;&gt;0,'2. DRE'!D16*(1-'1. PREMISSAS'!E22)/D29,0)</f>
        <v>0.314151857370339</v>
      </c>
      <c r="E31" s="37" t="n">
        <f aca="false">IF(E29&lt;&gt;0,'2. DRE'!E16*(1-'1. PREMISSAS'!F22)/E29,0)</f>
        <v>0.348014596690481</v>
      </c>
      <c r="F31" s="37" t="n">
        <f aca="false">IF(F29&lt;&gt;0,'2. DRE'!F16*(1-'1. PREMISSAS'!G22)/F29,0)</f>
        <v>0.386558419894825</v>
      </c>
      <c r="G31" s="37" t="n">
        <f aca="false">IF(G29&lt;&gt;0,'2. DRE'!G16*(1-'1. PREMISSAS'!H22)/G29,0)</f>
        <v>0.47552737005781</v>
      </c>
      <c r="H31" s="37" t="n">
        <f aca="false">IF(H29&lt;&gt;0,'2. DRE'!H16*(1-'1. PREMISSAS'!I22)/H29,0)</f>
        <v>0.526047957820601</v>
      </c>
      <c r="I31" s="37" t="n">
        <f aca="false">IF(I29&lt;&gt;0,'2. DRE'!I16*(1-'1. PREMISSAS'!J22)/I29,0)</f>
        <v>0.574260930566136</v>
      </c>
      <c r="J31" s="37" t="n">
        <f aca="false">IF(J29&lt;&gt;0,'2. DRE'!J16*(1-'1. PREMISSAS'!K22)/J29,0)</f>
        <v>0.596104902457549</v>
      </c>
      <c r="K31" s="37" t="n">
        <f aca="false">IF(K29&lt;&gt;0,'2. DRE'!K16*(1-'1. PREMISSAS'!L22)/K29,0)</f>
        <v>0.638128922649333</v>
      </c>
    </row>
    <row r="32" customFormat="false" ht="16.5" hidden="false" customHeight="true" outlineLevel="0" collapsed="false">
      <c r="A32" s="34" t="s">
        <v>189</v>
      </c>
      <c r="B32" s="20" t="s">
        <v>190</v>
      </c>
      <c r="C32" s="37" t="n">
        <f aca="false">IF(C25&lt;&gt;0,'2. DRE'!C21/C25,0)</f>
        <v>0.138692721603948</v>
      </c>
      <c r="D32" s="37" t="n">
        <f aca="false">IF(D25&lt;&gt;0,'2. DRE'!D21/D25,0)</f>
        <v>0.144838947860535</v>
      </c>
      <c r="E32" s="37" t="n">
        <f aca="false">IF(E25&lt;&gt;0,'2. DRE'!E21/E25,0)</f>
        <v>0.168878358979112</v>
      </c>
      <c r="F32" s="37" t="n">
        <f aca="false">IF(F25&lt;&gt;0,'2. DRE'!F21/F25,0)</f>
        <v>0.19198207155638</v>
      </c>
      <c r="G32" s="37" t="n">
        <f aca="false">IF(G25&lt;&gt;0,'2. DRE'!G21/G25,0)</f>
        <v>0.291582955153734</v>
      </c>
      <c r="H32" s="37" t="n">
        <f aca="false">IF(H25&lt;&gt;0,'2. DRE'!H21/H25,0)</f>
        <v>0.340658428037275</v>
      </c>
      <c r="I32" s="37" t="n">
        <f aca="false">IF(I25&lt;&gt;0,'2. DRE'!I21/I25,0)</f>
        <v>0.387774214759111</v>
      </c>
      <c r="J32" s="37" t="n">
        <f aca="false">IF(J25&lt;&gt;0,'2. DRE'!J21/J25,0)</f>
        <v>0.416629414522762</v>
      </c>
      <c r="K32" s="37" t="n">
        <f aca="false">IF(K25&lt;&gt;0,'2. DRE'!K21/K25,0)</f>
        <v>0.457461040428058</v>
      </c>
    </row>
    <row r="33" customFormat="false" ht="16.5" hidden="false" customHeight="true" outlineLevel="0" collapsed="false">
      <c r="A33" s="34" t="s">
        <v>191</v>
      </c>
      <c r="B33" s="20" t="s">
        <v>192</v>
      </c>
      <c r="C33" s="39" t="n">
        <f aca="false">IF('2. DRE'!C13&lt;&gt;0,C28/'2. DRE'!C13,0)</f>
        <v>0.742240215924427</v>
      </c>
      <c r="D33" s="39" t="n">
        <f aca="false">IF('2. DRE'!D13&lt;&gt;0,D28/'2. DRE'!D13,0)</f>
        <v>0.544992127891486</v>
      </c>
      <c r="E33" s="39" t="n">
        <f aca="false">IF('2. DRE'!E13&lt;&gt;0,E28/'2. DRE'!E13,0)</f>
        <v>0.342139477105605</v>
      </c>
      <c r="F33" s="39" t="n">
        <f aca="false">IF('2. DRE'!F13&lt;&gt;0,F28/'2. DRE'!F13,0)</f>
        <v>0.210248934738731</v>
      </c>
      <c r="G33" s="39" t="n">
        <f aca="false">IF('2. DRE'!G13&lt;&gt;0,G28/'2. DRE'!G13,0)</f>
        <v>0.631516188558678</v>
      </c>
      <c r="H33" s="39" t="n">
        <f aca="false">IF('2. DRE'!H13&lt;&gt;0,H28/'2. DRE'!H13,0)</f>
        <v>0.510588629334468</v>
      </c>
      <c r="I33" s="39" t="n">
        <f aca="false">IF('2. DRE'!I13&lt;&gt;0,I28/'2. DRE'!I13,0)</f>
        <v>0.424804046435117</v>
      </c>
      <c r="J33" s="39" t="n">
        <f aca="false">IF('2. DRE'!J13&lt;&gt;0,J28/'2. DRE'!J13,0)</f>
        <v>0.373289157714345</v>
      </c>
      <c r="K33" s="39" t="n">
        <f aca="false">IF('2. DRE'!K13&lt;&gt;0,K28/'2. DRE'!K13,0)</f>
        <v>0.32639207389373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0"/>
    <col collapsed="false" customWidth="true" hidden="false" outlineLevel="0" max="11" min="3" style="1" width="13"/>
  </cols>
  <sheetData>
    <row r="1" customFormat="false" ht="27.75" hidden="false" customHeight="true" outlineLevel="0" collapsed="false">
      <c r="A1" s="15" t="s">
        <v>193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customFormat="false" ht="18" hidden="false" customHeight="true" outlineLevel="0" collapsed="false">
      <c r="A2" s="4" t="s">
        <v>130</v>
      </c>
      <c r="B2" s="16" t="s">
        <v>94</v>
      </c>
      <c r="C2" s="17" t="s">
        <v>44</v>
      </c>
      <c r="D2" s="17" t="s">
        <v>45</v>
      </c>
      <c r="E2" s="17" t="s">
        <v>46</v>
      </c>
      <c r="F2" s="17" t="s">
        <v>47</v>
      </c>
      <c r="G2" s="18" t="s">
        <v>48</v>
      </c>
      <c r="H2" s="18" t="s">
        <v>49</v>
      </c>
      <c r="I2" s="18" t="s">
        <v>50</v>
      </c>
      <c r="J2" s="18" t="s">
        <v>51</v>
      </c>
      <c r="K2" s="18" t="s">
        <v>52</v>
      </c>
    </row>
    <row r="3" customFormat="false" ht="16.5" hidden="false" customHeight="true" outlineLevel="0" collapsed="false">
      <c r="A3" s="30" t="s">
        <v>194</v>
      </c>
      <c r="B3" s="31" t="s">
        <v>195</v>
      </c>
    </row>
    <row r="4" customFormat="false" ht="16.5" hidden="false" customHeight="true" outlineLevel="0" collapsed="false">
      <c r="A4" s="34" t="s">
        <v>114</v>
      </c>
      <c r="B4" s="20" t="s">
        <v>114</v>
      </c>
      <c r="C4" s="40" t="n">
        <f aca="false">'2. DRE'!C13</f>
        <v>296400</v>
      </c>
      <c r="D4" s="40" t="n">
        <f aca="false">'2. DRE'!D13</f>
        <v>330280</v>
      </c>
      <c r="E4" s="40" t="n">
        <f aca="false">'2. DRE'!E13</f>
        <v>379962</v>
      </c>
      <c r="F4" s="40" t="n">
        <f aca="false">'2. DRE'!F13</f>
        <v>428064</v>
      </c>
      <c r="G4" s="41" t="n">
        <f aca="false">'2. DRE'!G13</f>
        <v>557388.72</v>
      </c>
      <c r="H4" s="41" t="n">
        <f aca="false">'2. DRE'!H13</f>
        <v>675494.8704</v>
      </c>
      <c r="I4" s="41" t="n">
        <f aca="false">'2. DRE'!I13</f>
        <v>797261.70888</v>
      </c>
      <c r="J4" s="41" t="n">
        <f aca="false">'2. DRE'!J13</f>
        <v>892933.1139456</v>
      </c>
      <c r="K4" s="41" t="n">
        <f aca="false">'2. DRE'!K13</f>
        <v>1007411.7182976</v>
      </c>
    </row>
    <row r="5" customFormat="false" ht="16.5" hidden="false" customHeight="true" outlineLevel="0" collapsed="false">
      <c r="A5" s="34" t="s">
        <v>196</v>
      </c>
      <c r="B5" s="20" t="s">
        <v>197</v>
      </c>
      <c r="C5" s="32" t="n">
        <v>0</v>
      </c>
      <c r="D5" s="36" t="n">
        <f aca="false">-('3. BALANÇO'!D30-'3. BALANÇO'!C30)</f>
        <v>-1084.20547945207</v>
      </c>
      <c r="E5" s="36" t="n">
        <f aca="false">-('3. BALANÇO'!E30-'3. BALANÇO'!D30)</f>
        <v>-8424.57534246575</v>
      </c>
      <c r="F5" s="36" t="n">
        <f aca="false">-('3. BALANÇO'!F30-'3. BALANÇO'!E30)</f>
        <v>-5506.65205479454</v>
      </c>
      <c r="G5" s="33" t="n">
        <f aca="false">-('3. BALANÇO'!G30-'3. BALANÇO'!F30)</f>
        <v>86043.541260274</v>
      </c>
      <c r="H5" s="33" t="n">
        <f aca="false">-('3. BALANÇO'!H30-'3. BALANÇO'!G30)</f>
        <v>-15724.9242739726</v>
      </c>
      <c r="I5" s="33" t="n">
        <f aca="false">-('3. BALANÇO'!I30-'3. BALANÇO'!H30)</f>
        <v>-11958.7430012055</v>
      </c>
      <c r="J5" s="33" t="n">
        <f aca="false">-('3. BALANÇO'!J30-'3. BALANÇO'!I30)</f>
        <v>-9469.68807428388</v>
      </c>
      <c r="K5" s="33" t="n">
        <f aca="false">-('3. BALANÇO'!K30-'3. BALANÇO'!J30)</f>
        <v>-16497.4646271649</v>
      </c>
    </row>
    <row r="6" customFormat="false" ht="16.5" hidden="false" customHeight="true" outlineLevel="0" collapsed="false">
      <c r="A6" s="34" t="s">
        <v>198</v>
      </c>
      <c r="B6" s="20" t="s">
        <v>199</v>
      </c>
      <c r="C6" s="40" t="n">
        <f aca="false">'2. DRE'!C20</f>
        <v>-75012.0970666667</v>
      </c>
      <c r="D6" s="40" t="n">
        <f aca="false">'2. DRE'!D20</f>
        <v>-77079.6884678572</v>
      </c>
      <c r="E6" s="40" t="n">
        <f aca="false">'2. DRE'!E20</f>
        <v>-92772.6309</v>
      </c>
      <c r="F6" s="40" t="n">
        <f aca="false">'2. DRE'!F20</f>
        <v>-102378.730133333</v>
      </c>
      <c r="G6" s="41" t="n">
        <f aca="false">'2. DRE'!G20</f>
        <v>-123378.7464</v>
      </c>
      <c r="H6" s="41" t="n">
        <f aca="false">'2. DRE'!H20</f>
        <v>-144431.469</v>
      </c>
      <c r="I6" s="41" t="n">
        <f aca="false">'2. DRE'!I20</f>
        <v>-171206.84133</v>
      </c>
      <c r="J6" s="41" t="n">
        <f aca="false">'2. DRE'!J20</f>
        <v>-191751.6622896</v>
      </c>
      <c r="K6" s="41" t="n">
        <f aca="false">'2. DRE'!K20</f>
        <v>-217223.15175792</v>
      </c>
    </row>
    <row r="7" customFormat="false" ht="16.5" hidden="false" customHeight="true" outlineLevel="0" collapsed="false">
      <c r="A7" s="30" t="s">
        <v>200</v>
      </c>
      <c r="B7" s="31" t="s">
        <v>201</v>
      </c>
      <c r="C7" s="35" t="n">
        <f aca="false">C4+C5+C6</f>
        <v>221387.902933333</v>
      </c>
      <c r="D7" s="35" t="n">
        <f aca="false">D4+D5+D6</f>
        <v>252116.106052691</v>
      </c>
      <c r="E7" s="35" t="n">
        <f aca="false">E4+E5+E6</f>
        <v>278764.793757534</v>
      </c>
      <c r="F7" s="35" t="n">
        <f aca="false">F4+F5+F6</f>
        <v>320178.617811872</v>
      </c>
      <c r="G7" s="35" t="n">
        <f aca="false">G4+G5+G6</f>
        <v>520053.514860274</v>
      </c>
      <c r="H7" s="35" t="n">
        <f aca="false">H4+H5+H6</f>
        <v>515338.477126027</v>
      </c>
      <c r="I7" s="35" t="n">
        <f aca="false">I4+I5+I6</f>
        <v>614096.124548795</v>
      </c>
      <c r="J7" s="35" t="n">
        <f aca="false">J4+J5+J6</f>
        <v>691711.763581716</v>
      </c>
      <c r="K7" s="35" t="n">
        <f aca="false">K4+K5+K6</f>
        <v>773691.101912515</v>
      </c>
    </row>
    <row r="8" customFormat="false" ht="16.5" hidden="false" customHeight="true" outlineLevel="0" collapsed="false">
      <c r="A8" s="30" t="s">
        <v>202</v>
      </c>
      <c r="B8" s="31" t="s">
        <v>203</v>
      </c>
    </row>
    <row r="9" customFormat="false" ht="16.5" hidden="false" customHeight="true" outlineLevel="0" collapsed="false">
      <c r="A9" s="34" t="s">
        <v>204</v>
      </c>
      <c r="B9" s="20" t="s">
        <v>204</v>
      </c>
      <c r="C9" s="36" t="n">
        <f aca="false">-'2. DRE'!C6*'1. PREMISSAS'!D18</f>
        <v>-42750</v>
      </c>
      <c r="D9" s="36" t="n">
        <f aca="false">-'2. DRE'!D6*'1. PREMISSAS'!E18</f>
        <v>-60480</v>
      </c>
      <c r="E9" s="36" t="n">
        <f aca="false">-'2. DRE'!E6*'1. PREMISSAS'!F18</f>
        <v>-56430</v>
      </c>
      <c r="F9" s="36" t="n">
        <f aca="false">-'2. DRE'!F6*'1. PREMISSAS'!G18</f>
        <v>-61740</v>
      </c>
      <c r="G9" s="33" t="n">
        <f aca="false">-'2. DRE'!G6*'1. PREMISSAS'!H18</f>
        <v>-90387.36</v>
      </c>
      <c r="H9" s="33" t="n">
        <f aca="false">-'2. DRE'!H6*'1. PREMISSAS'!I18</f>
        <v>-106657.0848</v>
      </c>
      <c r="I9" s="33" t="n">
        <f aca="false">-'2. DRE'!I6*'1. PREMISSAS'!J18</f>
        <v>-102213.0396</v>
      </c>
      <c r="J9" s="33" t="n">
        <f aca="false">-'2. DRE'!J6*'1. PREMISSAS'!K18</f>
        <v>-114478.604352</v>
      </c>
      <c r="K9" s="33" t="n">
        <f aca="false">-'2. DRE'!K6*'1. PREMISSAS'!L18</f>
        <v>-100741.17182976</v>
      </c>
    </row>
    <row r="10" customFormat="false" ht="16.5" hidden="false" customHeight="true" outlineLevel="0" collapsed="false">
      <c r="A10" s="34" t="s">
        <v>205</v>
      </c>
      <c r="B10" s="20" t="s">
        <v>206</v>
      </c>
      <c r="C10" s="42" t="n">
        <v>0</v>
      </c>
      <c r="D10" s="42" t="n">
        <v>0</v>
      </c>
      <c r="E10" s="42" t="n">
        <v>0</v>
      </c>
      <c r="F10" s="42" t="n">
        <v>0</v>
      </c>
      <c r="G10" s="43" t="n">
        <v>0</v>
      </c>
      <c r="H10" s="43" t="n">
        <v>0</v>
      </c>
      <c r="I10" s="43" t="n">
        <v>0</v>
      </c>
      <c r="J10" s="43" t="n">
        <v>0</v>
      </c>
      <c r="K10" s="43" t="n">
        <v>0</v>
      </c>
    </row>
    <row r="11" customFormat="false" ht="16.5" hidden="false" customHeight="true" outlineLevel="0" collapsed="false">
      <c r="A11" s="30" t="s">
        <v>207</v>
      </c>
      <c r="B11" s="31" t="s">
        <v>208</v>
      </c>
      <c r="C11" s="35" t="n">
        <f aca="false">C9+C10</f>
        <v>-42750</v>
      </c>
      <c r="D11" s="35" t="n">
        <f aca="false">D9+D10</f>
        <v>-60480</v>
      </c>
      <c r="E11" s="35" t="n">
        <f aca="false">E9+E10</f>
        <v>-56430</v>
      </c>
      <c r="F11" s="35" t="n">
        <f aca="false">F9+F10</f>
        <v>-61740</v>
      </c>
      <c r="G11" s="35" t="n">
        <f aca="false">G9+G10</f>
        <v>-90387.36</v>
      </c>
      <c r="H11" s="35" t="n">
        <f aca="false">H9+H10</f>
        <v>-106657.0848</v>
      </c>
      <c r="I11" s="35" t="n">
        <f aca="false">I9+I10</f>
        <v>-102213.0396</v>
      </c>
      <c r="J11" s="35" t="n">
        <f aca="false">J9+J10</f>
        <v>-114478.604352</v>
      </c>
      <c r="K11" s="35" t="n">
        <f aca="false">K9+K10</f>
        <v>-100741.17182976</v>
      </c>
    </row>
    <row r="12" customFormat="false" ht="16.5" hidden="false" customHeight="true" outlineLevel="0" collapsed="false">
      <c r="A12" s="30" t="s">
        <v>209</v>
      </c>
      <c r="B12" s="31" t="s">
        <v>210</v>
      </c>
    </row>
    <row r="13" customFormat="false" ht="16.5" hidden="false" customHeight="true" outlineLevel="0" collapsed="false">
      <c r="A13" s="30" t="s">
        <v>211</v>
      </c>
      <c r="B13" s="31" t="s">
        <v>212</v>
      </c>
      <c r="C13" s="35" t="n">
        <f aca="false">C7+C11</f>
        <v>178637.902933333</v>
      </c>
      <c r="D13" s="35" t="n">
        <f aca="false">D7+D11</f>
        <v>191636.106052691</v>
      </c>
      <c r="E13" s="35" t="n">
        <f aca="false">E7+E11</f>
        <v>222334.793757534</v>
      </c>
      <c r="F13" s="35" t="n">
        <f aca="false">F7+F11</f>
        <v>258438.617811872</v>
      </c>
      <c r="G13" s="35" t="n">
        <f aca="false">G7+G11</f>
        <v>429666.154860274</v>
      </c>
      <c r="H13" s="35" t="n">
        <f aca="false">H7+H11</f>
        <v>408681.392326027</v>
      </c>
      <c r="I13" s="35" t="n">
        <f aca="false">I7+I11</f>
        <v>511883.084948794</v>
      </c>
      <c r="J13" s="35" t="n">
        <f aca="false">J7+J11</f>
        <v>577233.159229716</v>
      </c>
      <c r="K13" s="35" t="n">
        <f aca="false">K7+K11</f>
        <v>672949.930082755</v>
      </c>
    </row>
    <row r="14" customFormat="false" ht="16.5" hidden="false" customHeight="true" outlineLevel="0" collapsed="false">
      <c r="A14" s="30" t="s">
        <v>213</v>
      </c>
      <c r="B14" s="31" t="s">
        <v>214</v>
      </c>
    </row>
    <row r="15" customFormat="false" ht="16.5" hidden="false" customHeight="true" outlineLevel="0" collapsed="false">
      <c r="A15" s="34" t="s">
        <v>215</v>
      </c>
      <c r="B15" s="20" t="s">
        <v>216</v>
      </c>
      <c r="C15" s="32" t="n">
        <v>0</v>
      </c>
      <c r="D15" s="36" t="n">
        <f aca="false">(ABS('3. BALANÇO'!D16)+ABS('3. BALANÇO'!D19))-(ABS('3. BALANÇO'!C16)+ABS('3. BALANÇO'!C19))</f>
        <v>-10000</v>
      </c>
      <c r="E15" s="36" t="n">
        <f aca="false">(ABS('3. BALANÇO'!E16)+ABS('3. BALANÇO'!E19))-(ABS('3. BALANÇO'!D16)+ABS('3. BALANÇO'!D19))</f>
        <v>-15000</v>
      </c>
      <c r="F15" s="36" t="n">
        <f aca="false">(ABS('3. BALANÇO'!F16)+ABS('3. BALANÇO'!F19))-(ABS('3. BALANÇO'!E16)+ABS('3. BALANÇO'!E19))</f>
        <v>-15000</v>
      </c>
      <c r="G15" s="33" t="n">
        <f aca="false">(ABS('3. BALANÇO'!G16)+ABS('3. BALANÇO'!G19))-(ABS('3. BALANÇO'!F16)+ABS('3. BALANÇO'!F19))</f>
        <v>-8000</v>
      </c>
      <c r="H15" s="33" t="n">
        <f aca="false">(ABS('3. BALANÇO'!H16)+ABS('3. BALANÇO'!H19))-(ABS('3. BALANÇO'!G16)+ABS('3. BALANÇO'!G19))</f>
        <v>-7100</v>
      </c>
      <c r="I15" s="33" t="n">
        <f aca="false">(ABS('3. BALANÇO'!I16)+ABS('3. BALANÇO'!I19))-(ABS('3. BALANÇO'!H16)+ABS('3. BALANÇO'!H19))</f>
        <v>-6220</v>
      </c>
      <c r="J15" s="33" t="n">
        <f aca="false">(ABS('3. BALANÇO'!J16)+ABS('3. BALANÇO'!J19))-(ABS('3. BALANÇO'!I16)+ABS('3. BALANÇO'!I19))</f>
        <v>-5357.75</v>
      </c>
      <c r="K15" s="33" t="n">
        <f aca="false">(ABS('3. BALANÇO'!K16)+ABS('3. BALANÇO'!K19))-(ABS('3. BALANÇO'!J16)+ABS('3. BALANÇO'!J19))</f>
        <v>-4511.05000000005</v>
      </c>
    </row>
    <row r="16" customFormat="false" ht="16.5" hidden="false" customHeight="true" outlineLevel="0" collapsed="false">
      <c r="A16" s="34" t="s">
        <v>217</v>
      </c>
      <c r="B16" s="20" t="s">
        <v>218</v>
      </c>
      <c r="C16" s="40" t="n">
        <f aca="false">'2. DRE'!C18</f>
        <v>-28500</v>
      </c>
      <c r="D16" s="40" t="n">
        <f aca="false">'2. DRE'!D18</f>
        <v>-44800</v>
      </c>
      <c r="E16" s="40" t="n">
        <f aca="false">'2. DRE'!E18</f>
        <v>-36360</v>
      </c>
      <c r="F16" s="40" t="n">
        <f aca="false">'2. DRE'!F18</f>
        <v>-34300</v>
      </c>
      <c r="G16" s="41" t="n">
        <f aca="false">'2. DRE'!G18</f>
        <v>-37661.4</v>
      </c>
      <c r="H16" s="41" t="n">
        <f aca="false">'2. DRE'!H18</f>
        <v>-44440.452</v>
      </c>
      <c r="I16" s="41" t="n">
        <f aca="false">'2. DRE'!I18</f>
        <v>-51106.5198</v>
      </c>
      <c r="J16" s="41" t="n">
        <f aca="false">'2. DRE'!J18</f>
        <v>-57239.302176</v>
      </c>
      <c r="K16" s="41" t="n">
        <f aca="false">'2. DRE'!K18</f>
        <v>-62963.2323936</v>
      </c>
    </row>
    <row r="17" customFormat="false" ht="16.5" hidden="false" customHeight="true" outlineLevel="0" collapsed="false">
      <c r="A17" s="34" t="s">
        <v>219</v>
      </c>
      <c r="B17" s="20" t="s">
        <v>220</v>
      </c>
      <c r="C17" s="36" t="n">
        <f aca="false">-MAX(0,'2. DRE'!C21)*'1. PREMISSAS'!D23</f>
        <v>-48222.0624</v>
      </c>
      <c r="D17" s="36" t="n">
        <f aca="false">-MAX(0,'2. DRE'!D21)*'1. PREMISSAS'!E23</f>
        <v>-52100.1597977183</v>
      </c>
      <c r="E17" s="36" t="n">
        <f aca="false">-MAX(0,'2. DRE'!E21)*'1. PREMISSAS'!F23</f>
        <v>-75248.91173</v>
      </c>
      <c r="F17" s="36" t="n">
        <f aca="false">-MAX(0,'2. DRE'!F21)*'1. PREMISSAS'!G23</f>
        <v>-87415.68496</v>
      </c>
      <c r="G17" s="33" t="n">
        <f aca="false">-MAX(0,'2. DRE'!G21)*'1. PREMISSAS'!H23</f>
        <v>-105346.46808</v>
      </c>
      <c r="H17" s="33" t="n">
        <f aca="false">-MAX(0,'2. DRE'!H21)*'1. PREMISSAS'!I23</f>
        <v>-151653.04245</v>
      </c>
      <c r="I17" s="33" t="n">
        <f aca="false">-MAX(0,'2. DRE'!I21)*'1. PREMISSAS'!J23</f>
        <v>-179767.1833965</v>
      </c>
      <c r="J17" s="33" t="n">
        <f aca="false">-MAX(0,'2. DRE'!J21)*'1. PREMISSAS'!K23</f>
        <v>-230101.99474752</v>
      </c>
      <c r="K17" s="33" t="n">
        <f aca="false">-MAX(0,'2. DRE'!K21)*'1. PREMISSAS'!L23</f>
        <v>-260667.782109504</v>
      </c>
    </row>
    <row r="18" customFormat="false" ht="16.5" hidden="false" customHeight="true" outlineLevel="0" collapsed="false">
      <c r="A18" s="30" t="s">
        <v>221</v>
      </c>
      <c r="B18" s="31" t="s">
        <v>222</v>
      </c>
      <c r="C18" s="35" t="n">
        <f aca="false">C15+C16+C17</f>
        <v>-76722.0624</v>
      </c>
      <c r="D18" s="35" t="n">
        <f aca="false">D15+D16+D17</f>
        <v>-106900.159797718</v>
      </c>
      <c r="E18" s="35" t="n">
        <f aca="false">E15+E16+E17</f>
        <v>-126608.91173</v>
      </c>
      <c r="F18" s="35" t="n">
        <f aca="false">F15+F16+F17</f>
        <v>-136715.68496</v>
      </c>
      <c r="G18" s="35" t="n">
        <f aca="false">G15+G16+G17</f>
        <v>-151007.86808</v>
      </c>
      <c r="H18" s="35" t="n">
        <f aca="false">H15+H16+H17</f>
        <v>-203193.49445</v>
      </c>
      <c r="I18" s="35" t="n">
        <f aca="false">I15+I16+I17</f>
        <v>-237093.7031965</v>
      </c>
      <c r="J18" s="35" t="n">
        <f aca="false">J15+J16+J17</f>
        <v>-292699.04692352</v>
      </c>
      <c r="K18" s="35" t="n">
        <f aca="false">K15+K16+K17</f>
        <v>-328142.064503104</v>
      </c>
    </row>
    <row r="19" customFormat="false" ht="16.5" hidden="false" customHeight="true" outlineLevel="0" collapsed="false">
      <c r="A19" s="30" t="s">
        <v>223</v>
      </c>
      <c r="B19" s="31" t="s">
        <v>224</v>
      </c>
    </row>
    <row r="20" customFormat="false" ht="16.5" hidden="false" customHeight="true" outlineLevel="0" collapsed="false">
      <c r="A20" s="30" t="s">
        <v>225</v>
      </c>
      <c r="B20" s="31" t="s">
        <v>226</v>
      </c>
      <c r="C20" s="35" t="n">
        <f aca="false">C13+C15+C16</f>
        <v>150137.902933333</v>
      </c>
      <c r="D20" s="35" t="n">
        <f aca="false">D13+D15+D16</f>
        <v>136836.106052691</v>
      </c>
      <c r="E20" s="35" t="n">
        <f aca="false">E13+E15+E16</f>
        <v>170974.793757534</v>
      </c>
      <c r="F20" s="35" t="n">
        <f aca="false">F13+F15+F16</f>
        <v>209138.617811872</v>
      </c>
      <c r="G20" s="35" t="n">
        <f aca="false">G13+G15+G16</f>
        <v>384004.754860274</v>
      </c>
      <c r="H20" s="35" t="n">
        <f aca="false">H13+H15+H16</f>
        <v>357140.940326027</v>
      </c>
      <c r="I20" s="35" t="n">
        <f aca="false">I13+I15+I16</f>
        <v>454556.565148794</v>
      </c>
      <c r="J20" s="35" t="n">
        <f aca="false">J13+J15+J16</f>
        <v>514636.107053716</v>
      </c>
      <c r="K20" s="35" t="n">
        <f aca="false">K13+K15+K16</f>
        <v>605475.647689155</v>
      </c>
    </row>
    <row r="21" customFormat="false" ht="16.5" hidden="false" customHeight="true" outlineLevel="0" collapsed="false">
      <c r="A21" s="30" t="s">
        <v>227</v>
      </c>
      <c r="B21" s="31" t="s">
        <v>228</v>
      </c>
    </row>
    <row r="22" customFormat="false" ht="16.5" hidden="false" customHeight="true" outlineLevel="0" collapsed="false">
      <c r="A22" s="34" t="s">
        <v>229</v>
      </c>
      <c r="B22" s="20" t="s">
        <v>230</v>
      </c>
      <c r="C22" s="37" t="n">
        <f aca="false">IF(C4&lt;&gt;0,C7/C4,0)</f>
        <v>0.746922749437697</v>
      </c>
      <c r="D22" s="37" t="n">
        <f aca="false">IF(D4&lt;&gt;0,D7/D4,0)</f>
        <v>0.763340517296509</v>
      </c>
      <c r="E22" s="37" t="n">
        <f aca="false">IF(E4&lt;&gt;0,E7/E4,0)</f>
        <v>0.733664929012728</v>
      </c>
      <c r="F22" s="37" t="n">
        <f aca="false">IF(F4&lt;&gt;0,F7/F4,0)</f>
        <v>0.747969036900725</v>
      </c>
      <c r="G22" s="37" t="n">
        <f aca="false">IF(G4&lt;&gt;0,G7/G4,0)</f>
        <v>0.933017652133818</v>
      </c>
      <c r="H22" s="37" t="n">
        <f aca="false">IF(H4&lt;&gt;0,H7/H4,0)</f>
        <v>0.762905093299769</v>
      </c>
      <c r="I22" s="37" t="n">
        <f aca="false">IF(I4&lt;&gt;0,I7/I4,0)</f>
        <v>0.770256639330493</v>
      </c>
      <c r="J22" s="37" t="n">
        <f aca="false">IF(J4&lt;&gt;0,J7/J4,0)</f>
        <v>0.774651261980029</v>
      </c>
      <c r="K22" s="37" t="n">
        <f aca="false">IF(K4&lt;&gt;0,K7/K4,0)</f>
        <v>0.767998910336239</v>
      </c>
    </row>
    <row r="23" customFormat="false" ht="16.5" hidden="false" customHeight="true" outlineLevel="0" collapsed="false">
      <c r="A23" s="34" t="s">
        <v>231</v>
      </c>
      <c r="B23" s="20" t="s">
        <v>232</v>
      </c>
      <c r="C23" s="37" t="n">
        <f aca="false">IF(C4&lt;&gt;0,C13/C4,0)</f>
        <v>0.602691980206928</v>
      </c>
      <c r="D23" s="37" t="n">
        <f aca="false">IF(D4&lt;&gt;0,D13/D4,0)</f>
        <v>0.580223162324969</v>
      </c>
      <c r="E23" s="37" t="n">
        <f aca="false">IF(E4&lt;&gt;0,E13/E4,0)</f>
        <v>0.58515007752758</v>
      </c>
      <c r="F23" s="37" t="n">
        <f aca="false">IF(F4&lt;&gt;0,F13/F4,0)</f>
        <v>0.603738267669956</v>
      </c>
      <c r="G23" s="37" t="n">
        <f aca="false">IF(G4&lt;&gt;0,G13/G4,0)</f>
        <v>0.770855489971656</v>
      </c>
      <c r="H23" s="37" t="n">
        <f aca="false">IF(H4&lt;&gt;0,H13/H4,0)</f>
        <v>0.605010356457664</v>
      </c>
      <c r="I23" s="37" t="n">
        <f aca="false">IF(I4&lt;&gt;0,I13/I4,0)</f>
        <v>0.642051511125365</v>
      </c>
      <c r="J23" s="37" t="n">
        <f aca="false">IF(J4&lt;&gt;0,J13/J4,0)</f>
        <v>0.646446133774901</v>
      </c>
      <c r="K23" s="37" t="n">
        <f aca="false">IF(K4&lt;&gt;0,K13/K4,0)</f>
        <v>0.667998910336239</v>
      </c>
    </row>
    <row r="24" customFormat="false" ht="16.5" hidden="false" customHeight="true" outlineLevel="0" collapsed="false">
      <c r="A24" s="34" t="s">
        <v>233</v>
      </c>
      <c r="B24" s="20" t="s">
        <v>234</v>
      </c>
      <c r="C24" s="37" t="n">
        <f aca="false">C22</f>
        <v>0.746922749437697</v>
      </c>
      <c r="D24" s="37" t="n">
        <f aca="false">D22</f>
        <v>0.763340517296509</v>
      </c>
      <c r="E24" s="37" t="n">
        <f aca="false">E22</f>
        <v>0.733664929012728</v>
      </c>
      <c r="F24" s="37" t="n">
        <f aca="false">F22</f>
        <v>0.747969036900725</v>
      </c>
      <c r="G24" s="37" t="n">
        <f aca="false">G22</f>
        <v>0.933017652133818</v>
      </c>
      <c r="H24" s="37" t="n">
        <f aca="false">H22</f>
        <v>0.762905093299769</v>
      </c>
      <c r="I24" s="37" t="n">
        <f aca="false">I22</f>
        <v>0.770256639330493</v>
      </c>
      <c r="J24" s="37" t="n">
        <f aca="false">J22</f>
        <v>0.774651261980029</v>
      </c>
      <c r="K24" s="37" t="n">
        <f aca="false">K22</f>
        <v>0.767998910336239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3" min="2" style="1" width="15"/>
    <col collapsed="false" customWidth="true" hidden="false" outlineLevel="0" max="4" min="4" style="1" width="20"/>
  </cols>
  <sheetData>
    <row r="1" customFormat="false" ht="27.75" hidden="false" customHeight="true" outlineLevel="0" collapsed="false">
      <c r="A1" s="15" t="s">
        <v>235</v>
      </c>
      <c r="B1" s="15"/>
      <c r="C1" s="15"/>
      <c r="D1" s="15"/>
    </row>
    <row r="2" customFormat="false" ht="15" hidden="false" customHeight="true" outlineLevel="0" collapsed="false">
      <c r="A2" s="19" t="s">
        <v>236</v>
      </c>
      <c r="B2" s="19"/>
      <c r="C2" s="19"/>
      <c r="D2" s="19"/>
    </row>
    <row r="3" customFormat="false" ht="18" hidden="false" customHeight="true" outlineLevel="0" collapsed="false">
      <c r="A3" s="6" t="s">
        <v>237</v>
      </c>
      <c r="B3" s="22" t="n">
        <v>0.055</v>
      </c>
      <c r="C3" s="20" t="s">
        <v>238</v>
      </c>
      <c r="D3" s="6" t="s">
        <v>239</v>
      </c>
    </row>
    <row r="4" customFormat="false" ht="18" hidden="false" customHeight="true" outlineLevel="0" collapsed="false">
      <c r="A4" s="6" t="s">
        <v>240</v>
      </c>
      <c r="B4" s="22" t="n">
        <v>0.055</v>
      </c>
      <c r="C4" s="20" t="s">
        <v>241</v>
      </c>
      <c r="D4" s="6" t="s">
        <v>242</v>
      </c>
    </row>
    <row r="5" customFormat="false" ht="18" hidden="false" customHeight="true" outlineLevel="0" collapsed="false">
      <c r="A5" s="6" t="s">
        <v>243</v>
      </c>
      <c r="B5" s="44" t="n">
        <v>0.82</v>
      </c>
      <c r="C5" s="20" t="s">
        <v>244</v>
      </c>
      <c r="D5" s="6" t="s">
        <v>245</v>
      </c>
    </row>
    <row r="6" customFormat="false" ht="18" hidden="false" customHeight="true" outlineLevel="0" collapsed="false">
      <c r="A6" s="6" t="s">
        <v>246</v>
      </c>
      <c r="B6" s="44" t="n">
        <v>0.35</v>
      </c>
      <c r="C6" s="20" t="s">
        <v>247</v>
      </c>
      <c r="D6" s="6" t="s">
        <v>248</v>
      </c>
    </row>
    <row r="7" customFormat="false" ht="18" hidden="false" customHeight="true" outlineLevel="0" collapsed="false">
      <c r="A7" s="6" t="s">
        <v>249</v>
      </c>
      <c r="B7" s="22" t="n">
        <v>0.26</v>
      </c>
      <c r="C7" s="20" t="s">
        <v>250</v>
      </c>
      <c r="D7" s="6" t="s">
        <v>251</v>
      </c>
    </row>
    <row r="8" customFormat="false" ht="18" hidden="false" customHeight="true" outlineLevel="0" collapsed="false">
      <c r="A8" s="6" t="s">
        <v>252</v>
      </c>
      <c r="B8" s="45" t="n">
        <f aca="false">B5*(1+(1-B7)*B6)</f>
        <v>1.03238</v>
      </c>
      <c r="C8" s="20" t="s">
        <v>253</v>
      </c>
      <c r="D8" s="6" t="s">
        <v>254</v>
      </c>
    </row>
    <row r="9" customFormat="false" ht="18" hidden="false" customHeight="true" outlineLevel="0" collapsed="false">
      <c r="A9" s="6" t="s">
        <v>255</v>
      </c>
      <c r="B9" s="45" t="n">
        <f aca="false">B3+B8*B4</f>
        <v>0.1117809</v>
      </c>
      <c r="C9" s="20" t="s">
        <v>256</v>
      </c>
      <c r="D9" s="6" t="s">
        <v>257</v>
      </c>
    </row>
    <row r="10" customFormat="false" ht="18" hidden="false" customHeight="true" outlineLevel="0" collapsed="false">
      <c r="A10" s="6" t="s">
        <v>258</v>
      </c>
      <c r="B10" s="22" t="n">
        <v>0.024</v>
      </c>
      <c r="C10" s="20" t="s">
        <v>259</v>
      </c>
      <c r="D10" s="6" t="s">
        <v>260</v>
      </c>
    </row>
    <row r="11" customFormat="false" ht="18" hidden="false" customHeight="true" outlineLevel="0" collapsed="false">
      <c r="A11" s="6" t="s">
        <v>261</v>
      </c>
      <c r="B11" s="22" t="n">
        <v>0.025</v>
      </c>
      <c r="C11" s="20" t="s">
        <v>262</v>
      </c>
      <c r="D11" s="6" t="s">
        <v>263</v>
      </c>
    </row>
    <row r="12" customFormat="false" ht="18" hidden="false" customHeight="true" outlineLevel="0" collapsed="false">
      <c r="A12" s="6" t="s">
        <v>264</v>
      </c>
      <c r="B12" s="22" t="n">
        <v>0.042</v>
      </c>
      <c r="C12" s="20" t="s">
        <v>265</v>
      </c>
      <c r="D12" s="6" t="s">
        <v>266</v>
      </c>
    </row>
    <row r="13" customFormat="false" ht="18" hidden="false" customHeight="true" outlineLevel="0" collapsed="false">
      <c r="A13" s="6" t="s">
        <v>267</v>
      </c>
      <c r="B13" s="45" t="n">
        <f aca="false">(1+B9)*(1+B12)/(1+B11)-1</f>
        <v>0.13022019297561</v>
      </c>
      <c r="C13" s="20" t="s">
        <v>268</v>
      </c>
      <c r="D13" s="6" t="s">
        <v>269</v>
      </c>
    </row>
    <row r="15" customFormat="false" ht="15" hidden="false" customHeight="true" outlineLevel="0" collapsed="false">
      <c r="A15" s="19" t="s">
        <v>270</v>
      </c>
      <c r="B15" s="19"/>
      <c r="C15" s="19"/>
      <c r="D15" s="19"/>
    </row>
    <row r="16" customFormat="false" ht="18" hidden="false" customHeight="true" outlineLevel="0" collapsed="false">
      <c r="A16" s="6" t="s">
        <v>271</v>
      </c>
      <c r="B16" s="22" t="n">
        <v>0.155</v>
      </c>
      <c r="C16" s="20" t="s">
        <v>272</v>
      </c>
      <c r="D16" s="6" t="s">
        <v>273</v>
      </c>
    </row>
    <row r="17" customFormat="false" ht="18" hidden="false" customHeight="true" outlineLevel="0" collapsed="false">
      <c r="A17" s="6" t="s">
        <v>274</v>
      </c>
      <c r="B17" s="37" t="n">
        <f aca="false">B16*(1-B7)</f>
        <v>0.1147</v>
      </c>
      <c r="C17" s="20" t="s">
        <v>275</v>
      </c>
      <c r="D17" s="6" t="s">
        <v>276</v>
      </c>
    </row>
    <row r="18" customFormat="false" ht="18" hidden="false" customHeight="true" outlineLevel="0" collapsed="false">
      <c r="A18" s="6" t="s">
        <v>277</v>
      </c>
      <c r="B18" s="22" t="n">
        <v>0.74</v>
      </c>
      <c r="C18" s="20" t="s">
        <v>278</v>
      </c>
      <c r="D18" s="6" t="s">
        <v>279</v>
      </c>
    </row>
    <row r="19" customFormat="false" ht="18" hidden="false" customHeight="true" outlineLevel="0" collapsed="false">
      <c r="A19" s="6" t="s">
        <v>280</v>
      </c>
      <c r="B19" s="37" t="n">
        <f aca="false">1-B18</f>
        <v>0.26</v>
      </c>
      <c r="C19" s="20" t="s">
        <v>281</v>
      </c>
      <c r="D19" s="6" t="s">
        <v>282</v>
      </c>
    </row>
    <row r="20" customFormat="false" ht="18" hidden="false" customHeight="true" outlineLevel="0" collapsed="false">
      <c r="A20" s="6" t="s">
        <v>283</v>
      </c>
      <c r="B20" s="45" t="n">
        <f aca="false">B13*B18+B17*B19</f>
        <v>0.126184942801951</v>
      </c>
      <c r="C20" s="20" t="s">
        <v>284</v>
      </c>
      <c r="D20" s="6" t="s">
        <v>285</v>
      </c>
    </row>
    <row r="23" customFormat="false" ht="15" hidden="false" customHeight="true" outlineLevel="0" collapsed="false">
      <c r="A23" s="19" t="s">
        <v>286</v>
      </c>
      <c r="B23" s="19"/>
      <c r="C23" s="19"/>
      <c r="D23" s="19"/>
      <c r="E23" s="19"/>
      <c r="F23" s="19"/>
      <c r="G23" s="19"/>
    </row>
    <row r="24" customFormat="false" ht="15" hidden="false" customHeight="true" outlineLevel="0" collapsed="false">
      <c r="A24" s="46" t="s">
        <v>287</v>
      </c>
      <c r="B24" s="47" t="n">
        <v>0.045</v>
      </c>
      <c r="C24" s="47" t="n">
        <v>0.05</v>
      </c>
      <c r="D24" s="47" t="n">
        <v>0.055</v>
      </c>
      <c r="E24" s="47" t="n">
        <v>0.06</v>
      </c>
      <c r="F24" s="47" t="n">
        <v>0.065</v>
      </c>
    </row>
    <row r="25" customFormat="false" ht="15" hidden="false" customHeight="true" outlineLevel="0" collapsed="false">
      <c r="A25" s="48" t="n">
        <v>0.7</v>
      </c>
      <c r="B25" s="37" t="n">
        <f aca="false">((1+B3+0.7*0.045)*(1+B12)/(1+B11)-1)*B18+B17*B19</f>
        <v>0.1071668</v>
      </c>
      <c r="C25" s="37" t="n">
        <f aca="false">((1+B3+0.7*0.05)*(1+B12)/(1+B11)-1)*B18+B17*B19</f>
        <v>0.109799756097561</v>
      </c>
      <c r="D25" s="37" t="n">
        <f aca="false">((1+B3+0.7*0.055)*(1+B12)/(1+B11)-1)*B18+B17*B19</f>
        <v>0.112432712195122</v>
      </c>
      <c r="E25" s="37" t="n">
        <f aca="false">((1+B3+0.7*0.06)*(1+B12)/(1+B11)-1)*B18+B17*B19</f>
        <v>0.115065668292683</v>
      </c>
      <c r="F25" s="37" t="n">
        <f aca="false">((1+B3+0.7*0.065)*(1+B12)/(1+B11)-1)*B18+B17*B19</f>
        <v>0.117698624390244</v>
      </c>
    </row>
    <row r="26" customFormat="false" ht="15" hidden="false" customHeight="true" outlineLevel="0" collapsed="false">
      <c r="A26" s="48" t="n">
        <v>0.8</v>
      </c>
      <c r="B26" s="37" t="n">
        <f aca="false">((1+B3+0.8*0.045)*(1+B12)/(1+B11)-1)*B18+B17*B19</f>
        <v>0.110552029268293</v>
      </c>
      <c r="C26" s="37" t="n">
        <f aca="false">((1+B3+0.8*0.05)*(1+B12)/(1+B11)-1)*B18+B17*B19</f>
        <v>0.11356112195122</v>
      </c>
      <c r="D26" s="37" t="n">
        <f aca="false">((1+B3+0.8*0.055)*(1+B12)/(1+B11)-1)*B18+B17*B19</f>
        <v>0.116570214634147</v>
      </c>
      <c r="E26" s="37" t="n">
        <f aca="false">((1+B3+0.8*0.06)*(1+B12)/(1+B11)-1)*B18+B17*B19</f>
        <v>0.119579307317073</v>
      </c>
      <c r="F26" s="37" t="n">
        <f aca="false">((1+B3+0.8*0.065)*(1+B12)/(1+B11)-1)*B18+B17*B19</f>
        <v>0.1225884</v>
      </c>
    </row>
    <row r="27" customFormat="false" ht="15" hidden="false" customHeight="true" outlineLevel="0" collapsed="false">
      <c r="A27" s="48" t="n">
        <v>0.9</v>
      </c>
      <c r="B27" s="37" t="n">
        <f aca="false">((1+B3+0.9*0.045)*(1+B12)/(1+B11)-1)*B18+B17*B19</f>
        <v>0.113937258536585</v>
      </c>
      <c r="C27" s="37" t="n">
        <f aca="false">((1+B3+0.9*0.05)*(1+B12)/(1+B11)-1)*B18+B17*B19</f>
        <v>0.117322487804878</v>
      </c>
      <c r="D27" s="37" t="n">
        <f aca="false">((1+B3+0.9*0.055)*(1+B12)/(1+B11)-1)*B18+B17*B19</f>
        <v>0.120707717073171</v>
      </c>
      <c r="E27" s="37" t="n">
        <f aca="false">((1+B3+0.9*0.06)*(1+B12)/(1+B11)-1)*B18+B17*B19</f>
        <v>0.124092946341463</v>
      </c>
      <c r="F27" s="37" t="n">
        <f aca="false">((1+B3+0.9*0.065)*(1+B12)/(1+B11)-1)*B18+B17*B19</f>
        <v>0.127478175609756</v>
      </c>
    </row>
    <row r="28" customFormat="false" ht="15" hidden="false" customHeight="true" outlineLevel="0" collapsed="false">
      <c r="A28" s="48" t="n">
        <v>1</v>
      </c>
      <c r="B28" s="37" t="n">
        <f aca="false">((1+B3+1*0.045)*(1+B12)/(1+B11)-1)*B18+B17*B19</f>
        <v>0.117322487804878</v>
      </c>
      <c r="C28" s="37" t="n">
        <f aca="false">((1+B3+1*0.05)*(1+B12)/(1+B11)-1)*B18+B17*B19</f>
        <v>0.121083853658537</v>
      </c>
      <c r="D28" s="37" t="n">
        <f aca="false">((1+B3+1*0.055)*(1+B12)/(1+B11)-1)*B18+B17*B19</f>
        <v>0.124845219512195</v>
      </c>
      <c r="E28" s="37" t="n">
        <f aca="false">((1+B3+1*0.06)*(1+B12)/(1+B11)-1)*B18+B17*B19</f>
        <v>0.128606585365854</v>
      </c>
      <c r="F28" s="37" t="n">
        <f aca="false">((1+B3+1*0.065)*(1+B12)/(1+B11)-1)*B18+B17*B19</f>
        <v>0.132367951219512</v>
      </c>
    </row>
    <row r="29" customFormat="false" ht="15" hidden="false" customHeight="true" outlineLevel="0" collapsed="false">
      <c r="A29" s="48" t="n">
        <v>1.1</v>
      </c>
      <c r="B29" s="37" t="n">
        <f aca="false">((1+B3+1.1*0.045)*(1+B12)/(1+B11)-1)*B18+B17*B19</f>
        <v>0.120707717073171</v>
      </c>
      <c r="C29" s="37" t="n">
        <f aca="false">((1+B3+1.1*0.05)*(1+B12)/(1+B11)-1)*B18+B17*B19</f>
        <v>0.124845219512195</v>
      </c>
      <c r="D29" s="37" t="n">
        <f aca="false">((1+B3+1.1*0.055)*(1+B12)/(1+B11)-1)*B18+B17*B19</f>
        <v>0.12898272195122</v>
      </c>
      <c r="E29" s="37" t="n">
        <f aca="false">((1+B3+1.1*0.06)*(1+B12)/(1+B11)-1)*B18+B17*B19</f>
        <v>0.133120224390244</v>
      </c>
      <c r="F29" s="37" t="n">
        <f aca="false">((1+B3+1.1*0.065)*(1+B12)/(1+B11)-1)*B18+B17*B19</f>
        <v>0.137257726829268</v>
      </c>
    </row>
  </sheetData>
  <mergeCells count="4">
    <mergeCell ref="A1:D1"/>
    <mergeCell ref="A2:D2"/>
    <mergeCell ref="A15:D15"/>
    <mergeCell ref="A23:G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2"/>
    <col collapsed="false" customWidth="true" hidden="false" outlineLevel="0" max="11" min="3" style="1" width="13"/>
  </cols>
  <sheetData>
    <row r="1" customFormat="false" ht="27.75" hidden="false" customHeight="true" outlineLevel="0" collapsed="false">
      <c r="A1" s="15" t="s">
        <v>288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customFormat="false" ht="18" hidden="false" customHeight="true" outlineLevel="0" collapsed="false">
      <c r="A2" s="4" t="s">
        <v>130</v>
      </c>
      <c r="B2" s="16" t="s">
        <v>94</v>
      </c>
      <c r="C2" s="18" t="s">
        <v>48</v>
      </c>
      <c r="D2" s="18" t="s">
        <v>49</v>
      </c>
      <c r="E2" s="18" t="s">
        <v>50</v>
      </c>
      <c r="F2" s="18" t="s">
        <v>51</v>
      </c>
      <c r="G2" s="18" t="s">
        <v>52</v>
      </c>
    </row>
    <row r="3" customFormat="false" ht="16.5" hidden="false" customHeight="true" outlineLevel="0" collapsed="false">
      <c r="A3" s="30" t="s">
        <v>289</v>
      </c>
      <c r="B3" s="31" t="s">
        <v>210</v>
      </c>
    </row>
    <row r="4" customFormat="false" ht="16.5" hidden="false" customHeight="true" outlineLevel="0" collapsed="false">
      <c r="A4" s="34" t="s">
        <v>118</v>
      </c>
      <c r="B4" s="20" t="s">
        <v>118</v>
      </c>
      <c r="C4" s="41" t="n">
        <f aca="false">'2. DRE'!G16</f>
        <v>512195.04</v>
      </c>
      <c r="D4" s="41" t="n">
        <f aca="false">'2. DRE'!H16</f>
        <v>622166.328</v>
      </c>
      <c r="E4" s="41" t="n">
        <f aca="false">'2. DRE'!I16</f>
        <v>735933.88512</v>
      </c>
      <c r="F4" s="41" t="n">
        <f aca="false">'2. DRE'!J16</f>
        <v>824245.9513344</v>
      </c>
      <c r="G4" s="41" t="n">
        <f aca="false">'2. DRE'!K16</f>
        <v>931855.83942528</v>
      </c>
    </row>
    <row r="5" customFormat="false" ht="16.5" hidden="false" customHeight="true" outlineLevel="0" collapsed="false">
      <c r="A5" s="34" t="s">
        <v>290</v>
      </c>
      <c r="B5" s="20" t="s">
        <v>291</v>
      </c>
      <c r="C5" s="33" t="n">
        <f aca="false">-C4*'1. PREMISSAS'!H22</f>
        <v>-133170.7104</v>
      </c>
      <c r="D5" s="33" t="n">
        <f aca="false">-D4*'1. PREMISSAS'!I22</f>
        <v>-155541.582</v>
      </c>
      <c r="E5" s="33" t="n">
        <f aca="false">-E4*'1. PREMISSAS'!J22</f>
        <v>-183983.47128</v>
      </c>
      <c r="F5" s="33" t="n">
        <f aca="false">-F4*'1. PREMISSAS'!K22</f>
        <v>-206061.4878336</v>
      </c>
      <c r="G5" s="33" t="n">
        <f aca="false">-G4*'1. PREMISSAS'!L22</f>
        <v>-232963.95985632</v>
      </c>
    </row>
    <row r="6" customFormat="false" ht="16.5" hidden="false" customHeight="true" outlineLevel="0" collapsed="false">
      <c r="A6" s="30" t="s">
        <v>292</v>
      </c>
      <c r="B6" s="31" t="s">
        <v>292</v>
      </c>
      <c r="C6" s="35" t="n">
        <f aca="false">C4+C5</f>
        <v>379024.3296</v>
      </c>
      <c r="D6" s="35" t="n">
        <f aca="false">D4+D5</f>
        <v>466624.746</v>
      </c>
      <c r="E6" s="35" t="n">
        <f aca="false">E4+E5</f>
        <v>551950.41384</v>
      </c>
      <c r="F6" s="35" t="n">
        <f aca="false">F4+F5</f>
        <v>618184.4635008</v>
      </c>
      <c r="G6" s="35" t="n">
        <f aca="false">G4+G5</f>
        <v>698891.87956896</v>
      </c>
    </row>
    <row r="7" customFormat="false" ht="16.5" hidden="false" customHeight="true" outlineLevel="0" collapsed="false">
      <c r="A7" s="34" t="s">
        <v>293</v>
      </c>
      <c r="B7" s="20" t="s">
        <v>116</v>
      </c>
      <c r="C7" s="41" t="n">
        <f aca="false">-'2. DRE'!G15</f>
        <v>45193.68</v>
      </c>
      <c r="D7" s="41" t="n">
        <f aca="false">-'2. DRE'!H15</f>
        <v>53328.5424</v>
      </c>
      <c r="E7" s="41" t="n">
        <f aca="false">-'2. DRE'!I15</f>
        <v>61327.82376</v>
      </c>
      <c r="F7" s="41" t="n">
        <f aca="false">-'2. DRE'!J15</f>
        <v>68687.1626112</v>
      </c>
      <c r="G7" s="41" t="n">
        <f aca="false">-'2. DRE'!K15</f>
        <v>75555.87887232</v>
      </c>
    </row>
    <row r="8" customFormat="false" ht="16.5" hidden="false" customHeight="true" outlineLevel="0" collapsed="false">
      <c r="A8" s="34" t="s">
        <v>294</v>
      </c>
      <c r="B8" s="20" t="s">
        <v>204</v>
      </c>
      <c r="C8" s="41" t="n">
        <f aca="false">'4. FLUXO'!G9</f>
        <v>-90387.36</v>
      </c>
      <c r="D8" s="41" t="n">
        <f aca="false">'4. FLUXO'!H9</f>
        <v>-106657.0848</v>
      </c>
      <c r="E8" s="41" t="n">
        <f aca="false">'4. FLUXO'!I9</f>
        <v>-102213.0396</v>
      </c>
      <c r="F8" s="41" t="n">
        <f aca="false">'4. FLUXO'!J9</f>
        <v>-114478.604352</v>
      </c>
      <c r="G8" s="41" t="n">
        <f aca="false">'4. FLUXO'!K9</f>
        <v>-100741.17182976</v>
      </c>
    </row>
    <row r="9" customFormat="false" ht="16.5" hidden="false" customHeight="true" outlineLevel="0" collapsed="false">
      <c r="A9" s="34" t="s">
        <v>196</v>
      </c>
      <c r="B9" s="20" t="s">
        <v>197</v>
      </c>
      <c r="C9" s="41" t="n">
        <f aca="false">'4. FLUXO'!G5</f>
        <v>86043.541260274</v>
      </c>
      <c r="D9" s="41" t="n">
        <f aca="false">'4. FLUXO'!H5</f>
        <v>-15724.9242739726</v>
      </c>
      <c r="E9" s="41" t="n">
        <f aca="false">'4. FLUXO'!I5</f>
        <v>-11958.7430012055</v>
      </c>
      <c r="F9" s="41" t="n">
        <f aca="false">'4. FLUXO'!J5</f>
        <v>-9469.68807428388</v>
      </c>
      <c r="G9" s="41" t="n">
        <f aca="false">'4. FLUXO'!K5</f>
        <v>-16497.4646271649</v>
      </c>
    </row>
    <row r="10" customFormat="false" ht="16.5" hidden="false" customHeight="true" outlineLevel="0" collapsed="false">
      <c r="A10" s="30" t="s">
        <v>295</v>
      </c>
      <c r="B10" s="31" t="s">
        <v>212</v>
      </c>
      <c r="C10" s="35" t="n">
        <f aca="false">C6+C7+C8+C9</f>
        <v>419874.190860274</v>
      </c>
      <c r="D10" s="35" t="n">
        <f aca="false">D6+D7+D8+D9</f>
        <v>397571.279326027</v>
      </c>
      <c r="E10" s="35" t="n">
        <f aca="false">E6+E7+E8+E9</f>
        <v>499106.454998795</v>
      </c>
      <c r="F10" s="35" t="n">
        <f aca="false">F6+F7+F8+F9</f>
        <v>562923.333685716</v>
      </c>
      <c r="G10" s="35" t="n">
        <f aca="false">G6+G7+G8+G9</f>
        <v>657209.121984355</v>
      </c>
    </row>
    <row r="11" customFormat="false" ht="16.5" hidden="false" customHeight="true" outlineLevel="0" collapsed="false">
      <c r="A11" s="30" t="s">
        <v>296</v>
      </c>
      <c r="B11" s="31" t="s">
        <v>297</v>
      </c>
    </row>
    <row r="12" customFormat="false" ht="16.5" hidden="false" customHeight="true" outlineLevel="0" collapsed="false">
      <c r="A12" s="34" t="s">
        <v>284</v>
      </c>
      <c r="B12" s="20" t="s">
        <v>284</v>
      </c>
      <c r="C12" s="49" t="n">
        <f aca="false">'5. WACC'!B20</f>
        <v>0.126184942801951</v>
      </c>
      <c r="D12" s="49" t="n">
        <f aca="false">'5. WACC'!B20</f>
        <v>0.126184942801951</v>
      </c>
      <c r="E12" s="49" t="n">
        <f aca="false">'5. WACC'!B20</f>
        <v>0.126184942801951</v>
      </c>
      <c r="F12" s="49" t="n">
        <f aca="false">'5. WACC'!B20</f>
        <v>0.126184942801951</v>
      </c>
      <c r="G12" s="49" t="n">
        <f aca="false">'5. WACC'!B20</f>
        <v>0.126184942801951</v>
      </c>
    </row>
    <row r="13" customFormat="false" ht="16.5" hidden="false" customHeight="true" outlineLevel="0" collapsed="false">
      <c r="A13" s="34" t="s">
        <v>298</v>
      </c>
      <c r="B13" s="20" t="s">
        <v>299</v>
      </c>
      <c r="C13" s="50" t="n">
        <v>1</v>
      </c>
      <c r="D13" s="50" t="n">
        <v>2</v>
      </c>
      <c r="E13" s="50" t="n">
        <v>3</v>
      </c>
      <c r="F13" s="50" t="n">
        <v>4</v>
      </c>
      <c r="G13" s="50" t="n">
        <v>5</v>
      </c>
    </row>
    <row r="14" customFormat="false" ht="16.5" hidden="false" customHeight="true" outlineLevel="0" collapsed="false">
      <c r="A14" s="34" t="s">
        <v>300</v>
      </c>
      <c r="B14" s="20" t="s">
        <v>301</v>
      </c>
      <c r="C14" s="51" t="n">
        <f aca="false">1/(1+C12)^C13</f>
        <v>0.887953622885418</v>
      </c>
      <c r="D14" s="51" t="n">
        <f aca="false">1/(1+D12)^D13</f>
        <v>0.788461636395339</v>
      </c>
      <c r="E14" s="51" t="n">
        <f aca="false">1/(1+E12)^E13</f>
        <v>0.700117366543406</v>
      </c>
      <c r="F14" s="51" t="n">
        <f aca="false">1/(1+F12)^F13</f>
        <v>0.621671752067216</v>
      </c>
      <c r="G14" s="51" t="n">
        <f aca="false">1/(1+G12)^G13</f>
        <v>0.55201568449361</v>
      </c>
    </row>
    <row r="15" customFormat="false" ht="16.5" hidden="false" customHeight="true" outlineLevel="0" collapsed="false">
      <c r="A15" s="30" t="s">
        <v>302</v>
      </c>
      <c r="B15" s="31" t="s">
        <v>303</v>
      </c>
      <c r="C15" s="35" t="n">
        <f aca="false">C10*C14</f>
        <v>372828.808930464</v>
      </c>
      <c r="D15" s="35" t="n">
        <f aca="false">D10*D14</f>
        <v>313469.701481188</v>
      </c>
      <c r="E15" s="35" t="n">
        <f aca="false">E10*E14</f>
        <v>349433.096898571</v>
      </c>
      <c r="F15" s="35" t="n">
        <f aca="false">F10*F14</f>
        <v>349953.535131917</v>
      </c>
      <c r="G15" s="35" t="n">
        <f aca="false">G10*G14</f>
        <v>362789.743327638</v>
      </c>
    </row>
    <row r="17" customFormat="false" ht="16.5" hidden="false" customHeight="true" outlineLevel="0" collapsed="false">
      <c r="A17" s="19" t="s">
        <v>304</v>
      </c>
      <c r="B17" s="19"/>
      <c r="C17" s="19"/>
      <c r="D17" s="19"/>
      <c r="E17" s="19"/>
      <c r="F17" s="19"/>
      <c r="G17" s="19"/>
    </row>
    <row r="18" customFormat="false" ht="16.5" hidden="false" customHeight="true" outlineLevel="0" collapsed="false">
      <c r="A18" s="6" t="s">
        <v>305</v>
      </c>
      <c r="B18" s="20" t="s">
        <v>306</v>
      </c>
      <c r="C18" s="49" t="n">
        <f aca="false">'5. WACC'!B20</f>
        <v>0.126184942801951</v>
      </c>
    </row>
    <row r="19" customFormat="false" ht="16.5" hidden="false" customHeight="true" outlineLevel="0" collapsed="false">
      <c r="A19" s="6" t="s">
        <v>307</v>
      </c>
      <c r="B19" s="20" t="s">
        <v>308</v>
      </c>
      <c r="C19" s="22" t="n">
        <v>0.035</v>
      </c>
    </row>
    <row r="20" customFormat="false" ht="16.5" hidden="false" customHeight="true" outlineLevel="0" collapsed="false">
      <c r="A20" s="6" t="s">
        <v>309</v>
      </c>
      <c r="B20" s="20" t="s">
        <v>310</v>
      </c>
      <c r="C20" s="36" t="n">
        <f aca="false">G10</f>
        <v>657209.121984355</v>
      </c>
    </row>
    <row r="21" customFormat="false" ht="16.5" hidden="false" customHeight="true" outlineLevel="0" collapsed="false">
      <c r="A21" s="30" t="s">
        <v>311</v>
      </c>
      <c r="B21" s="31" t="s">
        <v>312</v>
      </c>
      <c r="C21" s="35" t="n">
        <f aca="false">C20*(1+C19)/(C18-C19)</f>
        <v>7459690.38694458</v>
      </c>
    </row>
    <row r="22" customFormat="false" ht="16.5" hidden="false" customHeight="true" outlineLevel="0" collapsed="false">
      <c r="A22" s="6" t="s">
        <v>313</v>
      </c>
      <c r="B22" s="20" t="s">
        <v>314</v>
      </c>
      <c r="C22" s="29" t="n">
        <v>8</v>
      </c>
    </row>
    <row r="23" customFormat="false" ht="16.5" hidden="false" customHeight="true" outlineLevel="0" collapsed="false">
      <c r="A23" s="6" t="s">
        <v>315</v>
      </c>
      <c r="B23" s="20" t="s">
        <v>316</v>
      </c>
      <c r="C23" s="40" t="n">
        <f aca="false">'2. DRE'!K13</f>
        <v>1007411.7182976</v>
      </c>
    </row>
    <row r="24" customFormat="false" ht="16.5" hidden="false" customHeight="true" outlineLevel="0" collapsed="false">
      <c r="A24" s="30" t="s">
        <v>317</v>
      </c>
      <c r="B24" s="31" t="s">
        <v>318</v>
      </c>
      <c r="C24" s="35" t="n">
        <f aca="false">C23*C22</f>
        <v>8059293.7463808</v>
      </c>
    </row>
    <row r="25" customFormat="false" ht="16.5" hidden="false" customHeight="true" outlineLevel="0" collapsed="false">
      <c r="A25" s="6" t="s">
        <v>319</v>
      </c>
      <c r="B25" s="20" t="s">
        <v>320</v>
      </c>
      <c r="C25" s="37" t="n">
        <f aca="false">1/(1+C18)^5</f>
        <v>0.55201568449361</v>
      </c>
    </row>
    <row r="26" customFormat="false" ht="16.5" hidden="false" customHeight="true" outlineLevel="0" collapsed="false">
      <c r="A26" s="6" t="s">
        <v>321</v>
      </c>
      <c r="B26" s="20" t="s">
        <v>322</v>
      </c>
      <c r="C26" s="36" t="n">
        <f aca="false">C21*C25</f>
        <v>4117866.09505961</v>
      </c>
    </row>
    <row r="27" customFormat="false" ht="16.5" hidden="false" customHeight="true" outlineLevel="0" collapsed="false">
      <c r="A27" s="6" t="s">
        <v>323</v>
      </c>
      <c r="B27" s="20" t="s">
        <v>324</v>
      </c>
      <c r="C27" s="36" t="n">
        <f aca="false">C24*C25</f>
        <v>4448856.55394347</v>
      </c>
    </row>
    <row r="28" customFormat="false" ht="16.5" hidden="false" customHeight="true" outlineLevel="0" collapsed="false">
      <c r="A28" s="30" t="s">
        <v>325</v>
      </c>
      <c r="B28" s="31" t="s">
        <v>326</v>
      </c>
      <c r="C28" s="36" t="n">
        <f aca="false">SUM(C15:G15)</f>
        <v>1748474.88576978</v>
      </c>
    </row>
    <row r="29" customFormat="false" ht="16.5" hidden="false" customHeight="true" outlineLevel="0" collapsed="false">
      <c r="A29" s="30" t="s">
        <v>327</v>
      </c>
      <c r="B29" s="31" t="s">
        <v>328</v>
      </c>
      <c r="C29" s="35" t="n">
        <f aca="false">C28+C26</f>
        <v>5866340.98082939</v>
      </c>
    </row>
    <row r="30" customFormat="false" ht="16.5" hidden="false" customHeight="true" outlineLevel="0" collapsed="false">
      <c r="A30" s="30" t="s">
        <v>329</v>
      </c>
      <c r="B30" s="31" t="s">
        <v>330</v>
      </c>
      <c r="C30" s="35" t="n">
        <f aca="false">C28+C27</f>
        <v>6197331.43971324</v>
      </c>
    </row>
    <row r="31" customFormat="false" ht="16.5" hidden="false" customHeight="true" outlineLevel="0" collapsed="false">
      <c r="A31" s="6" t="s">
        <v>331</v>
      </c>
      <c r="B31" s="20" t="s">
        <v>332</v>
      </c>
      <c r="C31" s="40" t="n">
        <f aca="false">'3. BALANÇO'!K28</f>
        <v>328811.2</v>
      </c>
    </row>
    <row r="32" customFormat="false" ht="16.5" hidden="false" customHeight="true" outlineLevel="0" collapsed="false">
      <c r="A32" s="30" t="s">
        <v>333</v>
      </c>
      <c r="B32" s="31" t="s">
        <v>334</v>
      </c>
      <c r="C32" s="35" t="n">
        <f aca="false">C29-C31</f>
        <v>5537529.78082939</v>
      </c>
    </row>
    <row r="33" customFormat="false" ht="16.5" hidden="false" customHeight="true" outlineLevel="0" collapsed="false">
      <c r="A33" s="30" t="s">
        <v>335</v>
      </c>
      <c r="B33" s="31" t="s">
        <v>336</v>
      </c>
      <c r="C33" s="35" t="n">
        <f aca="false">C30-C31</f>
        <v>5868520.23971324</v>
      </c>
    </row>
    <row r="34" customFormat="false" ht="16.5" hidden="false" customHeight="true" outlineLevel="0" collapsed="false">
      <c r="A34" s="6" t="s">
        <v>337</v>
      </c>
      <c r="B34" s="20" t="s">
        <v>338</v>
      </c>
      <c r="C34" s="27" t="n">
        <v>100000</v>
      </c>
    </row>
    <row r="35" customFormat="false" ht="16.5" hidden="false" customHeight="true" outlineLevel="0" collapsed="false">
      <c r="A35" s="30" t="s">
        <v>339</v>
      </c>
      <c r="B35" s="31" t="s">
        <v>340</v>
      </c>
      <c r="C35" s="52" t="n">
        <f aca="false">C32/C34</f>
        <v>55.3752978082939</v>
      </c>
    </row>
    <row r="36" customFormat="false" ht="16.5" hidden="false" customHeight="true" outlineLevel="0" collapsed="false">
      <c r="A36" s="30" t="s">
        <v>341</v>
      </c>
      <c r="B36" s="31" t="s">
        <v>342</v>
      </c>
      <c r="C36" s="52" t="n">
        <f aca="false">C33/C34</f>
        <v>58.6852023971324</v>
      </c>
    </row>
  </sheetData>
  <mergeCells count="2">
    <mergeCell ref="A1:K1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9" min="2" style="1" width="14"/>
  </cols>
  <sheetData>
    <row r="1" customFormat="false" ht="27.75" hidden="false" customHeight="true" outlineLevel="0" collapsed="false">
      <c r="A1" s="15" t="s">
        <v>343</v>
      </c>
      <c r="B1" s="15"/>
      <c r="C1" s="15"/>
      <c r="D1" s="15"/>
      <c r="E1" s="15"/>
      <c r="F1" s="15"/>
      <c r="G1" s="15"/>
      <c r="H1" s="15"/>
      <c r="I1" s="15"/>
    </row>
    <row r="2" customFormat="false" ht="16.5" hidden="false" customHeight="true" outlineLevel="0" collapsed="false">
      <c r="A2" s="19" t="s">
        <v>344</v>
      </c>
      <c r="B2" s="19"/>
      <c r="C2" s="19"/>
      <c r="D2" s="19"/>
      <c r="E2" s="19"/>
      <c r="F2" s="19"/>
      <c r="G2" s="19"/>
      <c r="H2" s="19"/>
      <c r="I2" s="19"/>
    </row>
    <row r="3" customFormat="false" ht="18" hidden="false" customHeight="true" outlineLevel="0" collapsed="false">
      <c r="A3" s="53" t="s">
        <v>345</v>
      </c>
      <c r="B3" s="53" t="s">
        <v>346</v>
      </c>
      <c r="C3" s="53" t="s">
        <v>347</v>
      </c>
      <c r="D3" s="53" t="s">
        <v>348</v>
      </c>
      <c r="E3" s="53" t="s">
        <v>349</v>
      </c>
      <c r="F3" s="53" t="s">
        <v>350</v>
      </c>
      <c r="G3" s="53" t="s">
        <v>351</v>
      </c>
      <c r="H3" s="53" t="s">
        <v>352</v>
      </c>
      <c r="I3" s="53" t="s">
        <v>353</v>
      </c>
    </row>
    <row r="4" customFormat="false" ht="16.5" hidden="false" customHeight="true" outlineLevel="0" collapsed="false">
      <c r="A4" s="54" t="s">
        <v>354</v>
      </c>
      <c r="B4" s="55" t="s">
        <v>355</v>
      </c>
      <c r="C4" s="56" t="n">
        <v>8.5</v>
      </c>
      <c r="D4" s="56" t="n">
        <v>10.2</v>
      </c>
      <c r="E4" s="56" t="n">
        <v>15.3</v>
      </c>
      <c r="F4" s="56" t="n">
        <v>2.8</v>
      </c>
      <c r="G4" s="56" t="n">
        <v>1.2</v>
      </c>
      <c r="H4" s="57" t="n">
        <v>0.025</v>
      </c>
      <c r="I4" s="57" t="n">
        <v>0.22</v>
      </c>
    </row>
    <row r="5" customFormat="false" ht="16.5" hidden="false" customHeight="true" outlineLevel="0" collapsed="false">
      <c r="A5" s="58" t="s">
        <v>356</v>
      </c>
      <c r="B5" s="59" t="s">
        <v>357</v>
      </c>
      <c r="C5" s="60" t="n">
        <v>9.2</v>
      </c>
      <c r="D5" s="60" t="n">
        <v>11.5</v>
      </c>
      <c r="E5" s="60" t="n">
        <v>17.1</v>
      </c>
      <c r="F5" s="60" t="n">
        <v>3.2</v>
      </c>
      <c r="G5" s="60" t="n">
        <v>1.4</v>
      </c>
      <c r="H5" s="61" t="n">
        <v>0.02</v>
      </c>
      <c r="I5" s="61" t="n">
        <v>0.24</v>
      </c>
    </row>
    <row r="6" customFormat="false" ht="16.5" hidden="false" customHeight="true" outlineLevel="0" collapsed="false">
      <c r="A6" s="54" t="s">
        <v>358</v>
      </c>
      <c r="B6" s="55" t="s">
        <v>359</v>
      </c>
      <c r="C6" s="56" t="n">
        <v>7.8</v>
      </c>
      <c r="D6" s="56" t="n">
        <v>9.8</v>
      </c>
      <c r="E6" s="56" t="n">
        <v>14.2</v>
      </c>
      <c r="F6" s="56" t="n">
        <v>2.5</v>
      </c>
      <c r="G6" s="56" t="n">
        <v>1.1</v>
      </c>
      <c r="H6" s="57" t="n">
        <v>0.03</v>
      </c>
      <c r="I6" s="57" t="n">
        <v>0.21</v>
      </c>
    </row>
    <row r="7" customFormat="false" ht="16.5" hidden="false" customHeight="true" outlineLevel="0" collapsed="false">
      <c r="A7" s="58" t="s">
        <v>360</v>
      </c>
      <c r="B7" s="59" t="s">
        <v>361</v>
      </c>
      <c r="C7" s="60" t="n">
        <v>10.5</v>
      </c>
      <c r="D7" s="60" t="n">
        <v>13.1</v>
      </c>
      <c r="E7" s="60" t="n">
        <v>19.2</v>
      </c>
      <c r="F7" s="60" t="n">
        <v>3.8</v>
      </c>
      <c r="G7" s="60" t="n">
        <v>1.6</v>
      </c>
      <c r="H7" s="61" t="n">
        <v>0.018</v>
      </c>
      <c r="I7" s="61" t="n">
        <v>0.26</v>
      </c>
    </row>
    <row r="8" customFormat="false" ht="16.5" hidden="false" customHeight="true" outlineLevel="0" collapsed="false">
      <c r="A8" s="54" t="s">
        <v>362</v>
      </c>
      <c r="B8" s="55" t="s">
        <v>363</v>
      </c>
      <c r="C8" s="56" t="n">
        <v>8.9</v>
      </c>
      <c r="D8" s="56" t="n">
        <v>11</v>
      </c>
      <c r="E8" s="56" t="n">
        <v>16.5</v>
      </c>
      <c r="F8" s="56" t="n">
        <v>3</v>
      </c>
      <c r="G8" s="56" t="n">
        <v>1.3</v>
      </c>
      <c r="H8" s="57" t="n">
        <v>0.022</v>
      </c>
      <c r="I8" s="57" t="n">
        <v>0.23</v>
      </c>
    </row>
    <row r="9" customFormat="false" ht="16.5" hidden="false" customHeight="true" outlineLevel="0" collapsed="false">
      <c r="A9" s="58" t="s">
        <v>364</v>
      </c>
      <c r="B9" s="59" t="s">
        <v>365</v>
      </c>
      <c r="C9" s="60" t="n">
        <v>7.2</v>
      </c>
      <c r="D9" s="60" t="n">
        <v>9.2</v>
      </c>
      <c r="E9" s="60" t="n">
        <v>13.5</v>
      </c>
      <c r="F9" s="60" t="n">
        <v>2.3</v>
      </c>
      <c r="G9" s="60" t="n">
        <v>1</v>
      </c>
      <c r="H9" s="61" t="n">
        <v>0.035</v>
      </c>
      <c r="I9" s="61" t="n">
        <v>0.2</v>
      </c>
    </row>
    <row r="10" customFormat="false" ht="16.5" hidden="false" customHeight="true" outlineLevel="0" collapsed="false">
      <c r="A10" s="54" t="s">
        <v>366</v>
      </c>
      <c r="B10" s="55" t="s">
        <v>367</v>
      </c>
      <c r="C10" s="56" t="n">
        <v>11.2</v>
      </c>
      <c r="D10" s="56" t="n">
        <v>14</v>
      </c>
      <c r="E10" s="56" t="n">
        <v>20.8</v>
      </c>
      <c r="F10" s="56" t="n">
        <v>4.1</v>
      </c>
      <c r="G10" s="56" t="n">
        <v>1.8</v>
      </c>
      <c r="H10" s="57" t="n">
        <v>0.015</v>
      </c>
      <c r="I10" s="57" t="n">
        <v>0.28</v>
      </c>
    </row>
    <row r="11" customFormat="false" ht="16.5" hidden="false" customHeight="true" outlineLevel="0" collapsed="false">
      <c r="A11" s="58" t="s">
        <v>368</v>
      </c>
      <c r="B11" s="59" t="s">
        <v>369</v>
      </c>
      <c r="C11" s="60" t="n">
        <v>6.8</v>
      </c>
      <c r="D11" s="60" t="n">
        <v>8.5</v>
      </c>
      <c r="E11" s="60" t="n">
        <v>12.8</v>
      </c>
      <c r="F11" s="60" t="n">
        <v>2.1</v>
      </c>
      <c r="G11" s="60" t="n">
        <v>0.9</v>
      </c>
      <c r="H11" s="61" t="n">
        <v>0.04</v>
      </c>
      <c r="I11" s="61" t="n">
        <v>0.19</v>
      </c>
    </row>
    <row r="12" customFormat="false" ht="16.5" hidden="false" customHeight="true" outlineLevel="0" collapsed="false">
      <c r="A12" s="4" t="s">
        <v>370</v>
      </c>
      <c r="C12" s="62" t="n">
        <f aca="false">MIN(C4:C11)</f>
        <v>6.8</v>
      </c>
      <c r="D12" s="62" t="n">
        <f aca="false">MIN(D4:D11)</f>
        <v>8.5</v>
      </c>
      <c r="E12" s="62" t="n">
        <f aca="false">MIN(E4:E11)</f>
        <v>12.8</v>
      </c>
      <c r="F12" s="62" t="n">
        <f aca="false">MIN(F4:F11)</f>
        <v>2.1</v>
      </c>
      <c r="G12" s="62" t="n">
        <f aca="false">MIN(G4:G11)</f>
        <v>0.9</v>
      </c>
      <c r="H12" s="45" t="n">
        <f aca="false">MIN(H4:H11)</f>
        <v>0.015</v>
      </c>
      <c r="I12" s="45" t="n">
        <f aca="false">MIN(I4:I11)</f>
        <v>0.19</v>
      </c>
    </row>
    <row r="13" customFormat="false" ht="16.5" hidden="false" customHeight="true" outlineLevel="0" collapsed="false">
      <c r="A13" s="4" t="s">
        <v>371</v>
      </c>
      <c r="C13" s="62" t="n">
        <f aca="false">PERCENTILE(C4:C11,0.25)</f>
        <v>7.65</v>
      </c>
      <c r="D13" s="62" t="n">
        <f aca="false">PERCENTILE(D4:D11,0.25)</f>
        <v>9.65</v>
      </c>
      <c r="E13" s="62" t="n">
        <f aca="false">PERCENTILE(E4:E11,0.25)</f>
        <v>14.025</v>
      </c>
      <c r="F13" s="62" t="n">
        <f aca="false">PERCENTILE(F4:F11,0.25)</f>
        <v>2.45</v>
      </c>
      <c r="G13" s="62" t="n">
        <f aca="false">PERCENTILE(G4:G11,0.25)</f>
        <v>1.075</v>
      </c>
      <c r="H13" s="45" t="n">
        <f aca="false">PERCENTILE(H4:H11,0.25)</f>
        <v>0.0195</v>
      </c>
      <c r="I13" s="45" t="n">
        <f aca="false">PERCENTILE(I4:I11,0.25)</f>
        <v>0.2075</v>
      </c>
    </row>
    <row r="14" customFormat="false" ht="16.5" hidden="false" customHeight="true" outlineLevel="0" collapsed="false">
      <c r="A14" s="4" t="s">
        <v>372</v>
      </c>
      <c r="C14" s="62" t="n">
        <f aca="false">MEDIAN(C4:C11)</f>
        <v>8.7</v>
      </c>
      <c r="D14" s="62" t="n">
        <f aca="false">MEDIAN(D4:D11)</f>
        <v>10.6</v>
      </c>
      <c r="E14" s="62" t="n">
        <f aca="false">MEDIAN(E4:E11)</f>
        <v>15.9</v>
      </c>
      <c r="F14" s="62" t="n">
        <f aca="false">MEDIAN(F4:F11)</f>
        <v>2.9</v>
      </c>
      <c r="G14" s="62" t="n">
        <f aca="false">MEDIAN(G4:G11)</f>
        <v>1.25</v>
      </c>
      <c r="H14" s="45" t="n">
        <f aca="false">MEDIAN(H4:H11)</f>
        <v>0.0235</v>
      </c>
      <c r="I14" s="45" t="n">
        <f aca="false">MEDIAN(I4:I11)</f>
        <v>0.225</v>
      </c>
    </row>
    <row r="15" customFormat="false" ht="16.5" hidden="false" customHeight="true" outlineLevel="0" collapsed="false">
      <c r="A15" s="4" t="s">
        <v>373</v>
      </c>
      <c r="C15" s="62" t="n">
        <f aca="false">PERCENTILE(C4:C11,0.75)</f>
        <v>9.525</v>
      </c>
      <c r="D15" s="62" t="n">
        <f aca="false">PERCENTILE(D4:D11,0.75)</f>
        <v>11.9</v>
      </c>
      <c r="E15" s="62" t="n">
        <f aca="false">PERCENTILE(E4:E11,0.75)</f>
        <v>17.625</v>
      </c>
      <c r="F15" s="62" t="n">
        <f aca="false">PERCENTILE(F4:F11,0.75)</f>
        <v>3.35</v>
      </c>
      <c r="G15" s="62" t="n">
        <f aca="false">PERCENTILE(G4:G11,0.75)</f>
        <v>1.45</v>
      </c>
      <c r="H15" s="45" t="n">
        <f aca="false">PERCENTILE(H4:H11,0.75)</f>
        <v>0.03125</v>
      </c>
      <c r="I15" s="45" t="n">
        <f aca="false">PERCENTILE(I4:I11,0.75)</f>
        <v>0.245</v>
      </c>
    </row>
    <row r="16" customFormat="false" ht="16.5" hidden="false" customHeight="true" outlineLevel="0" collapsed="false">
      <c r="A16" s="4" t="s">
        <v>374</v>
      </c>
      <c r="C16" s="62" t="n">
        <f aca="false">MAX(C4:C11)</f>
        <v>11.2</v>
      </c>
      <c r="D16" s="62" t="n">
        <f aca="false">MAX(D4:D11)</f>
        <v>14</v>
      </c>
      <c r="E16" s="62" t="n">
        <f aca="false">MAX(E4:E11)</f>
        <v>20.8</v>
      </c>
      <c r="F16" s="62" t="n">
        <f aca="false">MAX(F4:F11)</f>
        <v>4.1</v>
      </c>
      <c r="G16" s="62" t="n">
        <f aca="false">MAX(G4:G11)</f>
        <v>1.8</v>
      </c>
      <c r="H16" s="45" t="n">
        <f aca="false">MAX(H4:H11)</f>
        <v>0.04</v>
      </c>
      <c r="I16" s="45" t="n">
        <f aca="false">MAX(I4:I11)</f>
        <v>0.28</v>
      </c>
    </row>
    <row r="17" customFormat="false" ht="16.5" hidden="false" customHeight="true" outlineLevel="0" collapsed="false">
      <c r="A17" s="4" t="s">
        <v>375</v>
      </c>
      <c r="C17" s="62" t="n">
        <f aca="false">AVERAGE(C4:C11)</f>
        <v>8.7625</v>
      </c>
      <c r="D17" s="62" t="n">
        <f aca="false">AVERAGE(D4:D11)</f>
        <v>10.9125</v>
      </c>
      <c r="E17" s="62" t="n">
        <f aca="false">AVERAGE(E4:E11)</f>
        <v>16.175</v>
      </c>
      <c r="F17" s="62" t="n">
        <f aca="false">AVERAGE(F4:F11)</f>
        <v>2.975</v>
      </c>
      <c r="G17" s="62" t="n">
        <f aca="false">AVERAGE(G4:G11)</f>
        <v>1.2875</v>
      </c>
      <c r="H17" s="45" t="n">
        <f aca="false">AVERAGE(H4:H11)</f>
        <v>0.025625</v>
      </c>
      <c r="I17" s="45" t="n">
        <f aca="false">AVERAGE(I4:I11)</f>
        <v>0.22875</v>
      </c>
    </row>
    <row r="20" customFormat="false" ht="15" hidden="false" customHeight="true" outlineLevel="0" collapsed="false">
      <c r="A20" s="19" t="s">
        <v>376</v>
      </c>
      <c r="B20" s="19"/>
      <c r="C20" s="19"/>
      <c r="D20" s="19"/>
      <c r="E20" s="19"/>
      <c r="F20" s="19"/>
      <c r="G20" s="19"/>
      <c r="H20" s="19"/>
      <c r="I20" s="19"/>
    </row>
    <row r="21" customFormat="false" ht="16.5" hidden="false" customHeight="true" outlineLevel="0" collapsed="false">
      <c r="A21" s="6" t="s">
        <v>377</v>
      </c>
      <c r="B21" s="41" t="n">
        <f aca="false">'2. DRE'!K13</f>
        <v>1007411.7182976</v>
      </c>
    </row>
    <row r="22" customFormat="false" ht="16.5" hidden="false" customHeight="true" outlineLevel="0" collapsed="false">
      <c r="A22" s="6" t="s">
        <v>378</v>
      </c>
      <c r="B22" s="41" t="n">
        <f aca="false">'2. DRE'!K16</f>
        <v>931855.83942528</v>
      </c>
    </row>
    <row r="23" customFormat="false" ht="16.5" hidden="false" customHeight="true" outlineLevel="0" collapsed="false">
      <c r="A23" s="6" t="s">
        <v>379</v>
      </c>
      <c r="B23" s="41" t="n">
        <f aca="false">'2. DRE'!K6</f>
        <v>2518529.295744</v>
      </c>
    </row>
    <row r="24" customFormat="false" ht="16.5" hidden="false" customHeight="true" outlineLevel="0" collapsed="false">
      <c r="A24" s="30" t="s">
        <v>380</v>
      </c>
      <c r="B24" s="35" t="n">
        <f aca="false">B21*C14</f>
        <v>8764481.94918912</v>
      </c>
    </row>
    <row r="25" customFormat="false" ht="16.5" hidden="false" customHeight="true" outlineLevel="0" collapsed="false">
      <c r="A25" s="30" t="s">
        <v>381</v>
      </c>
      <c r="B25" s="35" t="n">
        <f aca="false">B22*D14</f>
        <v>9877671.89790797</v>
      </c>
    </row>
    <row r="26" customFormat="false" ht="16.5" hidden="false" customHeight="true" outlineLevel="0" collapsed="false">
      <c r="A26" s="30" t="s">
        <v>382</v>
      </c>
      <c r="B26" s="35" t="n">
        <f aca="false">B23*G14</f>
        <v>3148161.61968</v>
      </c>
    </row>
  </sheetData>
  <mergeCells count="3">
    <mergeCell ref="A1:I1"/>
    <mergeCell ref="A2:I2"/>
    <mergeCell ref="A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5"/>
    <col collapsed="false" customWidth="true" hidden="false" outlineLevel="0" max="3" min="3" style="1" width="20"/>
  </cols>
  <sheetData>
    <row r="1" customFormat="false" ht="27.75" hidden="false" customHeight="true" outlineLevel="0" collapsed="false">
      <c r="A1" s="15" t="s">
        <v>383</v>
      </c>
      <c r="B1" s="15"/>
      <c r="C1" s="15"/>
    </row>
    <row r="2" customFormat="false" ht="15" hidden="false" customHeight="true" outlineLevel="0" collapsed="false">
      <c r="A2" s="19" t="s">
        <v>384</v>
      </c>
      <c r="B2" s="19"/>
      <c r="C2" s="19"/>
    </row>
    <row r="3" customFormat="false" ht="18" hidden="false" customHeight="true" outlineLevel="0" collapsed="false">
      <c r="A3" s="6" t="s">
        <v>385</v>
      </c>
      <c r="B3" s="24" t="n">
        <v>25</v>
      </c>
      <c r="C3" s="20" t="s">
        <v>386</v>
      </c>
    </row>
    <row r="4" customFormat="false" ht="18" hidden="false" customHeight="true" outlineLevel="0" collapsed="false">
      <c r="A4" s="6" t="s">
        <v>387</v>
      </c>
      <c r="B4" s="43" t="n">
        <v>100000</v>
      </c>
      <c r="C4" s="20" t="s">
        <v>388</v>
      </c>
    </row>
    <row r="5" customFormat="false" ht="18" hidden="false" customHeight="true" outlineLevel="0" collapsed="false">
      <c r="A5" s="6" t="s">
        <v>389</v>
      </c>
      <c r="B5" s="43" t="n">
        <v>20000</v>
      </c>
      <c r="C5" s="20" t="s">
        <v>390</v>
      </c>
    </row>
    <row r="6" customFormat="false" ht="18" hidden="false" customHeight="true" outlineLevel="0" collapsed="false">
      <c r="A6" s="6" t="s">
        <v>391</v>
      </c>
      <c r="B6" s="43" t="n">
        <v>5000</v>
      </c>
      <c r="C6" s="20" t="s">
        <v>392</v>
      </c>
    </row>
    <row r="7" customFormat="false" ht="18" hidden="false" customHeight="true" outlineLevel="0" collapsed="false">
      <c r="A7" s="6" t="s">
        <v>393</v>
      </c>
      <c r="B7" s="22" t="n">
        <v>0.15</v>
      </c>
      <c r="C7" s="20" t="s">
        <v>394</v>
      </c>
    </row>
    <row r="8" customFormat="false" ht="18" hidden="false" customHeight="true" outlineLevel="0" collapsed="false">
      <c r="A8" s="6" t="s">
        <v>395</v>
      </c>
      <c r="B8" s="22" t="n">
        <v>0.05</v>
      </c>
      <c r="C8" s="20" t="s">
        <v>396</v>
      </c>
    </row>
    <row r="9" customFormat="false" ht="18" hidden="false" customHeight="true" outlineLevel="0" collapsed="false">
      <c r="A9" s="6" t="s">
        <v>397</v>
      </c>
      <c r="B9" s="22" t="n">
        <v>0.035</v>
      </c>
      <c r="C9" s="20" t="s">
        <v>398</v>
      </c>
    </row>
    <row r="10" customFormat="false" ht="18" hidden="false" customHeight="true" outlineLevel="0" collapsed="false">
      <c r="A10" s="6" t="s">
        <v>399</v>
      </c>
      <c r="B10" s="22" t="n">
        <v>0.005</v>
      </c>
      <c r="C10" s="20" t="s">
        <v>400</v>
      </c>
    </row>
    <row r="11" customFormat="false" ht="18" hidden="false" customHeight="true" outlineLevel="0" collapsed="false">
      <c r="A11" s="6" t="s">
        <v>401</v>
      </c>
      <c r="B11" s="43" t="n">
        <v>3000</v>
      </c>
      <c r="C11" s="20" t="s">
        <v>402</v>
      </c>
    </row>
    <row r="12" customFormat="false" ht="16.5" hidden="false" customHeight="true" outlineLevel="0" collapsed="false">
      <c r="A12" s="19" t="s">
        <v>403</v>
      </c>
      <c r="B12" s="19"/>
      <c r="C12" s="19"/>
    </row>
    <row r="13" customFormat="false" ht="16.5" hidden="false" customHeight="true" outlineLevel="0" collapsed="false">
      <c r="A13" s="6" t="s">
        <v>404</v>
      </c>
      <c r="B13" s="33" t="n">
        <f aca="false">B5+B6</f>
        <v>25000</v>
      </c>
      <c r="C13" s="20" t="s">
        <v>405</v>
      </c>
    </row>
    <row r="14" customFormat="false" ht="16.5" hidden="false" customHeight="true" outlineLevel="0" collapsed="false">
      <c r="A14" s="6" t="s">
        <v>406</v>
      </c>
      <c r="B14" s="33" t="n">
        <f aca="false">B13*B7</f>
        <v>3750</v>
      </c>
      <c r="C14" s="20" t="s">
        <v>407</v>
      </c>
    </row>
    <row r="15" customFormat="false" ht="16.5" hidden="false" customHeight="true" outlineLevel="0" collapsed="false">
      <c r="A15" s="30" t="s">
        <v>408</v>
      </c>
      <c r="B15" s="35" t="n">
        <f aca="false">(B13+B14)*B3</f>
        <v>718750</v>
      </c>
      <c r="C15" s="20" t="s">
        <v>409</v>
      </c>
    </row>
    <row r="16" customFormat="false" ht="16.5" hidden="false" customHeight="true" outlineLevel="0" collapsed="false">
      <c r="A16" s="6" t="s">
        <v>410</v>
      </c>
      <c r="B16" s="33" t="n">
        <f aca="false">B5*B3</f>
        <v>500000</v>
      </c>
      <c r="C16" s="20" t="s">
        <v>411</v>
      </c>
    </row>
    <row r="17" customFormat="false" ht="16.5" hidden="false" customHeight="true" outlineLevel="0" collapsed="false">
      <c r="A17" s="6" t="s">
        <v>412</v>
      </c>
      <c r="B17" s="33" t="n">
        <f aca="false">B15*B9</f>
        <v>25156.25</v>
      </c>
      <c r="C17" s="20" t="s">
        <v>413</v>
      </c>
    </row>
    <row r="18" customFormat="false" ht="16.5" hidden="false" customHeight="true" outlineLevel="0" collapsed="false">
      <c r="A18" s="6" t="s">
        <v>414</v>
      </c>
      <c r="B18" s="33" t="n">
        <f aca="false">B15*B10</f>
        <v>3593.75</v>
      </c>
      <c r="C18" s="20" t="s">
        <v>415</v>
      </c>
    </row>
    <row r="19" customFormat="false" ht="16.5" hidden="false" customHeight="true" outlineLevel="0" collapsed="false">
      <c r="A19" s="6" t="s">
        <v>416</v>
      </c>
      <c r="B19" s="33" t="n">
        <f aca="false">B17+B18+B11</f>
        <v>31750</v>
      </c>
      <c r="C19" s="20" t="s">
        <v>417</v>
      </c>
    </row>
    <row r="20" customFormat="false" ht="16.5" hidden="false" customHeight="true" outlineLevel="0" collapsed="false">
      <c r="A20" s="30" t="s">
        <v>418</v>
      </c>
      <c r="B20" s="35" t="n">
        <f aca="false">B16-B19</f>
        <v>468250</v>
      </c>
      <c r="C20" s="20" t="s">
        <v>419</v>
      </c>
    </row>
    <row r="21" customFormat="false" ht="16.5" hidden="false" customHeight="true" outlineLevel="0" collapsed="false">
      <c r="A21" s="6" t="s">
        <v>420</v>
      </c>
      <c r="B21" s="33" t="n">
        <f aca="false">B4+B5</f>
        <v>120000</v>
      </c>
      <c r="C21" s="20" t="s">
        <v>421</v>
      </c>
    </row>
    <row r="22" customFormat="false" ht="16.5" hidden="false" customHeight="true" outlineLevel="0" collapsed="false">
      <c r="A22" s="30" t="s">
        <v>422</v>
      </c>
      <c r="B22" s="45" t="n">
        <f aca="false">B5/B21</f>
        <v>0.166666666666667</v>
      </c>
      <c r="C22" s="20" t="s">
        <v>423</v>
      </c>
    </row>
    <row r="23" customFormat="false" ht="16.5" hidden="false" customHeight="true" outlineLevel="0" collapsed="false">
      <c r="A23" s="30" t="s">
        <v>424</v>
      </c>
      <c r="B23" s="45" t="n">
        <f aca="false">(B13+B14)/B21</f>
        <v>0.239583333333333</v>
      </c>
      <c r="C23" s="20" t="s">
        <v>425</v>
      </c>
    </row>
    <row r="24" customFormat="false" ht="16.5" hidden="false" customHeight="true" outlineLevel="0" collapsed="false">
      <c r="A24" s="30" t="s">
        <v>426</v>
      </c>
      <c r="B24" s="35" t="n">
        <f aca="false">B21*B3</f>
        <v>3000000</v>
      </c>
      <c r="C24" s="20" t="s">
        <v>427</v>
      </c>
    </row>
    <row r="25" customFormat="false" ht="16.5" hidden="false" customHeight="true" outlineLevel="0" collapsed="false">
      <c r="A25" s="30" t="s">
        <v>428</v>
      </c>
      <c r="B25" s="35" t="n">
        <f aca="false">B24+'3. BALANÇO'!K28-B20</f>
        <v>2860561.2</v>
      </c>
      <c r="C25" s="20" t="s">
        <v>429</v>
      </c>
    </row>
    <row r="26" customFormat="false" ht="16.5" hidden="false" customHeight="true" outlineLevel="0" collapsed="false">
      <c r="A26" s="30" t="s">
        <v>430</v>
      </c>
      <c r="B26" s="62" t="n">
        <f aca="false">IF('2. DRE'!K13&lt;&gt;0,B25/'2. DRE'!K13,0)</f>
        <v>2.83951551093131</v>
      </c>
      <c r="C26" s="20" t="s">
        <v>431</v>
      </c>
    </row>
    <row r="27" customFormat="false" ht="16.5" hidden="false" customHeight="true" outlineLevel="0" collapsed="false">
      <c r="A27" s="30" t="s">
        <v>432</v>
      </c>
      <c r="B27" s="62" t="n">
        <f aca="false">IF('2. DRE'!K21&lt;&gt;0,B24/'2. DRE'!K21,0)</f>
        <v>4.60356086313686</v>
      </c>
      <c r="C27" s="20" t="s">
        <v>433</v>
      </c>
    </row>
  </sheetData>
  <mergeCells count="3">
    <mergeCell ref="A1:C1"/>
    <mergeCell ref="A2:C2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5"/>
    <col collapsed="false" customWidth="true" hidden="false" outlineLevel="0" max="3" min="3" style="1" width="18"/>
  </cols>
  <sheetData>
    <row r="1" customFormat="false" ht="27.75" hidden="false" customHeight="true" outlineLevel="0" collapsed="false">
      <c r="A1" s="15" t="s">
        <v>434</v>
      </c>
      <c r="B1" s="15"/>
      <c r="C1" s="15"/>
    </row>
    <row r="2" customFormat="false" ht="16.5" hidden="false" customHeight="true" outlineLevel="0" collapsed="false">
      <c r="A2" s="19" t="s">
        <v>435</v>
      </c>
      <c r="B2" s="19"/>
      <c r="C2" s="19"/>
    </row>
    <row r="3" customFormat="false" ht="18" hidden="false" customHeight="true" outlineLevel="0" collapsed="false">
      <c r="A3" s="6" t="s">
        <v>436</v>
      </c>
      <c r="B3" s="24" t="n">
        <v>25</v>
      </c>
      <c r="C3" s="20" t="s">
        <v>437</v>
      </c>
    </row>
    <row r="4" customFormat="false" ht="18" hidden="false" customHeight="true" outlineLevel="0" collapsed="false">
      <c r="A4" s="6" t="s">
        <v>438</v>
      </c>
      <c r="B4" s="24" t="n">
        <v>35</v>
      </c>
      <c r="C4" s="20" t="s">
        <v>439</v>
      </c>
    </row>
    <row r="5" customFormat="false" ht="18" hidden="false" customHeight="true" outlineLevel="0" collapsed="false">
      <c r="A5" s="6" t="s">
        <v>440</v>
      </c>
      <c r="B5" s="43" t="n">
        <v>120000</v>
      </c>
      <c r="C5" s="20" t="s">
        <v>338</v>
      </c>
    </row>
    <row r="6" customFormat="false" ht="18" hidden="false" customHeight="true" outlineLevel="0" collapsed="false">
      <c r="A6" s="6" t="s">
        <v>441</v>
      </c>
      <c r="B6" s="63" t="n">
        <f aca="false">'2. DRE'!G21</f>
        <v>351154.8936</v>
      </c>
      <c r="C6" s="20" t="s">
        <v>442</v>
      </c>
    </row>
    <row r="7" customFormat="false" ht="18" hidden="false" customHeight="true" outlineLevel="0" collapsed="false">
      <c r="A7" s="6" t="s">
        <v>443</v>
      </c>
      <c r="B7" s="63" t="n">
        <f aca="false">'2. DRE'!G21*'1. PREMISSAS'!G23/B5</f>
        <v>0.877887234</v>
      </c>
      <c r="C7" s="20" t="s">
        <v>444</v>
      </c>
    </row>
    <row r="8" customFormat="false" ht="18" hidden="false" customHeight="true" outlineLevel="0" collapsed="false">
      <c r="A8" s="6" t="s">
        <v>445</v>
      </c>
      <c r="B8" s="49" t="n">
        <f aca="false">'1. PREMISSAS'!G23</f>
        <v>0.3</v>
      </c>
      <c r="C8" s="20" t="s">
        <v>446</v>
      </c>
    </row>
    <row r="9" customFormat="false" ht="16.5" hidden="false" customHeight="true" outlineLevel="0" collapsed="false">
      <c r="A9" s="19" t="s">
        <v>447</v>
      </c>
      <c r="B9" s="19"/>
      <c r="C9" s="19"/>
    </row>
    <row r="10" customFormat="false" ht="16.5" hidden="false" customHeight="true" outlineLevel="0" collapsed="false">
      <c r="A10" s="30" t="s">
        <v>448</v>
      </c>
      <c r="B10" s="52" t="n">
        <f aca="false">B6/B5</f>
        <v>2.92629078</v>
      </c>
      <c r="C10" s="20" t="s">
        <v>449</v>
      </c>
    </row>
    <row r="11" customFormat="false" ht="16.5" hidden="false" customHeight="true" outlineLevel="0" collapsed="false">
      <c r="A11" s="6" t="s">
        <v>450</v>
      </c>
      <c r="B11" s="64" t="n">
        <f aca="false">IF(B10&lt;&gt;0,B3/B10,0)</f>
        <v>8.54323848158385</v>
      </c>
      <c r="C11" s="20" t="s">
        <v>451</v>
      </c>
    </row>
    <row r="12" customFormat="false" ht="16.5" hidden="false" customHeight="true" outlineLevel="0" collapsed="false">
      <c r="A12" s="6" t="s">
        <v>452</v>
      </c>
      <c r="B12" s="64" t="n">
        <f aca="false">IF(B10&lt;&gt;0,B4/B10,0)</f>
        <v>11.9605338742174</v>
      </c>
      <c r="C12" s="20" t="s">
        <v>453</v>
      </c>
    </row>
    <row r="13" customFormat="false" ht="16.5" hidden="false" customHeight="true" outlineLevel="0" collapsed="false">
      <c r="A13" s="6" t="s">
        <v>454</v>
      </c>
      <c r="B13" s="38" t="n">
        <f aca="false">IF(B3&lt;&gt;0,B7/B3,0)</f>
        <v>0.03511548936</v>
      </c>
      <c r="C13" s="20" t="s">
        <v>455</v>
      </c>
    </row>
    <row r="14" customFormat="false" ht="16.5" hidden="false" customHeight="true" outlineLevel="0" collapsed="false">
      <c r="A14" s="30" t="s">
        <v>456</v>
      </c>
      <c r="B14" s="45" t="n">
        <f aca="false">B4/B3-1</f>
        <v>0.4</v>
      </c>
      <c r="C14" s="20" t="s">
        <v>457</v>
      </c>
    </row>
    <row r="15" customFormat="false" ht="16.5" hidden="false" customHeight="true" outlineLevel="0" collapsed="false">
      <c r="A15" s="30" t="s">
        <v>458</v>
      </c>
      <c r="B15" s="45" t="n">
        <f aca="false">B14+B13</f>
        <v>0.43511548936</v>
      </c>
      <c r="C15" s="20" t="s">
        <v>459</v>
      </c>
    </row>
    <row r="16" customFormat="false" ht="16.5" hidden="false" customHeight="true" outlineLevel="0" collapsed="false">
      <c r="A16" s="30" t="s">
        <v>460</v>
      </c>
      <c r="B16" s="52" t="n">
        <f aca="false">'3. BALANÇO'!G25/B5</f>
        <v>10.03587736621</v>
      </c>
      <c r="C16" s="20" t="s">
        <v>461</v>
      </c>
    </row>
    <row r="17" customFormat="false" ht="16.5" hidden="false" customHeight="true" outlineLevel="0" collapsed="false">
      <c r="A17" s="6" t="s">
        <v>350</v>
      </c>
      <c r="B17" s="64" t="n">
        <f aca="false">IF(B16&lt;&gt;0,B3/B16,0)</f>
        <v>2.49106272304332</v>
      </c>
      <c r="C17" s="20" t="s">
        <v>462</v>
      </c>
    </row>
  </sheetData>
  <mergeCells count="3">
    <mergeCell ref="A1:C1"/>
    <mergeCell ref="A2:C2"/>
    <mergeCell ref="A9:C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8" min="2" style="1" width="15"/>
  </cols>
  <sheetData>
    <row r="1" customFormat="false" ht="27.75" hidden="false" customHeight="true" outlineLevel="0" collapsed="false">
      <c r="A1" s="15" t="s">
        <v>463</v>
      </c>
      <c r="B1" s="15"/>
      <c r="C1" s="15"/>
      <c r="D1" s="15"/>
      <c r="E1" s="15"/>
      <c r="F1" s="15"/>
      <c r="G1" s="15"/>
      <c r="H1" s="15"/>
    </row>
    <row r="2" customFormat="false" ht="16.5" hidden="false" customHeight="true" outlineLevel="0" collapsed="false">
      <c r="A2" s="19" t="s">
        <v>464</v>
      </c>
      <c r="B2" s="19"/>
      <c r="C2" s="19"/>
      <c r="D2" s="19"/>
      <c r="E2" s="19"/>
      <c r="F2" s="19"/>
      <c r="G2" s="19"/>
      <c r="H2" s="19"/>
    </row>
    <row r="3" customFormat="false" ht="18" hidden="false" customHeight="true" outlineLevel="0" collapsed="false">
      <c r="A3" s="65" t="s">
        <v>465</v>
      </c>
      <c r="B3" s="53" t="s">
        <v>466</v>
      </c>
      <c r="C3" s="53" t="s">
        <v>467</v>
      </c>
      <c r="D3" s="53" t="s">
        <v>468</v>
      </c>
    </row>
    <row r="4" customFormat="false" ht="16.5" hidden="false" customHeight="true" outlineLevel="0" collapsed="false">
      <c r="A4" s="6" t="s">
        <v>469</v>
      </c>
      <c r="B4" s="57" t="n">
        <v>0.1</v>
      </c>
      <c r="C4" s="22" t="n">
        <v>0.16</v>
      </c>
      <c r="D4" s="57" t="n">
        <v>0.22</v>
      </c>
    </row>
    <row r="5" customFormat="false" ht="16.5" hidden="false" customHeight="true" outlineLevel="0" collapsed="false">
      <c r="A5" s="6" t="s">
        <v>470</v>
      </c>
      <c r="B5" s="57" t="n">
        <v>0.22</v>
      </c>
      <c r="C5" s="22" t="n">
        <v>0.27</v>
      </c>
      <c r="D5" s="57" t="n">
        <v>0.32</v>
      </c>
    </row>
    <row r="6" customFormat="false" ht="16.5" hidden="false" customHeight="true" outlineLevel="0" collapsed="false">
      <c r="A6" s="6" t="s">
        <v>471</v>
      </c>
      <c r="B6" s="57" t="n">
        <v>0.135</v>
      </c>
      <c r="C6" s="22" t="n">
        <v>0.115</v>
      </c>
      <c r="D6" s="57" t="n">
        <v>0.095</v>
      </c>
    </row>
    <row r="7" customFormat="false" ht="16.5" hidden="false" customHeight="true" outlineLevel="0" collapsed="false">
      <c r="A7" s="6" t="s">
        <v>472</v>
      </c>
      <c r="B7" s="56" t="n">
        <v>6</v>
      </c>
      <c r="C7" s="29" t="n">
        <v>8</v>
      </c>
      <c r="D7" s="56" t="n">
        <v>10</v>
      </c>
    </row>
    <row r="8" customFormat="false" ht="16.5" hidden="false" customHeight="true" outlineLevel="0" collapsed="false">
      <c r="A8" s="6" t="s">
        <v>473</v>
      </c>
      <c r="B8" s="57" t="n">
        <v>0.025</v>
      </c>
      <c r="C8" s="22" t="n">
        <v>0.035</v>
      </c>
      <c r="D8" s="57" t="n">
        <v>0.045</v>
      </c>
    </row>
    <row r="9" customFormat="false" ht="16.5" hidden="false" customHeight="true" outlineLevel="0" collapsed="false">
      <c r="A9" s="19" t="s">
        <v>474</v>
      </c>
      <c r="B9" s="19"/>
      <c r="C9" s="19"/>
      <c r="D9" s="19"/>
      <c r="E9" s="19"/>
      <c r="F9" s="19"/>
      <c r="G9" s="19"/>
      <c r="H9" s="19"/>
    </row>
    <row r="10" customFormat="false" ht="18" hidden="false" customHeight="true" outlineLevel="0" collapsed="false">
      <c r="A10" s="65" t="s">
        <v>475</v>
      </c>
      <c r="B10" s="53" t="s">
        <v>466</v>
      </c>
      <c r="C10" s="53" t="s">
        <v>467</v>
      </c>
      <c r="D10" s="53" t="s">
        <v>468</v>
      </c>
    </row>
    <row r="11" customFormat="false" ht="16.5" hidden="false" customHeight="true" outlineLevel="0" collapsed="false">
      <c r="A11" s="66" t="s">
        <v>476</v>
      </c>
      <c r="B11" s="35" t="n">
        <f aca="false">'6. DCF'!C29*(1+(2)*0.15)</f>
        <v>7626243.27507821</v>
      </c>
      <c r="C11" s="35" t="n">
        <f aca="false">'6. DCF'!C29*(1+(1)*0.15)</f>
        <v>6746292.1279538</v>
      </c>
      <c r="D11" s="35" t="n">
        <f aca="false">'6. DCF'!C29*(1+(0)*0.15)</f>
        <v>5866340.98082939</v>
      </c>
    </row>
    <row r="12" customFormat="false" ht="16.5" hidden="false" customHeight="true" outlineLevel="0" collapsed="false">
      <c r="A12" s="66" t="s">
        <v>477</v>
      </c>
      <c r="B12" s="35" t="n">
        <f aca="false">'6. DCF'!C32*(1+(2)*0.15)</f>
        <v>7198788.71507821</v>
      </c>
      <c r="C12" s="35" t="n">
        <f aca="false">'6. DCF'!C32*(1+(1)*0.15)</f>
        <v>6368159.2479538</v>
      </c>
      <c r="D12" s="35" t="n">
        <f aca="false">'6. DCF'!C32*(1+(0)*0.15)</f>
        <v>5537529.78082939</v>
      </c>
    </row>
    <row r="13" customFormat="false" ht="16.5" hidden="false" customHeight="true" outlineLevel="0" collapsed="false">
      <c r="A13" s="66" t="s">
        <v>478</v>
      </c>
      <c r="B13" s="52" t="n">
        <f aca="false">'6. DCF'!C35*(1+(2)*0.15)</f>
        <v>71.9878871507821</v>
      </c>
      <c r="C13" s="52" t="n">
        <f aca="false">'6. DCF'!C35*(1+(1)*0.15)</f>
        <v>63.681592479538</v>
      </c>
      <c r="D13" s="52" t="n">
        <f aca="false">'6. DCF'!C35*(1+(0)*0.15)</f>
        <v>55.3752978082939</v>
      </c>
    </row>
    <row r="14" customFormat="false" ht="16.5" hidden="false" customHeight="true" outlineLevel="0" collapsed="false">
      <c r="A14" s="66" t="s">
        <v>479</v>
      </c>
      <c r="B14" s="62" t="n">
        <f aca="false">IF('2. DRE'!K13&lt;&gt;0,('6. DCF'!C29*(1+(2)*0.15))/'2. DRE'!K13,0)</f>
        <v>7.570135562812</v>
      </c>
      <c r="C14" s="62" t="n">
        <f aca="false">IF('2. DRE'!K13&lt;&gt;0,('6. DCF'!C29*(1+(1)*0.15))/'2. DRE'!K13,0)</f>
        <v>6.69665838248754</v>
      </c>
      <c r="D14" s="62" t="n">
        <f aca="false">IF('2. DRE'!K13&lt;&gt;0,('6. DCF'!C29*(1+(0)*0.15))/'2. DRE'!K13,0)</f>
        <v>5.82318120216308</v>
      </c>
    </row>
    <row r="15" customFormat="false" ht="16.5" hidden="false" customHeight="true" outlineLevel="0" collapsed="false">
      <c r="A15" s="66" t="s">
        <v>480</v>
      </c>
      <c r="B15" s="45" t="n">
        <f aca="false">'6. DCF'!C35*(1+(2)*0.15)/'8. OFERTA'!B3-1</f>
        <v>1.87951548603128</v>
      </c>
      <c r="C15" s="45" t="n">
        <f aca="false">'6. DCF'!C35*(1+(1)*0.15)/'8. OFERTA'!B3-1</f>
        <v>1.54726369918152</v>
      </c>
      <c r="D15" s="45" t="n">
        <f aca="false">'6. DCF'!C35*(1+(0)*0.15)/'8. OFERTA'!B3-1</f>
        <v>1.21501191233176</v>
      </c>
    </row>
    <row r="18" customFormat="false" ht="16.5" hidden="false" customHeight="true" outlineLevel="0" collapsed="false">
      <c r="A18" s="19" t="s">
        <v>481</v>
      </c>
      <c r="B18" s="19"/>
      <c r="C18" s="19"/>
      <c r="D18" s="19"/>
      <c r="E18" s="19"/>
      <c r="F18" s="19"/>
      <c r="G18" s="19"/>
      <c r="H18" s="19"/>
    </row>
    <row r="19" customFormat="false" ht="15" hidden="false" customHeight="true" outlineLevel="0" collapsed="false">
      <c r="A19" s="46" t="s">
        <v>482</v>
      </c>
      <c r="B19" s="47" t="n">
        <v>0.025</v>
      </c>
      <c r="C19" s="47" t="n">
        <v>0.03</v>
      </c>
      <c r="D19" s="47" t="n">
        <v>0.035</v>
      </c>
      <c r="E19" s="47" t="n">
        <v>0.04</v>
      </c>
      <c r="F19" s="47" t="n">
        <v>0.045</v>
      </c>
    </row>
    <row r="20" customFormat="false" ht="15" hidden="false" customHeight="true" outlineLevel="0" collapsed="false">
      <c r="A20" s="67" t="n">
        <v>0.095</v>
      </c>
      <c r="B20" s="68" t="n">
        <f aca="false">IF((0.095-0.025)&gt;0,(('6. DCF'!C28+'2. DRE'!K13*'6. DCF'!C22/(1+0.095)^5-'3. BALANÇO'!K28)/'6. DCF'!C34),0)</f>
        <v>65.3915003610396</v>
      </c>
      <c r="C20" s="68" t="n">
        <f aca="false">IF((0.095-0.03)&gt;0,(('6. DCF'!C28+'2. DRE'!K13*'6. DCF'!C22/(1+0.095)^5-'3. BALANÇO'!K28)/'6. DCF'!C34),0)</f>
        <v>65.3915003610396</v>
      </c>
      <c r="D20" s="68" t="n">
        <f aca="false">IF((0.095-0.035)&gt;0,(('6. DCF'!C28+'2. DRE'!K13*'6. DCF'!C22/(1+0.095)^5-'3. BALANÇO'!K28)/'6. DCF'!C34),0)</f>
        <v>65.3915003610396</v>
      </c>
      <c r="E20" s="68" t="n">
        <f aca="false">IF((0.095-0.04)&gt;0,(('6. DCF'!C28+'2. DRE'!K13*'6. DCF'!C22/(1+0.095)^5-'3. BALANÇO'!K28)/'6. DCF'!C34),0)</f>
        <v>65.3915003610396</v>
      </c>
      <c r="F20" s="68" t="n">
        <f aca="false">IF((0.095-0.045)&gt;0,(('6. DCF'!C28+'2. DRE'!K13*'6. DCF'!C22/(1+0.095)^5-'3. BALANÇO'!K28)/'6. DCF'!C34),0)</f>
        <v>65.3915003610396</v>
      </c>
    </row>
    <row r="21" customFormat="false" ht="15" hidden="false" customHeight="true" outlineLevel="0" collapsed="false">
      <c r="A21" s="67" t="n">
        <v>0.105</v>
      </c>
      <c r="B21" s="68" t="n">
        <f aca="false">IF((0.105-0.025)&gt;0,(('6. DCF'!C28+'2. DRE'!K13*'6. DCF'!C22/(1+0.105)^5-'3. BALANÇO'!K28)/'6. DCF'!C34),0)</f>
        <v>63.1165407538293</v>
      </c>
      <c r="C21" s="68" t="n">
        <f aca="false">IF((0.105-0.03)&gt;0,(('6. DCF'!C28+'2. DRE'!K13*'6. DCF'!C22/(1+0.105)^5-'3. BALANÇO'!K28)/'6. DCF'!C34),0)</f>
        <v>63.1165407538293</v>
      </c>
      <c r="D21" s="68" t="n">
        <f aca="false">IF((0.105-0.035)&gt;0,(('6. DCF'!C28+'2. DRE'!K13*'6. DCF'!C22/(1+0.105)^5-'3. BALANÇO'!K28)/'6. DCF'!C34),0)</f>
        <v>63.1165407538293</v>
      </c>
      <c r="E21" s="68" t="n">
        <f aca="false">IF((0.105-0.04)&gt;0,(('6. DCF'!C28+'2. DRE'!K13*'6. DCF'!C22/(1+0.105)^5-'3. BALANÇO'!K28)/'6. DCF'!C34),0)</f>
        <v>63.1165407538293</v>
      </c>
      <c r="F21" s="68" t="n">
        <f aca="false">IF((0.105-0.045)&gt;0,(('6. DCF'!C28+'2. DRE'!K13*'6. DCF'!C22/(1+0.105)^5-'3. BALANÇO'!K28)/'6. DCF'!C34),0)</f>
        <v>63.1165407538293</v>
      </c>
    </row>
    <row r="22" customFormat="false" ht="15" hidden="false" customHeight="true" outlineLevel="0" collapsed="false">
      <c r="A22" s="67" t="n">
        <v>0.115</v>
      </c>
      <c r="B22" s="68" t="n">
        <f aca="false">IF((0.115-0.025)&gt;0,(('6. DCF'!C28+'2. DRE'!K13*'6. DCF'!C22/(1+0.115)^5-'3. BALANÇO'!K28)/'6. DCF'!C34),0)</f>
        <v>60.9618209582049</v>
      </c>
      <c r="C22" s="68" t="n">
        <f aca="false">IF((0.115-0.03)&gt;0,(('6. DCF'!C28+'2. DRE'!K13*'6. DCF'!C22/(1+0.115)^5-'3. BALANÇO'!K28)/'6. DCF'!C34),0)</f>
        <v>60.9618209582049</v>
      </c>
      <c r="D22" s="68" t="n">
        <f aca="false">IF((0.115-0.035)&gt;0,(('6. DCF'!C28+'2. DRE'!K13*'6. DCF'!C22/(1+0.115)^5-'3. BALANÇO'!K28)/'6. DCF'!C34),0)</f>
        <v>60.9618209582049</v>
      </c>
      <c r="E22" s="68" t="n">
        <f aca="false">IF((0.115-0.04)&gt;0,(('6. DCF'!C28+'2. DRE'!K13*'6. DCF'!C22/(1+0.115)^5-'3. BALANÇO'!K28)/'6. DCF'!C34),0)</f>
        <v>60.9618209582049</v>
      </c>
      <c r="F22" s="68" t="n">
        <f aca="false">IF((0.115-0.045)&gt;0,(('6. DCF'!C28+'2. DRE'!K13*'6. DCF'!C22/(1+0.115)^5-'3. BALANÇO'!K28)/'6. DCF'!C34),0)</f>
        <v>60.9618209582049</v>
      </c>
    </row>
    <row r="23" customFormat="false" ht="15" hidden="false" customHeight="true" outlineLevel="0" collapsed="false">
      <c r="A23" s="67" t="n">
        <v>0.125</v>
      </c>
      <c r="B23" s="68" t="n">
        <f aca="false">IF((0.125-0.025)&gt;0,(('6. DCF'!C28+'2. DRE'!K13*'6. DCF'!C22/(1+0.125)^5-'3. BALANÇO'!K28)/'6. DCF'!C34),0)</f>
        <v>58.9199916107683</v>
      </c>
      <c r="C23" s="68" t="n">
        <f aca="false">IF((0.125-0.03)&gt;0,(('6. DCF'!C28+'2. DRE'!K13*'6. DCF'!C22/(1+0.125)^5-'3. BALANÇO'!K28)/'6. DCF'!C34),0)</f>
        <v>58.9199916107683</v>
      </c>
      <c r="D23" s="68" t="n">
        <f aca="false">IF((0.125-0.035)&gt;0,(('6. DCF'!C28+'2. DRE'!K13*'6. DCF'!C22/(1+0.125)^5-'3. BALANÇO'!K28)/'6. DCF'!C34),0)</f>
        <v>58.9199916107683</v>
      </c>
      <c r="E23" s="68" t="n">
        <f aca="false">IF((0.125-0.04)&gt;0,(('6. DCF'!C28+'2. DRE'!K13*'6. DCF'!C22/(1+0.125)^5-'3. BALANÇO'!K28)/'6. DCF'!C34),0)</f>
        <v>58.9199916107683</v>
      </c>
      <c r="F23" s="68" t="n">
        <f aca="false">IF((0.125-0.045)&gt;0,(('6. DCF'!C28+'2. DRE'!K13*'6. DCF'!C22/(1+0.125)^5-'3. BALANÇO'!K28)/'6. DCF'!C34),0)</f>
        <v>58.9199916107683</v>
      </c>
    </row>
    <row r="24" customFormat="false" ht="15" hidden="false" customHeight="true" outlineLevel="0" collapsed="false">
      <c r="A24" s="67" t="n">
        <v>0.135</v>
      </c>
      <c r="B24" s="68" t="n">
        <f aca="false">IF((0.135-0.025)&gt;0,(('6. DCF'!C28+'2. DRE'!K13*'6. DCF'!C22/(1+0.135)^5-'3. BALANÇO'!K28)/'6. DCF'!C34),0)</f>
        <v>56.9842122763675</v>
      </c>
      <c r="C24" s="68" t="n">
        <f aca="false">IF((0.135-0.03)&gt;0,(('6. DCF'!C28+'2. DRE'!K13*'6. DCF'!C22/(1+0.135)^5-'3. BALANÇO'!K28)/'6. DCF'!C34),0)</f>
        <v>56.9842122763675</v>
      </c>
      <c r="D24" s="68" t="n">
        <f aca="false">IF((0.135-0.035)&gt;0,(('6. DCF'!C28+'2. DRE'!K13*'6. DCF'!C22/(1+0.135)^5-'3. BALANÇO'!K28)/'6. DCF'!C34),0)</f>
        <v>56.9842122763675</v>
      </c>
      <c r="E24" s="68" t="n">
        <f aca="false">IF((0.135-0.04)&gt;0,(('6. DCF'!C28+'2. DRE'!K13*'6. DCF'!C22/(1+0.135)^5-'3. BALANÇO'!K28)/'6. DCF'!C34),0)</f>
        <v>56.9842122763675</v>
      </c>
      <c r="F24" s="68" t="n">
        <f aca="false">IF((0.135-0.045)&gt;0,(('6. DCF'!C28+'2. DRE'!K13*'6. DCF'!C22/(1+0.135)^5-'3. BALANÇO'!K28)/'6. DCF'!C34),0)</f>
        <v>56.9842122763675</v>
      </c>
    </row>
    <row r="25" customFormat="false" ht="15" hidden="false" customHeight="true" outlineLevel="0" collapsed="false">
      <c r="A25" s="67" t="n">
        <v>0.145</v>
      </c>
      <c r="B25" s="68" t="n">
        <f aca="false">IF((0.145-0.025)&gt;0,(('6. DCF'!C28+'2. DRE'!K13*'6. DCF'!C22/(1+0.145)^5-'3. BALANÇO'!K28)/'6. DCF'!C34),0)</f>
        <v>55.1481121417943</v>
      </c>
      <c r="C25" s="68" t="n">
        <f aca="false">IF((0.145-0.03)&gt;0,(('6. DCF'!C28+'2. DRE'!K13*'6. DCF'!C22/(1+0.145)^5-'3. BALANÇO'!K28)/'6. DCF'!C34),0)</f>
        <v>55.1481121417943</v>
      </c>
      <c r="D25" s="68" t="n">
        <f aca="false">IF((0.145-0.035)&gt;0,(('6. DCF'!C28+'2. DRE'!K13*'6. DCF'!C22/(1+0.145)^5-'3. BALANÇO'!K28)/'6. DCF'!C34),0)</f>
        <v>55.1481121417943</v>
      </c>
      <c r="E25" s="68" t="n">
        <f aca="false">IF((0.145-0.04)&gt;0,(('6. DCF'!C28+'2. DRE'!K13*'6. DCF'!C22/(1+0.145)^5-'3. BALANÇO'!K28)/'6. DCF'!C34),0)</f>
        <v>55.1481121417943</v>
      </c>
      <c r="F25" s="68" t="n">
        <f aca="false">IF((0.145-0.045)&gt;0,(('6. DCF'!C28+'2. DRE'!K13*'6. DCF'!C22/(1+0.145)^5-'3. BALANÇO'!K28)/'6. DCF'!C34),0)</f>
        <v>55.1481121417943</v>
      </c>
    </row>
  </sheetData>
  <mergeCells count="4">
    <mergeCell ref="A1:H1"/>
    <mergeCell ref="A2:H2"/>
    <mergeCell ref="A9:H9"/>
    <mergeCell ref="A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2026-03-21T15:17:14Z</dcterms:created>
  <dc:creator>openpyxl</dc:creator>
  <dc:description/>
  <dc:language>en-US</dc:language>
  <cp:lastModifiedBy/>
  <dcterms:modified xsi:type="dcterms:W3CDTF">2026-03-21T15:20:44Z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