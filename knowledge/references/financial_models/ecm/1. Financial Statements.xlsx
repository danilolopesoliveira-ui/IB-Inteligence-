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usanHawkins/Dropbox/SHP Financial Training/10. Training programs/3. Valuation/Bus Val &amp; Fin Modelling/2017/1st semester/BV May 2017/To send to students/"/>
    </mc:Choice>
  </mc:AlternateContent>
  <bookViews>
    <workbookView xWindow="0" yWindow="460" windowWidth="25600" windowHeight="12960" activeTab="3"/>
  </bookViews>
  <sheets>
    <sheet name="Income Statement" sheetId="1" r:id="rId1"/>
    <sheet name="Bar-BALANCE SHEET" sheetId="2" r:id="rId2"/>
    <sheet name="How published" sheetId="3" r:id="rId3"/>
    <sheet name="CASH FLOW" sheetId="4" r:id="rId4"/>
  </sheets>
  <definedNames>
    <definedName name="_xlnm.Print_Area" localSheetId="1">'Bar-BALANCE SHEET'!$A$1:$G$49</definedName>
    <definedName name="_xlnm.Print_Area" localSheetId="3">'CASH FLOW'!$C$1:$G$57</definedName>
    <definedName name="_xlnm.Print_Area" localSheetId="2">'How published'!$B$1:$L$34</definedName>
    <definedName name="_xlnm.Print_Area" localSheetId="0">'Income Statement'!$A$1:$G$43</definedName>
  </definedNames>
  <calcPr calcId="140001" iterate="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<sst xmlns="http://schemas.openxmlformats.org/spreadsheetml/2006/main" count="147" uniqueCount="98">
  <si>
    <t>INCOME STATEMENT</t>
  </si>
  <si>
    <t>Gross profit</t>
  </si>
  <si>
    <t>Gross margin</t>
  </si>
  <si>
    <t>EBITDA</t>
  </si>
  <si>
    <t>EBITDA margin</t>
  </si>
  <si>
    <t>EBIT</t>
  </si>
  <si>
    <t>EBIT margin</t>
  </si>
  <si>
    <t>EBT</t>
  </si>
  <si>
    <t>EBT margin</t>
  </si>
  <si>
    <t>Net income</t>
  </si>
  <si>
    <t>Net margin</t>
  </si>
  <si>
    <t>Net to retained earnings</t>
  </si>
  <si>
    <t>First Corporation</t>
  </si>
  <si>
    <t>Revenues</t>
  </si>
  <si>
    <t>COGS</t>
  </si>
  <si>
    <t>SGA</t>
  </si>
  <si>
    <t>Operating expenses</t>
  </si>
  <si>
    <t>Depreciation</t>
  </si>
  <si>
    <t>Amortization of intangibles</t>
  </si>
  <si>
    <t>Non-oper expenses</t>
  </si>
  <si>
    <t>Gain (loss) on asset sales</t>
  </si>
  <si>
    <t>Interest income</t>
  </si>
  <si>
    <t>Interest expense</t>
  </si>
  <si>
    <t>Provision for taxes</t>
  </si>
  <si>
    <t>Equity earnings in affiliates</t>
  </si>
  <si>
    <t>Minority interest in earnings</t>
  </si>
  <si>
    <t>Extraordinary expense</t>
  </si>
  <si>
    <t>Preferred dividends</t>
  </si>
  <si>
    <t>Net income available to common</t>
  </si>
  <si>
    <t>Common dividends</t>
  </si>
  <si>
    <t>BALANCE SHEET</t>
  </si>
  <si>
    <t>ASSETS</t>
  </si>
  <si>
    <t>Excess cash</t>
  </si>
  <si>
    <t>Operating cash</t>
  </si>
  <si>
    <t>ST investments</t>
  </si>
  <si>
    <t>Account receivable</t>
  </si>
  <si>
    <t>Inventory</t>
  </si>
  <si>
    <t>Other current assets</t>
  </si>
  <si>
    <t>Current assets</t>
  </si>
  <si>
    <t>Net PPE</t>
  </si>
  <si>
    <t>Investment in affiliates</t>
  </si>
  <si>
    <t>Intangibles</t>
  </si>
  <si>
    <t>Long-term assets</t>
  </si>
  <si>
    <t>Total assets</t>
  </si>
  <si>
    <t>LIABILITIES</t>
  </si>
  <si>
    <t>Revolver</t>
  </si>
  <si>
    <t>Short-term notes</t>
  </si>
  <si>
    <t>Accounts payable</t>
  </si>
  <si>
    <t>Other current liabilities</t>
  </si>
  <si>
    <t>Current liabilities</t>
  </si>
  <si>
    <t>Debt A</t>
  </si>
  <si>
    <t>Debt B</t>
  </si>
  <si>
    <t>Debt C</t>
  </si>
  <si>
    <t>Long-term liabilities</t>
  </si>
  <si>
    <t>Total liabilities</t>
  </si>
  <si>
    <t>MINORITY INTEREST</t>
  </si>
  <si>
    <t>Minority interest</t>
  </si>
  <si>
    <t>SHAREHOLDERS' EQUITY</t>
  </si>
  <si>
    <t>Preferred stock</t>
  </si>
  <si>
    <t>Common stock</t>
  </si>
  <si>
    <t>Retained earnings</t>
  </si>
  <si>
    <t>Other equity account</t>
  </si>
  <si>
    <t>Shareholders' equity</t>
  </si>
  <si>
    <t>Total liabs, min int and SH equity</t>
  </si>
  <si>
    <t>Balance check</t>
  </si>
  <si>
    <t>OK</t>
  </si>
  <si>
    <t>CASH FLOW</t>
  </si>
  <si>
    <t>Add back:</t>
  </si>
  <si>
    <t>(Gain) loss on asset sales</t>
  </si>
  <si>
    <t>Operating cash flow</t>
  </si>
  <si>
    <t>(Incr) decr in Operating cash</t>
  </si>
  <si>
    <t>(Incr) decr in Account receivable</t>
  </si>
  <si>
    <t>(Incr) decr in Inventory</t>
  </si>
  <si>
    <t>(Incr) decr in Other current assets</t>
  </si>
  <si>
    <t>Incr (decr) in Accounts payable</t>
  </si>
  <si>
    <t>Incr (decr) in Other current liabilities</t>
  </si>
  <si>
    <t>(Inc) in Operating working capital</t>
  </si>
  <si>
    <t>(Incr) decr in Long-term assets</t>
  </si>
  <si>
    <t>Incr (decr) in Long-term liabilities</t>
  </si>
  <si>
    <t>Cash from operations</t>
  </si>
  <si>
    <t>Capex</t>
  </si>
  <si>
    <t>Proceeds from sale of assets</t>
  </si>
  <si>
    <t>Other (incr) decr in Net PPE</t>
  </si>
  <si>
    <t>(Incr) decr in ST investments</t>
  </si>
  <si>
    <t>Other (incr) decr in Investment in affiliates</t>
  </si>
  <si>
    <t>Other (incr) decr in Intangibles</t>
  </si>
  <si>
    <t>Cash from investments</t>
  </si>
  <si>
    <t>Incr (decr) in Short-term notes</t>
  </si>
  <si>
    <t>Incr (decr) in Debt A</t>
  </si>
  <si>
    <t>Incr (decr) in Debt B</t>
  </si>
  <si>
    <t>Incr (decr) in Debt C</t>
  </si>
  <si>
    <t>Other incr (decr) in Minority interest</t>
  </si>
  <si>
    <t>Incr (decr) in Preferred stock</t>
  </si>
  <si>
    <t>Incr (decr) in Common stock</t>
  </si>
  <si>
    <t>Other incr (decr) in Retained earnings</t>
  </si>
  <si>
    <t>(Incr) decr in Other equity account</t>
  </si>
  <si>
    <t>Cash from financing</t>
  </si>
  <si>
    <t>Total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</si>
</sst>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.00_-;\-* #,##0.00_-;_-* &quot;-&quot;??_-;_-@_-"/>
    <numFmt numFmtId="165" formatCode="[$-409]mmm\-yy;@"/>
    <numFmt numFmtId="166" formatCode="_-* #,##0.0_-;\-* #,##0.0_-;_-* &quot;-&quot;??_-;_-@_-"/>
  </numFmts>
  <fonts count="8" x14ac:knownFonts="1">
    <font>
      <sz val="10"/>
      <color indexed="8"/>
      <name val="Book Antiqua"/>
      <family val="2"/>
    </font>
    <font>
      <sz val="10"/>
      <color indexed="8"/>
      <name val="Book Antiqua"/>
      <family val="2"/>
    </font>
    <font>
      <b/>
      <sz val="16"/>
      <name val="Calibri"/>
      <family val="2"/>
    </font>
    <font>
      <b/>
      <sz val="12"/>
      <name val="Calibri"/>
      <family val="2"/>
    </font>
    <font>
      <sz val="8"/>
      <name val="Verdana"/>
    </font>
    <font>
      <i/>
      <sz val="10"/>
      <color rgb="FFFF0000"/>
      <name val="Book Antiqua"/>
      <family val="2"/>
    </font>
    <font>
      <b/>
      <i/>
      <sz val="12"/>
      <color rgb="FFFF0000"/>
      <name val="Calibri"/>
      <family val="2"/>
    </font>
    <font>
      <sz val="8"/>
      <name val="Book Antiqu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2" xfId="0" applyBorder="1"/>
    <xf numFmtId="0" fontId="3" fillId="0" borderId="2" xfId="0" applyFont="1" applyBorder="1"/>
    <xf numFmtId="165" fontId="3" fillId="0" borderId="2" xfId="0" applyNumberFormat="1" applyFont="1" applyBorder="1"/>
    <xf numFmtId="43" fontId="0" fillId="0" borderId="2" xfId="1" applyFont="1" applyBorder="1"/>
    <xf numFmtId="43" fontId="3" fillId="0" borderId="2" xfId="1" applyFont="1" applyBorder="1"/>
    <xf numFmtId="0" fontId="3" fillId="0" borderId="10" xfId="0" applyFont="1" applyBorder="1"/>
    <xf numFmtId="0" fontId="0" fillId="0" borderId="10" xfId="0" applyBorder="1"/>
    <xf numFmtId="9" fontId="0" fillId="0" borderId="10" xfId="2" applyFont="1" applyBorder="1"/>
    <xf numFmtId="165" fontId="3" fillId="0" borderId="11" xfId="0" applyNumberFormat="1" applyFont="1" applyBorder="1"/>
    <xf numFmtId="0" fontId="0" fillId="0" borderId="11" xfId="0" applyBorder="1"/>
    <xf numFmtId="43" fontId="0" fillId="0" borderId="11" xfId="1" applyFont="1" applyBorder="1"/>
    <xf numFmtId="43" fontId="3" fillId="0" borderId="11" xfId="1" applyFont="1" applyBorder="1"/>
    <xf numFmtId="166" fontId="0" fillId="0" borderId="2" xfId="1" applyNumberFormat="1" applyFont="1" applyBorder="1"/>
    <xf numFmtId="166" fontId="3" fillId="0" borderId="2" xfId="1" applyNumberFormat="1" applyFont="1" applyBorder="1"/>
    <xf numFmtId="0" fontId="5" fillId="0" borderId="2" xfId="0" applyFont="1" applyBorder="1"/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right"/>
    </xf>
    <xf numFmtId="164" fontId="0" fillId="0" borderId="2" xfId="1" applyNumberFormat="1" applyFont="1" applyBorder="1"/>
    <xf numFmtId="0" fontId="0" fillId="0" borderId="2" xfId="0" applyBorder="1" applyAlignment="1">
      <alignment horizontal="left" indent="1"/>
    </xf>
    <xf numFmtId="164" fontId="3" fillId="0" borderId="2" xfId="1" applyNumberFormat="1" applyFont="1" applyBorder="1"/>
    <xf numFmtId="0" fontId="2" fillId="0" borderId="0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b/>
        <i val="0"/>
        <condense val="0"/>
        <extend val="0"/>
        <color indexed="10"/>
      </font>
    </dxf>
  </dxfs>
  <tableStyles count="0" defaultTableStyle="TableStyleMedium2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C1:F41"/>
  <sheetViews>
    <sheetView topLeftCell="A28" workbookViewId="0">
      <selection activeCell="G43" sqref="A1:G43"/>
    </sheetView>
  </sheetViews>
  <sheetFormatPr baseColWidth="10" defaultColWidth="12.19921875" defaultRowHeight="14" x14ac:dyDescent="0.2"/>
  <cols>
    <col min="1" max="2" width="3" customWidth="1"/>
    <col min="3" max="3" width="30.796875" customWidth="1"/>
    <col min="244" max="245" width="3" customWidth="1"/>
    <col min="246" max="246" width="22.19921875" customWidth="1"/>
    <col min="247" max="248" width="5.3984375" customWidth="1"/>
    <col min="500" max="501" width="3" customWidth="1"/>
    <col min="502" max="502" width="22.19921875" customWidth="1"/>
    <col min="503" max="504" width="5.3984375" customWidth="1"/>
    <col min="756" max="757" width="3" customWidth="1"/>
    <col min="758" max="758" width="22.19921875" customWidth="1"/>
    <col min="759" max="760" width="5.3984375" customWidth="1"/>
    <col min="1012" max="1013" width="3" customWidth="1"/>
    <col min="1014" max="1014" width="22.19921875" customWidth="1"/>
    <col min="1015" max="1016" width="5.3984375" customWidth="1"/>
    <col min="1268" max="1269" width="3" customWidth="1"/>
    <col min="1270" max="1270" width="22.19921875" customWidth="1"/>
    <col min="1271" max="1272" width="5.3984375" customWidth="1"/>
    <col min="1524" max="1525" width="3" customWidth="1"/>
    <col min="1526" max="1526" width="22.19921875" customWidth="1"/>
    <col min="1527" max="1528" width="5.3984375" customWidth="1"/>
    <col min="1780" max="1781" width="3" customWidth="1"/>
    <col min="1782" max="1782" width="22.19921875" customWidth="1"/>
    <col min="1783" max="1784" width="5.3984375" customWidth="1"/>
    <col min="2036" max="2037" width="3" customWidth="1"/>
    <col min="2038" max="2038" width="22.19921875" customWidth="1"/>
    <col min="2039" max="2040" width="5.3984375" customWidth="1"/>
    <col min="2292" max="2293" width="3" customWidth="1"/>
    <col min="2294" max="2294" width="22.19921875" customWidth="1"/>
    <col min="2295" max="2296" width="5.3984375" customWidth="1"/>
    <col min="2548" max="2549" width="3" customWidth="1"/>
    <col min="2550" max="2550" width="22.19921875" customWidth="1"/>
    <col min="2551" max="2552" width="5.3984375" customWidth="1"/>
    <col min="2804" max="2805" width="3" customWidth="1"/>
    <col min="2806" max="2806" width="22.19921875" customWidth="1"/>
    <col min="2807" max="2808" width="5.3984375" customWidth="1"/>
    <col min="3060" max="3061" width="3" customWidth="1"/>
    <col min="3062" max="3062" width="22.19921875" customWidth="1"/>
    <col min="3063" max="3064" width="5.3984375" customWidth="1"/>
    <col min="3316" max="3317" width="3" customWidth="1"/>
    <col min="3318" max="3318" width="22.19921875" customWidth="1"/>
    <col min="3319" max="3320" width="5.3984375" customWidth="1"/>
    <col min="3572" max="3573" width="3" customWidth="1"/>
    <col min="3574" max="3574" width="22.19921875" customWidth="1"/>
    <col min="3575" max="3576" width="5.3984375" customWidth="1"/>
    <col min="3828" max="3829" width="3" customWidth="1"/>
    <col min="3830" max="3830" width="22.19921875" customWidth="1"/>
    <col min="3831" max="3832" width="5.3984375" customWidth="1"/>
    <col min="4084" max="4085" width="3" customWidth="1"/>
    <col min="4086" max="4086" width="22.19921875" customWidth="1"/>
    <col min="4087" max="4088" width="5.3984375" customWidth="1"/>
    <col min="4340" max="4341" width="3" customWidth="1"/>
    <col min="4342" max="4342" width="22.19921875" customWidth="1"/>
    <col min="4343" max="4344" width="5.3984375" customWidth="1"/>
    <col min="4596" max="4597" width="3" customWidth="1"/>
    <col min="4598" max="4598" width="22.19921875" customWidth="1"/>
    <col min="4599" max="4600" width="5.3984375" customWidth="1"/>
    <col min="4852" max="4853" width="3" customWidth="1"/>
    <col min="4854" max="4854" width="22.19921875" customWidth="1"/>
    <col min="4855" max="4856" width="5.3984375" customWidth="1"/>
    <col min="5108" max="5109" width="3" customWidth="1"/>
    <col min="5110" max="5110" width="22.19921875" customWidth="1"/>
    <col min="5111" max="5112" width="5.3984375" customWidth="1"/>
    <col min="5364" max="5365" width="3" customWidth="1"/>
    <col min="5366" max="5366" width="22.19921875" customWidth="1"/>
    <col min="5367" max="5368" width="5.3984375" customWidth="1"/>
    <col min="5620" max="5621" width="3" customWidth="1"/>
    <col min="5622" max="5622" width="22.19921875" customWidth="1"/>
    <col min="5623" max="5624" width="5.3984375" customWidth="1"/>
    <col min="5876" max="5877" width="3" customWidth="1"/>
    <col min="5878" max="5878" width="22.19921875" customWidth="1"/>
    <col min="5879" max="5880" width="5.3984375" customWidth="1"/>
    <col min="6132" max="6133" width="3" customWidth="1"/>
    <col min="6134" max="6134" width="22.19921875" customWidth="1"/>
    <col min="6135" max="6136" width="5.3984375" customWidth="1"/>
    <col min="6388" max="6389" width="3" customWidth="1"/>
    <col min="6390" max="6390" width="22.19921875" customWidth="1"/>
    <col min="6391" max="6392" width="5.3984375" customWidth="1"/>
    <col min="6644" max="6645" width="3" customWidth="1"/>
    <col min="6646" max="6646" width="22.19921875" customWidth="1"/>
    <col min="6647" max="6648" width="5.3984375" customWidth="1"/>
    <col min="6900" max="6901" width="3" customWidth="1"/>
    <col min="6902" max="6902" width="22.19921875" customWidth="1"/>
    <col min="6903" max="6904" width="5.3984375" customWidth="1"/>
    <col min="7156" max="7157" width="3" customWidth="1"/>
    <col min="7158" max="7158" width="22.19921875" customWidth="1"/>
    <col min="7159" max="7160" width="5.3984375" customWidth="1"/>
    <col min="7412" max="7413" width="3" customWidth="1"/>
    <col min="7414" max="7414" width="22.19921875" customWidth="1"/>
    <col min="7415" max="7416" width="5.3984375" customWidth="1"/>
    <col min="7668" max="7669" width="3" customWidth="1"/>
    <col min="7670" max="7670" width="22.19921875" customWidth="1"/>
    <col min="7671" max="7672" width="5.3984375" customWidth="1"/>
    <col min="7924" max="7925" width="3" customWidth="1"/>
    <col min="7926" max="7926" width="22.19921875" customWidth="1"/>
    <col min="7927" max="7928" width="5.3984375" customWidth="1"/>
    <col min="8180" max="8181" width="3" customWidth="1"/>
    <col min="8182" max="8182" width="22.19921875" customWidth="1"/>
    <col min="8183" max="8184" width="5.3984375" customWidth="1"/>
    <col min="8436" max="8437" width="3" customWidth="1"/>
    <col min="8438" max="8438" width="22.19921875" customWidth="1"/>
    <col min="8439" max="8440" width="5.3984375" customWidth="1"/>
    <col min="8692" max="8693" width="3" customWidth="1"/>
    <col min="8694" max="8694" width="22.19921875" customWidth="1"/>
    <col min="8695" max="8696" width="5.3984375" customWidth="1"/>
    <col min="8948" max="8949" width="3" customWidth="1"/>
    <col min="8950" max="8950" width="22.19921875" customWidth="1"/>
    <col min="8951" max="8952" width="5.3984375" customWidth="1"/>
    <col min="9204" max="9205" width="3" customWidth="1"/>
    <col min="9206" max="9206" width="22.19921875" customWidth="1"/>
    <col min="9207" max="9208" width="5.3984375" customWidth="1"/>
    <col min="9460" max="9461" width="3" customWidth="1"/>
    <col min="9462" max="9462" width="22.19921875" customWidth="1"/>
    <col min="9463" max="9464" width="5.3984375" customWidth="1"/>
    <col min="9716" max="9717" width="3" customWidth="1"/>
    <col min="9718" max="9718" width="22.19921875" customWidth="1"/>
    <col min="9719" max="9720" width="5.3984375" customWidth="1"/>
    <col min="9972" max="9973" width="3" customWidth="1"/>
    <col min="9974" max="9974" width="22.19921875" customWidth="1"/>
    <col min="9975" max="9976" width="5.3984375" customWidth="1"/>
    <col min="10228" max="10229" width="3" customWidth="1"/>
    <col min="10230" max="10230" width="22.19921875" customWidth="1"/>
    <col min="10231" max="10232" width="5.3984375" customWidth="1"/>
    <col min="10484" max="10485" width="3" customWidth="1"/>
    <col min="10486" max="10486" width="22.19921875" customWidth="1"/>
    <col min="10487" max="10488" width="5.3984375" customWidth="1"/>
    <col min="10740" max="10741" width="3" customWidth="1"/>
    <col min="10742" max="10742" width="22.19921875" customWidth="1"/>
    <col min="10743" max="10744" width="5.3984375" customWidth="1"/>
    <col min="10996" max="10997" width="3" customWidth="1"/>
    <col min="10998" max="10998" width="22.19921875" customWidth="1"/>
    <col min="10999" max="11000" width="5.3984375" customWidth="1"/>
    <col min="11252" max="11253" width="3" customWidth="1"/>
    <col min="11254" max="11254" width="22.19921875" customWidth="1"/>
    <col min="11255" max="11256" width="5.3984375" customWidth="1"/>
    <col min="11508" max="11509" width="3" customWidth="1"/>
    <col min="11510" max="11510" width="22.19921875" customWidth="1"/>
    <col min="11511" max="11512" width="5.3984375" customWidth="1"/>
    <col min="11764" max="11765" width="3" customWidth="1"/>
    <col min="11766" max="11766" width="22.19921875" customWidth="1"/>
    <col min="11767" max="11768" width="5.3984375" customWidth="1"/>
    <col min="12020" max="12021" width="3" customWidth="1"/>
    <col min="12022" max="12022" width="22.19921875" customWidth="1"/>
    <col min="12023" max="12024" width="5.3984375" customWidth="1"/>
    <col min="12276" max="12277" width="3" customWidth="1"/>
    <col min="12278" max="12278" width="22.19921875" customWidth="1"/>
    <col min="12279" max="12280" width="5.3984375" customWidth="1"/>
    <col min="12532" max="12533" width="3" customWidth="1"/>
    <col min="12534" max="12534" width="22.19921875" customWidth="1"/>
    <col min="12535" max="12536" width="5.3984375" customWidth="1"/>
    <col min="12788" max="12789" width="3" customWidth="1"/>
    <col min="12790" max="12790" width="22.19921875" customWidth="1"/>
    <col min="12791" max="12792" width="5.3984375" customWidth="1"/>
    <col min="13044" max="13045" width="3" customWidth="1"/>
    <col min="13046" max="13046" width="22.19921875" customWidth="1"/>
    <col min="13047" max="13048" width="5.3984375" customWidth="1"/>
    <col min="13300" max="13301" width="3" customWidth="1"/>
    <col min="13302" max="13302" width="22.19921875" customWidth="1"/>
    <col min="13303" max="13304" width="5.3984375" customWidth="1"/>
    <col min="13556" max="13557" width="3" customWidth="1"/>
    <col min="13558" max="13558" width="22.19921875" customWidth="1"/>
    <col min="13559" max="13560" width="5.3984375" customWidth="1"/>
    <col min="13812" max="13813" width="3" customWidth="1"/>
    <col min="13814" max="13814" width="22.19921875" customWidth="1"/>
    <col min="13815" max="13816" width="5.3984375" customWidth="1"/>
    <col min="14068" max="14069" width="3" customWidth="1"/>
    <col min="14070" max="14070" width="22.19921875" customWidth="1"/>
    <col min="14071" max="14072" width="5.3984375" customWidth="1"/>
    <col min="14324" max="14325" width="3" customWidth="1"/>
    <col min="14326" max="14326" width="22.19921875" customWidth="1"/>
    <col min="14327" max="14328" width="5.3984375" customWidth="1"/>
    <col min="14580" max="14581" width="3" customWidth="1"/>
    <col min="14582" max="14582" width="22.19921875" customWidth="1"/>
    <col min="14583" max="14584" width="5.3984375" customWidth="1"/>
    <col min="14836" max="14837" width="3" customWidth="1"/>
    <col min="14838" max="14838" width="22.19921875" customWidth="1"/>
    <col min="14839" max="14840" width="5.3984375" customWidth="1"/>
    <col min="15092" max="15093" width="3" customWidth="1"/>
    <col min="15094" max="15094" width="22.19921875" customWidth="1"/>
    <col min="15095" max="15096" width="5.3984375" customWidth="1"/>
    <col min="15348" max="15349" width="3" customWidth="1"/>
    <col min="15350" max="15350" width="22.19921875" customWidth="1"/>
    <col min="15351" max="15352" width="5.3984375" customWidth="1"/>
    <col min="15604" max="15605" width="3" customWidth="1"/>
    <col min="15606" max="15606" width="22.19921875" customWidth="1"/>
    <col min="15607" max="15608" width="5.3984375" customWidth="1"/>
    <col min="15860" max="15861" width="3" customWidth="1"/>
    <col min="15862" max="15862" width="22.19921875" customWidth="1"/>
    <col min="15863" max="15864" width="5.3984375" customWidth="1"/>
    <col min="16116" max="16117" width="3" customWidth="1"/>
    <col min="16118" max="16118" width="22.19921875" customWidth="1"/>
    <col min="16119" max="16120" width="5.3984375" customWidth="1"/>
  </cols>
  <sheetData>
    <row r="1" spans="3:6" ht="21" customHeight="1" x14ac:dyDescent="0.2">
      <c r="C1" s="22" t="s">
        <v>12</v>
      </c>
      <c r="D1" s="23"/>
      <c r="E1" s="23"/>
      <c r="F1" s="24"/>
    </row>
    <row r="2" spans="3:6" x14ac:dyDescent="0.2">
      <c r="C2" s="25"/>
      <c r="D2" s="26"/>
      <c r="E2" s="26"/>
      <c r="F2" s="27"/>
    </row>
    <row r="3" spans="3:6" x14ac:dyDescent="0.2">
      <c r="C3" s="25"/>
      <c r="D3" s="26"/>
      <c r="E3" s="26"/>
      <c r="F3" s="27"/>
    </row>
    <row r="4" spans="3:6" x14ac:dyDescent="0.2">
      <c r="C4" s="25"/>
      <c r="D4" s="26"/>
      <c r="E4" s="26"/>
      <c r="F4" s="27"/>
    </row>
    <row r="5" spans="3:6" x14ac:dyDescent="0.2">
      <c r="C5" s="28"/>
      <c r="D5" s="29"/>
      <c r="E5" s="29"/>
      <c r="F5" s="30"/>
    </row>
    <row r="6" spans="3:6" ht="16" x14ac:dyDescent="0.2">
      <c r="C6" s="6" t="s">
        <v>0</v>
      </c>
      <c r="D6" s="9">
        <v>39813</v>
      </c>
      <c r="E6" s="3">
        <v>40178</v>
      </c>
      <c r="F6" s="3">
        <v>40543</v>
      </c>
    </row>
    <row r="7" spans="3:6" ht="13.5" customHeight="1" x14ac:dyDescent="0.2">
      <c r="C7" s="7"/>
      <c r="D7" s="10"/>
      <c r="E7" s="1"/>
      <c r="F7" s="1"/>
    </row>
    <row r="8" spans="3:6" ht="13.5" customHeight="1" x14ac:dyDescent="0.2">
      <c r="C8" s="7" t="s">
        <v>13</v>
      </c>
      <c r="D8" s="11">
        <v>1100</v>
      </c>
      <c r="E8" s="4">
        <v>1210</v>
      </c>
      <c r="F8" s="4">
        <v>1331</v>
      </c>
    </row>
    <row r="9" spans="3:6" ht="13.5" customHeight="1" x14ac:dyDescent="0.2">
      <c r="C9" s="7" t="s">
        <v>14</v>
      </c>
      <c r="D9" s="11">
        <v>605</v>
      </c>
      <c r="E9" s="4">
        <v>665.5</v>
      </c>
      <c r="F9" s="4">
        <v>732.05000000000007</v>
      </c>
    </row>
    <row r="10" spans="3:6" ht="16" x14ac:dyDescent="0.2">
      <c r="C10" s="6" t="s">
        <v>1</v>
      </c>
      <c r="D10" s="12">
        <v>495</v>
      </c>
      <c r="E10" s="5">
        <v>544.5</v>
      </c>
      <c r="F10" s="5">
        <v>598.94999999999993</v>
      </c>
    </row>
    <row r="11" spans="3:6" ht="13.5" customHeight="1" x14ac:dyDescent="0.2">
      <c r="C11" s="8" t="s">
        <v>2</v>
      </c>
      <c r="D11" s="11">
        <v>0.45</v>
      </c>
      <c r="E11" s="4">
        <v>0.45</v>
      </c>
      <c r="F11" s="4">
        <v>0.44999999999999996</v>
      </c>
    </row>
    <row r="12" spans="3:6" ht="13.5" customHeight="1" x14ac:dyDescent="0.2">
      <c r="C12" s="7"/>
      <c r="D12" s="11"/>
      <c r="E12" s="4"/>
      <c r="F12" s="4"/>
    </row>
    <row r="13" spans="3:6" ht="13.5" customHeight="1" x14ac:dyDescent="0.2">
      <c r="C13" s="7" t="s">
        <v>15</v>
      </c>
      <c r="D13" s="11">
        <v>165</v>
      </c>
      <c r="E13" s="4">
        <v>181.5</v>
      </c>
      <c r="F13" s="4">
        <v>199.65</v>
      </c>
    </row>
    <row r="14" spans="3:6" ht="13.5" customHeight="1" x14ac:dyDescent="0.2">
      <c r="C14" s="7" t="s">
        <v>16</v>
      </c>
      <c r="D14" s="11">
        <v>33</v>
      </c>
      <c r="E14" s="4">
        <v>36.299999999999997</v>
      </c>
      <c r="F14" s="4">
        <v>39.93</v>
      </c>
    </row>
    <row r="15" spans="3:6" ht="16" x14ac:dyDescent="0.2">
      <c r="C15" s="6" t="s">
        <v>3</v>
      </c>
      <c r="D15" s="12">
        <v>297</v>
      </c>
      <c r="E15" s="5">
        <v>326.7</v>
      </c>
      <c r="F15" s="5">
        <v>359.36999999999995</v>
      </c>
    </row>
    <row r="16" spans="3:6" ht="13.5" customHeight="1" x14ac:dyDescent="0.2">
      <c r="C16" s="7" t="s">
        <v>4</v>
      </c>
      <c r="D16" s="11">
        <v>0.27</v>
      </c>
      <c r="E16" s="4">
        <v>0.27</v>
      </c>
      <c r="F16" s="4">
        <v>0.26999999999999996</v>
      </c>
    </row>
    <row r="17" spans="3:6" ht="13.5" customHeight="1" x14ac:dyDescent="0.2">
      <c r="C17" s="7"/>
      <c r="D17" s="11"/>
      <c r="E17" s="4"/>
      <c r="F17" s="4"/>
    </row>
    <row r="18" spans="3:6" ht="13.5" customHeight="1" x14ac:dyDescent="0.2">
      <c r="C18" s="7" t="s">
        <v>17</v>
      </c>
      <c r="D18" s="11">
        <v>85</v>
      </c>
      <c r="E18" s="4">
        <v>91.800000000000011</v>
      </c>
      <c r="F18" s="4">
        <v>102.51</v>
      </c>
    </row>
    <row r="19" spans="3:6" ht="13.5" customHeight="1" x14ac:dyDescent="0.2">
      <c r="C19" s="7" t="s">
        <v>18</v>
      </c>
      <c r="D19" s="11">
        <v>4</v>
      </c>
      <c r="E19" s="4">
        <v>4</v>
      </c>
      <c r="F19" s="4">
        <v>4</v>
      </c>
    </row>
    <row r="20" spans="3:6" ht="16" x14ac:dyDescent="0.2">
      <c r="C20" s="6" t="s">
        <v>5</v>
      </c>
      <c r="D20" s="12">
        <v>208</v>
      </c>
      <c r="E20" s="5">
        <v>230.89999999999998</v>
      </c>
      <c r="F20" s="5">
        <v>252.85999999999996</v>
      </c>
    </row>
    <row r="21" spans="3:6" ht="13.5" customHeight="1" x14ac:dyDescent="0.2">
      <c r="C21" s="7" t="s">
        <v>6</v>
      </c>
      <c r="D21" s="11">
        <v>0.18909090909090909</v>
      </c>
      <c r="E21" s="4">
        <v>0.19082644628099171</v>
      </c>
      <c r="F21" s="4">
        <v>0.18997746055597292</v>
      </c>
    </row>
    <row r="22" spans="3:6" ht="13.5" customHeight="1" x14ac:dyDescent="0.2">
      <c r="C22" s="7"/>
      <c r="D22" s="11"/>
      <c r="E22" s="4"/>
      <c r="F22" s="4"/>
    </row>
    <row r="23" spans="3:6" ht="13.5" customHeight="1" x14ac:dyDescent="0.2">
      <c r="C23" s="7" t="s">
        <v>19</v>
      </c>
      <c r="D23" s="11">
        <v>10</v>
      </c>
      <c r="E23" s="4">
        <v>11</v>
      </c>
      <c r="F23" s="4">
        <v>11</v>
      </c>
    </row>
    <row r="24" spans="3:6" ht="13.5" customHeight="1" x14ac:dyDescent="0.2">
      <c r="C24" s="7" t="s">
        <v>20</v>
      </c>
      <c r="D24" s="11">
        <v>0</v>
      </c>
      <c r="E24" s="4">
        <v>0</v>
      </c>
      <c r="F24" s="4">
        <v>0</v>
      </c>
    </row>
    <row r="25" spans="3:6" ht="13.5" customHeight="1" x14ac:dyDescent="0.2">
      <c r="C25" s="7" t="s">
        <v>21</v>
      </c>
      <c r="D25" s="11">
        <v>5.6747500000000004</v>
      </c>
      <c r="E25" s="4">
        <v>10.687807362157519</v>
      </c>
      <c r="F25" s="4">
        <v>8.9507359956513106</v>
      </c>
    </row>
    <row r="26" spans="3:6" ht="13.5" customHeight="1" x14ac:dyDescent="0.2">
      <c r="C26" s="7" t="s">
        <v>22</v>
      </c>
      <c r="D26" s="11">
        <v>39.700000000000003</v>
      </c>
      <c r="E26" s="4">
        <v>39.700000000000003</v>
      </c>
      <c r="F26" s="4">
        <v>39.700000000000003</v>
      </c>
    </row>
    <row r="27" spans="3:6" ht="16" x14ac:dyDescent="0.2">
      <c r="C27" s="6" t="s">
        <v>7</v>
      </c>
      <c r="D27" s="12">
        <v>163.97474999999997</v>
      </c>
      <c r="E27" s="5">
        <v>190.8878073621575</v>
      </c>
      <c r="F27" s="5">
        <v>211.11073599565128</v>
      </c>
    </row>
    <row r="28" spans="3:6" ht="13.5" customHeight="1" x14ac:dyDescent="0.2">
      <c r="C28" s="7" t="s">
        <v>8</v>
      </c>
      <c r="D28" s="11">
        <v>0.14906795454545452</v>
      </c>
      <c r="E28" s="4">
        <v>0.15775851848112191</v>
      </c>
      <c r="F28" s="4">
        <v>0.15861062058275829</v>
      </c>
    </row>
    <row r="29" spans="3:6" ht="13.5" customHeight="1" x14ac:dyDescent="0.2">
      <c r="C29" s="7"/>
      <c r="D29" s="11"/>
      <c r="E29" s="4"/>
      <c r="F29" s="4"/>
    </row>
    <row r="30" spans="3:6" ht="13.5" customHeight="1" x14ac:dyDescent="0.2">
      <c r="C30" s="7" t="s">
        <v>23</v>
      </c>
      <c r="D30" s="11">
        <v>57.391162499999986</v>
      </c>
      <c r="E30" s="4">
        <v>66.810732576755129</v>
      </c>
      <c r="F30" s="4">
        <v>73.888757598477937</v>
      </c>
    </row>
    <row r="31" spans="3:6" ht="13.5" customHeight="1" x14ac:dyDescent="0.2">
      <c r="C31" s="7" t="s">
        <v>24</v>
      </c>
      <c r="D31" s="11">
        <v>6.24</v>
      </c>
      <c r="E31" s="4">
        <v>6.4896000000000003</v>
      </c>
      <c r="F31" s="4">
        <v>6.8140800000000006</v>
      </c>
    </row>
    <row r="32" spans="3:6" ht="13.5" customHeight="1" x14ac:dyDescent="0.2">
      <c r="C32" s="7" t="s">
        <v>25</v>
      </c>
      <c r="D32" s="11">
        <v>14.3</v>
      </c>
      <c r="E32" s="4">
        <v>15.015000000000001</v>
      </c>
      <c r="F32" s="4">
        <v>15.765750000000001</v>
      </c>
    </row>
    <row r="33" spans="3:6" ht="16" x14ac:dyDescent="0.2">
      <c r="C33" s="6" t="s">
        <v>9</v>
      </c>
      <c r="D33" s="12">
        <v>98.523587499999991</v>
      </c>
      <c r="E33" s="5">
        <v>115.55167478540237</v>
      </c>
      <c r="F33" s="5">
        <v>128.27030839717335</v>
      </c>
    </row>
    <row r="34" spans="3:6" ht="13.5" customHeight="1" x14ac:dyDescent="0.2">
      <c r="C34" s="7" t="s">
        <v>10</v>
      </c>
      <c r="D34" s="11">
        <v>8.9566897727272721E-2</v>
      </c>
      <c r="E34" s="4">
        <v>9.5497251888762291E-2</v>
      </c>
      <c r="F34" s="4">
        <v>9.6371381215006269E-2</v>
      </c>
    </row>
    <row r="35" spans="3:6" ht="13.5" customHeight="1" x14ac:dyDescent="0.2">
      <c r="C35" s="7"/>
      <c r="D35" s="11"/>
      <c r="E35" s="4"/>
      <c r="F35" s="4"/>
    </row>
    <row r="36" spans="3:6" ht="13.5" customHeight="1" x14ac:dyDescent="0.2">
      <c r="C36" s="7" t="s">
        <v>26</v>
      </c>
      <c r="D36" s="11">
        <v>3</v>
      </c>
      <c r="E36" s="4">
        <v>0</v>
      </c>
      <c r="F36" s="4">
        <v>0</v>
      </c>
    </row>
    <row r="37" spans="3:6" ht="13.5" customHeight="1" x14ac:dyDescent="0.2">
      <c r="C37" s="7" t="s">
        <v>27</v>
      </c>
      <c r="D37" s="11">
        <v>6</v>
      </c>
      <c r="E37" s="4">
        <v>6</v>
      </c>
      <c r="F37" s="4">
        <v>6</v>
      </c>
    </row>
    <row r="38" spans="3:6" ht="16" x14ac:dyDescent="0.2">
      <c r="C38" s="6" t="s">
        <v>28</v>
      </c>
      <c r="D38" s="12">
        <v>89.523587499999991</v>
      </c>
      <c r="E38" s="5">
        <v>109.55167478540237</v>
      </c>
      <c r="F38" s="5">
        <v>122.27030839717335</v>
      </c>
    </row>
    <row r="39" spans="3:6" ht="13.5" customHeight="1" x14ac:dyDescent="0.2">
      <c r="C39" s="7"/>
      <c r="D39" s="11"/>
      <c r="E39" s="4"/>
      <c r="F39" s="4"/>
    </row>
    <row r="40" spans="3:6" ht="13.5" customHeight="1" x14ac:dyDescent="0.2">
      <c r="C40" s="7" t="s">
        <v>29</v>
      </c>
      <c r="D40" s="11">
        <v>9.8523587500000005</v>
      </c>
      <c r="E40" s="4">
        <v>11.555167478540238</v>
      </c>
      <c r="F40" s="4">
        <v>12.827030839717336</v>
      </c>
    </row>
    <row r="41" spans="3:6" ht="16" x14ac:dyDescent="0.2">
      <c r="C41" s="6" t="s">
        <v>11</v>
      </c>
      <c r="D41" s="12">
        <v>79.671228749999983</v>
      </c>
      <c r="E41" s="5">
        <v>97.996507306862128</v>
      </c>
      <c r="F41" s="5">
        <v>109.44327755745601</v>
      </c>
    </row>
  </sheetData>
  <mergeCells count="1">
    <mergeCell ref="C1:F5"/>
  </mergeCells>
  <phoneticPr fontId="4" type="noConversion"/>
  <pageMargins left="0.51" right="0.51" top="0.79000000000000015" bottom="0.79000000000000015" header="0.31" footer="0.31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C1:F47"/>
  <sheetViews>
    <sheetView topLeftCell="A35" workbookViewId="0">
      <selection activeCell="G49" sqref="A1:G49"/>
    </sheetView>
  </sheetViews>
  <sheetFormatPr baseColWidth="10" defaultColWidth="8.796875" defaultRowHeight="14" x14ac:dyDescent="0.2"/>
  <cols>
    <col min="1" max="1" width="2.3984375" customWidth="1"/>
    <col min="2" max="2" width="2.59765625" customWidth="1"/>
    <col min="3" max="3" width="34.3984375" bestFit="1" customWidth="1"/>
    <col min="4" max="4" width="11.19921875" customWidth="1"/>
    <col min="5" max="5" width="10.796875" customWidth="1"/>
    <col min="6" max="6" width="11.796875" customWidth="1"/>
  </cols>
  <sheetData>
    <row r="1" spans="3:6" ht="21" customHeight="1" x14ac:dyDescent="0.2">
      <c r="C1" s="22" t="s">
        <v>12</v>
      </c>
      <c r="D1" s="23"/>
      <c r="E1" s="23"/>
      <c r="F1" s="24"/>
    </row>
    <row r="2" spans="3:6" x14ac:dyDescent="0.2">
      <c r="C2" s="25"/>
      <c r="D2" s="26"/>
      <c r="E2" s="26"/>
      <c r="F2" s="27"/>
    </row>
    <row r="3" spans="3:6" x14ac:dyDescent="0.2">
      <c r="C3" s="25"/>
      <c r="D3" s="26"/>
      <c r="E3" s="26"/>
      <c r="F3" s="27"/>
    </row>
    <row r="4" spans="3:6" x14ac:dyDescent="0.2">
      <c r="C4" s="25"/>
      <c r="D4" s="26"/>
      <c r="E4" s="26"/>
      <c r="F4" s="27"/>
    </row>
    <row r="5" spans="3:6" x14ac:dyDescent="0.2">
      <c r="C5" s="28"/>
      <c r="D5" s="29"/>
      <c r="E5" s="29"/>
      <c r="F5" s="30"/>
    </row>
    <row r="6" spans="3:6" ht="16" x14ac:dyDescent="0.2">
      <c r="C6" s="2" t="s">
        <v>30</v>
      </c>
      <c r="D6" s="3">
        <v>39813</v>
      </c>
      <c r="E6" s="3">
        <v>40178</v>
      </c>
      <c r="F6" s="3">
        <v>40543</v>
      </c>
    </row>
    <row r="7" spans="3:6" ht="16" x14ac:dyDescent="0.2">
      <c r="C7" s="2" t="s">
        <v>31</v>
      </c>
      <c r="D7" s="1"/>
      <c r="E7" s="1"/>
      <c r="F7" s="1"/>
    </row>
    <row r="8" spans="3:6" x14ac:dyDescent="0.2">
      <c r="C8" s="1" t="s">
        <v>32</v>
      </c>
      <c r="D8" s="13">
        <v>99.256297243150357</v>
      </c>
      <c r="E8" s="13">
        <v>63.479874413026209</v>
      </c>
      <c r="F8" s="13">
        <v>21.078174806099014</v>
      </c>
    </row>
    <row r="9" spans="3:6" x14ac:dyDescent="0.2">
      <c r="C9" s="1" t="s">
        <v>33</v>
      </c>
      <c r="D9" s="13">
        <v>80</v>
      </c>
      <c r="E9" s="13">
        <v>80</v>
      </c>
      <c r="F9" s="13">
        <v>80</v>
      </c>
    </row>
    <row r="10" spans="3:6" x14ac:dyDescent="0.2">
      <c r="C10" s="1" t="s">
        <v>34</v>
      </c>
      <c r="D10" s="13">
        <v>33.99</v>
      </c>
      <c r="E10" s="13">
        <v>35.009700000000002</v>
      </c>
      <c r="F10" s="13">
        <v>36.059991000000004</v>
      </c>
    </row>
    <row r="11" spans="3:6" x14ac:dyDescent="0.2">
      <c r="C11" s="1" t="s">
        <v>35</v>
      </c>
      <c r="D11" s="13">
        <v>90.410958904109577</v>
      </c>
      <c r="E11" s="13">
        <v>99.452054794520549</v>
      </c>
      <c r="F11" s="13">
        <v>109.39726027397259</v>
      </c>
    </row>
    <row r="12" spans="3:6" x14ac:dyDescent="0.2">
      <c r="C12" s="1" t="s">
        <v>36</v>
      </c>
      <c r="D12" s="13">
        <v>162.43835616438358</v>
      </c>
      <c r="E12" s="13">
        <v>173.21232876712327</v>
      </c>
      <c r="F12" s="13">
        <v>190.53356164383561</v>
      </c>
    </row>
    <row r="13" spans="3:6" x14ac:dyDescent="0.2">
      <c r="C13" s="1" t="s">
        <v>37</v>
      </c>
      <c r="D13" s="13">
        <v>11</v>
      </c>
      <c r="E13" s="13">
        <v>12.1</v>
      </c>
      <c r="F13" s="13">
        <v>13.31</v>
      </c>
    </row>
    <row r="14" spans="3:6" ht="16" x14ac:dyDescent="0.2">
      <c r="C14" s="2" t="s">
        <v>38</v>
      </c>
      <c r="D14" s="14">
        <v>477.09561231164355</v>
      </c>
      <c r="E14" s="14">
        <v>463.25395797467007</v>
      </c>
      <c r="F14" s="14">
        <v>450.37898772390719</v>
      </c>
    </row>
    <row r="15" spans="3:6" x14ac:dyDescent="0.2">
      <c r="C15" s="1"/>
      <c r="D15" s="13"/>
      <c r="E15" s="13"/>
      <c r="F15" s="13"/>
    </row>
    <row r="16" spans="3:6" x14ac:dyDescent="0.2">
      <c r="C16" s="1" t="s">
        <v>39</v>
      </c>
      <c r="D16" s="13">
        <v>1080</v>
      </c>
      <c r="E16" s="13">
        <v>1206</v>
      </c>
      <c r="F16" s="13">
        <v>1343.07</v>
      </c>
    </row>
    <row r="17" spans="3:6" x14ac:dyDescent="0.2">
      <c r="C17" s="1" t="s">
        <v>40</v>
      </c>
      <c r="D17" s="13">
        <v>52.24</v>
      </c>
      <c r="E17" s="13">
        <v>58.729600000000005</v>
      </c>
      <c r="F17" s="13">
        <v>65.543680000000009</v>
      </c>
    </row>
    <row r="18" spans="3:6" x14ac:dyDescent="0.2">
      <c r="C18" s="1" t="s">
        <v>41</v>
      </c>
      <c r="D18" s="13">
        <v>54</v>
      </c>
      <c r="E18" s="13">
        <v>50</v>
      </c>
      <c r="F18" s="13">
        <v>46</v>
      </c>
    </row>
    <row r="19" spans="3:6" x14ac:dyDescent="0.2">
      <c r="C19" s="1" t="s">
        <v>42</v>
      </c>
      <c r="D19" s="13">
        <v>154.00000000000003</v>
      </c>
      <c r="E19" s="13">
        <v>169.4</v>
      </c>
      <c r="F19" s="13">
        <v>186.34000000000003</v>
      </c>
    </row>
    <row r="20" spans="3:6" ht="16" x14ac:dyDescent="0.2">
      <c r="C20" s="2" t="s">
        <v>43</v>
      </c>
      <c r="D20" s="14">
        <v>1817.3356123116437</v>
      </c>
      <c r="E20" s="14">
        <v>1947.3835579746703</v>
      </c>
      <c r="F20" s="14">
        <v>2091.3326677239074</v>
      </c>
    </row>
    <row r="21" spans="3:6" x14ac:dyDescent="0.2">
      <c r="C21" s="1"/>
      <c r="D21" s="13"/>
      <c r="E21" s="13"/>
      <c r="F21" s="13"/>
    </row>
    <row r="22" spans="3:6" ht="16" x14ac:dyDescent="0.2">
      <c r="C22" s="2" t="s">
        <v>44</v>
      </c>
      <c r="D22" s="13"/>
      <c r="E22" s="13"/>
      <c r="F22" s="13"/>
    </row>
    <row r="23" spans="3:6" x14ac:dyDescent="0.2">
      <c r="C23" s="1" t="s">
        <v>45</v>
      </c>
      <c r="D23" s="13">
        <v>0</v>
      </c>
      <c r="E23" s="13">
        <v>0</v>
      </c>
      <c r="F23" s="13">
        <v>0</v>
      </c>
    </row>
    <row r="24" spans="3:6" x14ac:dyDescent="0.2">
      <c r="C24" s="1" t="s">
        <v>46</v>
      </c>
      <c r="D24" s="13">
        <v>14</v>
      </c>
      <c r="E24" s="13">
        <v>14</v>
      </c>
      <c r="F24" s="13">
        <v>14</v>
      </c>
    </row>
    <row r="25" spans="3:6" x14ac:dyDescent="0.2">
      <c r="C25" s="1" t="s">
        <v>47</v>
      </c>
      <c r="D25" s="13">
        <v>91.164383561643831</v>
      </c>
      <c r="E25" s="13">
        <v>100.28082191780821</v>
      </c>
      <c r="F25" s="13">
        <v>110.30890410958905</v>
      </c>
    </row>
    <row r="26" spans="3:6" x14ac:dyDescent="0.2">
      <c r="C26" s="1" t="s">
        <v>48</v>
      </c>
      <c r="D26" s="13">
        <v>22</v>
      </c>
      <c r="E26" s="13">
        <v>24.2</v>
      </c>
      <c r="F26" s="13">
        <v>26.62</v>
      </c>
    </row>
    <row r="27" spans="3:6" ht="16" x14ac:dyDescent="0.2">
      <c r="C27" s="2" t="s">
        <v>49</v>
      </c>
      <c r="D27" s="14">
        <v>127.16438356164383</v>
      </c>
      <c r="E27" s="14">
        <v>138.48082191780821</v>
      </c>
      <c r="F27" s="14">
        <v>150.92890410958904</v>
      </c>
    </row>
    <row r="28" spans="3:6" x14ac:dyDescent="0.2">
      <c r="C28" s="1"/>
      <c r="D28" s="13"/>
      <c r="E28" s="13"/>
      <c r="F28" s="13"/>
    </row>
    <row r="29" spans="3:6" x14ac:dyDescent="0.2">
      <c r="C29" s="1" t="s">
        <v>50</v>
      </c>
      <c r="D29" s="13">
        <v>150</v>
      </c>
      <c r="E29" s="13">
        <v>150</v>
      </c>
      <c r="F29" s="13">
        <v>150</v>
      </c>
    </row>
    <row r="30" spans="3:6" x14ac:dyDescent="0.2">
      <c r="C30" s="1" t="s">
        <v>51</v>
      </c>
      <c r="D30" s="13">
        <v>145</v>
      </c>
      <c r="E30" s="13">
        <v>145</v>
      </c>
      <c r="F30" s="13">
        <v>145</v>
      </c>
    </row>
    <row r="31" spans="3:6" x14ac:dyDescent="0.2">
      <c r="C31" s="1" t="s">
        <v>52</v>
      </c>
      <c r="D31" s="13">
        <v>110</v>
      </c>
      <c r="E31" s="13">
        <v>110</v>
      </c>
      <c r="F31" s="13">
        <v>110</v>
      </c>
    </row>
    <row r="32" spans="3:6" x14ac:dyDescent="0.2">
      <c r="C32" s="1" t="s">
        <v>53</v>
      </c>
      <c r="D32" s="13">
        <v>44</v>
      </c>
      <c r="E32" s="13">
        <v>48.4</v>
      </c>
      <c r="F32" s="13">
        <v>53.24</v>
      </c>
    </row>
    <row r="33" spans="3:6" ht="16" x14ac:dyDescent="0.2">
      <c r="C33" s="2" t="s">
        <v>54</v>
      </c>
      <c r="D33" s="14">
        <v>576.16438356164383</v>
      </c>
      <c r="E33" s="14">
        <v>591.88082191780813</v>
      </c>
      <c r="F33" s="14">
        <v>609.16890410958899</v>
      </c>
    </row>
    <row r="34" spans="3:6" x14ac:dyDescent="0.2">
      <c r="C34" s="1"/>
      <c r="D34" s="13"/>
      <c r="E34" s="13"/>
      <c r="F34" s="13"/>
    </row>
    <row r="35" spans="3:6" ht="16" x14ac:dyDescent="0.2">
      <c r="C35" s="2" t="s">
        <v>55</v>
      </c>
      <c r="D35" s="13"/>
      <c r="E35" s="13"/>
      <c r="F35" s="13"/>
    </row>
    <row r="36" spans="3:6" ht="16" x14ac:dyDescent="0.2">
      <c r="C36" s="2" t="s">
        <v>56</v>
      </c>
      <c r="D36" s="14">
        <v>97.3</v>
      </c>
      <c r="E36" s="14">
        <v>112.315</v>
      </c>
      <c r="F36" s="14">
        <v>128.08074999999999</v>
      </c>
    </row>
    <row r="37" spans="3:6" x14ac:dyDescent="0.2">
      <c r="C37" s="1"/>
      <c r="D37" s="13"/>
      <c r="E37" s="13"/>
      <c r="F37" s="13"/>
    </row>
    <row r="38" spans="3:6" ht="16" x14ac:dyDescent="0.2">
      <c r="C38" s="2" t="s">
        <v>57</v>
      </c>
      <c r="D38" s="13"/>
      <c r="E38" s="13"/>
      <c r="F38" s="13"/>
    </row>
    <row r="39" spans="3:6" x14ac:dyDescent="0.2">
      <c r="C39" s="1" t="s">
        <v>58</v>
      </c>
      <c r="D39" s="13">
        <v>100</v>
      </c>
      <c r="E39" s="13">
        <v>100</v>
      </c>
      <c r="F39" s="13">
        <v>100</v>
      </c>
    </row>
    <row r="40" spans="3:6" x14ac:dyDescent="0.2">
      <c r="C40" s="1" t="s">
        <v>59</v>
      </c>
      <c r="D40" s="13">
        <v>650</v>
      </c>
      <c r="E40" s="13">
        <v>650</v>
      </c>
      <c r="F40" s="13">
        <v>650</v>
      </c>
    </row>
    <row r="41" spans="3:6" x14ac:dyDescent="0.2">
      <c r="C41" s="1" t="s">
        <v>60</v>
      </c>
      <c r="D41" s="13">
        <v>380.67122874999995</v>
      </c>
      <c r="E41" s="13">
        <v>478.66773605686205</v>
      </c>
      <c r="F41" s="13">
        <v>588.11101361431804</v>
      </c>
    </row>
    <row r="42" spans="3:6" x14ac:dyDescent="0.2">
      <c r="C42" s="1" t="s">
        <v>61</v>
      </c>
      <c r="D42" s="13">
        <v>13.200000000000001</v>
      </c>
      <c r="E42" s="13">
        <v>14.52</v>
      </c>
      <c r="F42" s="13">
        <v>15.972</v>
      </c>
    </row>
    <row r="43" spans="3:6" ht="16" x14ac:dyDescent="0.2">
      <c r="C43" s="2" t="s">
        <v>62</v>
      </c>
      <c r="D43" s="14">
        <v>1143.87122875</v>
      </c>
      <c r="E43" s="14">
        <v>1243.1877360568619</v>
      </c>
      <c r="F43" s="14">
        <v>1354.0830136143179</v>
      </c>
    </row>
    <row r="44" spans="3:6" ht="16" x14ac:dyDescent="0.2">
      <c r="C44" s="2" t="s">
        <v>63</v>
      </c>
      <c r="D44" s="14">
        <v>1817.3356123116437</v>
      </c>
      <c r="E44" s="14">
        <v>1947.3835579746701</v>
      </c>
      <c r="F44" s="14">
        <v>2091.332667723907</v>
      </c>
    </row>
    <row r="45" spans="3:6" x14ac:dyDescent="0.2">
      <c r="C45" s="31"/>
      <c r="D45" s="32"/>
      <c r="E45" s="32"/>
      <c r="F45" s="33"/>
    </row>
    <row r="46" spans="3:6" x14ac:dyDescent="0.2">
      <c r="C46" s="15" t="s">
        <v>64</v>
      </c>
      <c r="D46" s="15">
        <v>0</v>
      </c>
      <c r="E46" s="15">
        <v>0</v>
      </c>
      <c r="F46" s="15">
        <v>0</v>
      </c>
    </row>
    <row r="47" spans="3:6" ht="16" x14ac:dyDescent="0.2">
      <c r="C47" s="16" t="s">
        <v>65</v>
      </c>
      <c r="D47" s="17" t="s">
        <v>65</v>
      </c>
      <c r="E47" s="17" t="s">
        <v>65</v>
      </c>
      <c r="F47" s="17" t="s">
        <v>65</v>
      </c>
    </row>
  </sheetData>
  <mergeCells count="2">
    <mergeCell ref="C1:F5"/>
    <mergeCell ref="C45:F45"/>
  </mergeCells>
  <phoneticPr fontId="7" type="noConversion"/>
  <conditionalFormatting sqref="C47:F47">
    <cfRule type="cellIs" dxfId="0" priority="1" stopIfTrue="1" operator="notEqual">
      <formula>"OK"</formula>
    </cfRule>
  </conditionalFormatting>
  <pageMargins left="0.51" right="0.51" top="0.79000000000000015" bottom="0.79000000000000015" header="0.31" footer="0.31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C1:K31"/>
  <sheetViews>
    <sheetView topLeftCell="A20" workbookViewId="0">
      <selection activeCell="L34" sqref="B1:L34"/>
    </sheetView>
  </sheetViews>
  <sheetFormatPr baseColWidth="10" defaultColWidth="8.796875" defaultRowHeight="14" x14ac:dyDescent="0.2"/>
  <cols>
    <col min="3" max="3" width="22.3984375" bestFit="1" customWidth="1"/>
    <col min="4" max="4" width="11" customWidth="1"/>
    <col min="5" max="5" width="10.19921875" customWidth="1"/>
    <col min="6" max="6" width="11.59765625" customWidth="1"/>
    <col min="8" max="8" width="34.3984375" bestFit="1" customWidth="1"/>
    <col min="9" max="9" width="10.796875" customWidth="1"/>
    <col min="10" max="10" width="11.3984375" customWidth="1"/>
    <col min="11" max="11" width="10.59765625" customWidth="1"/>
  </cols>
  <sheetData>
    <row r="1" spans="3:11" ht="21" customHeight="1" x14ac:dyDescent="0.2">
      <c r="C1" s="22" t="s">
        <v>12</v>
      </c>
      <c r="D1" s="23"/>
      <c r="E1" s="23"/>
      <c r="F1" s="24"/>
    </row>
    <row r="2" spans="3:11" x14ac:dyDescent="0.2">
      <c r="C2" s="25"/>
      <c r="D2" s="26"/>
      <c r="E2" s="26"/>
      <c r="F2" s="27"/>
    </row>
    <row r="3" spans="3:11" x14ac:dyDescent="0.2">
      <c r="C3" s="25"/>
      <c r="D3" s="26"/>
      <c r="E3" s="26"/>
      <c r="F3" s="27"/>
    </row>
    <row r="4" spans="3:11" x14ac:dyDescent="0.2">
      <c r="C4" s="25"/>
      <c r="D4" s="26"/>
      <c r="E4" s="26"/>
      <c r="F4" s="27"/>
    </row>
    <row r="5" spans="3:11" x14ac:dyDescent="0.2">
      <c r="C5" s="28"/>
      <c r="D5" s="29"/>
      <c r="E5" s="29"/>
      <c r="F5" s="30"/>
    </row>
    <row r="6" spans="3:11" ht="21" x14ac:dyDescent="0.2">
      <c r="C6" s="21"/>
      <c r="D6" s="21"/>
      <c r="E6" s="21"/>
      <c r="F6" s="21"/>
    </row>
    <row r="7" spans="3:11" ht="21" x14ac:dyDescent="0.2">
      <c r="C7" s="21"/>
      <c r="D7" s="21"/>
      <c r="E7" s="21"/>
      <c r="F7" s="21"/>
    </row>
    <row r="8" spans="3:11" ht="16" x14ac:dyDescent="0.2">
      <c r="C8" s="2" t="s">
        <v>30</v>
      </c>
      <c r="D8" s="3">
        <v>39813</v>
      </c>
      <c r="E8" s="3">
        <v>40178</v>
      </c>
      <c r="F8" s="3">
        <v>40543</v>
      </c>
      <c r="H8" s="2" t="s">
        <v>30</v>
      </c>
      <c r="I8" s="3">
        <v>39813</v>
      </c>
      <c r="J8" s="3">
        <v>40178</v>
      </c>
      <c r="K8" s="3">
        <v>40543</v>
      </c>
    </row>
    <row r="9" spans="3:11" ht="16" x14ac:dyDescent="0.2">
      <c r="C9" s="2" t="s">
        <v>31</v>
      </c>
      <c r="D9" s="1"/>
      <c r="E9" s="1"/>
      <c r="F9" s="1"/>
      <c r="H9" s="2" t="s">
        <v>44</v>
      </c>
      <c r="I9" s="13"/>
      <c r="J9" s="13"/>
      <c r="K9" s="13"/>
    </row>
    <row r="10" spans="3:11" x14ac:dyDescent="0.2">
      <c r="C10" s="1" t="s">
        <v>32</v>
      </c>
      <c r="D10" s="13">
        <v>99.256297243150357</v>
      </c>
      <c r="E10" s="13">
        <v>63.479874413026209</v>
      </c>
      <c r="F10" s="13">
        <v>21.078174806099014</v>
      </c>
      <c r="H10" s="1" t="s">
        <v>45</v>
      </c>
      <c r="I10" s="13">
        <v>0</v>
      </c>
      <c r="J10" s="13">
        <v>0</v>
      </c>
      <c r="K10" s="13">
        <v>0</v>
      </c>
    </row>
    <row r="11" spans="3:11" x14ac:dyDescent="0.2">
      <c r="C11" s="1" t="s">
        <v>33</v>
      </c>
      <c r="D11" s="13">
        <v>80</v>
      </c>
      <c r="E11" s="13">
        <v>80</v>
      </c>
      <c r="F11" s="13">
        <v>80</v>
      </c>
      <c r="H11" s="1" t="s">
        <v>46</v>
      </c>
      <c r="I11" s="13">
        <v>14</v>
      </c>
      <c r="J11" s="13">
        <v>14</v>
      </c>
      <c r="K11" s="13">
        <v>14</v>
      </c>
    </row>
    <row r="12" spans="3:11" x14ac:dyDescent="0.2">
      <c r="C12" s="1" t="s">
        <v>34</v>
      </c>
      <c r="D12" s="13">
        <v>33.99</v>
      </c>
      <c r="E12" s="13">
        <v>35.009700000000002</v>
      </c>
      <c r="F12" s="13">
        <v>36.059991000000004</v>
      </c>
      <c r="H12" s="1" t="s">
        <v>47</v>
      </c>
      <c r="I12" s="13">
        <v>91.164383561643831</v>
      </c>
      <c r="J12" s="13">
        <v>100.28082191780821</v>
      </c>
      <c r="K12" s="13">
        <v>110.30890410958905</v>
      </c>
    </row>
    <row r="13" spans="3:11" x14ac:dyDescent="0.2">
      <c r="C13" s="1" t="s">
        <v>35</v>
      </c>
      <c r="D13" s="13">
        <v>90.410958904109577</v>
      </c>
      <c r="E13" s="13">
        <v>99.452054794520549</v>
      </c>
      <c r="F13" s="13">
        <v>109.39726027397259</v>
      </c>
      <c r="H13" s="1" t="s">
        <v>48</v>
      </c>
      <c r="I13" s="13">
        <v>22</v>
      </c>
      <c r="J13" s="13">
        <v>24.2</v>
      </c>
      <c r="K13" s="13">
        <v>26.62</v>
      </c>
    </row>
    <row r="14" spans="3:11" ht="16" x14ac:dyDescent="0.2">
      <c r="C14" s="1" t="s">
        <v>36</v>
      </c>
      <c r="D14" s="13">
        <v>162.43835616438358</v>
      </c>
      <c r="E14" s="13">
        <v>173.21232876712327</v>
      </c>
      <c r="F14" s="13">
        <v>190.53356164383561</v>
      </c>
      <c r="H14" s="2" t="s">
        <v>49</v>
      </c>
      <c r="I14" s="14">
        <v>127.16438356164383</v>
      </c>
      <c r="J14" s="14">
        <v>138.48082191780821</v>
      </c>
      <c r="K14" s="14">
        <v>150.92890410958904</v>
      </c>
    </row>
    <row r="15" spans="3:11" x14ac:dyDescent="0.2">
      <c r="C15" s="1" t="s">
        <v>37</v>
      </c>
      <c r="D15" s="13">
        <v>11</v>
      </c>
      <c r="E15" s="13">
        <v>12.1</v>
      </c>
      <c r="F15" s="13">
        <v>13.31</v>
      </c>
      <c r="H15" s="31"/>
      <c r="I15" s="32"/>
      <c r="J15" s="32"/>
      <c r="K15" s="33"/>
    </row>
    <row r="16" spans="3:11" ht="16" x14ac:dyDescent="0.2">
      <c r="C16" s="2" t="s">
        <v>38</v>
      </c>
      <c r="D16" s="14">
        <v>477.09561231164355</v>
      </c>
      <c r="E16" s="14">
        <v>463.25395797467007</v>
      </c>
      <c r="F16" s="14">
        <v>450.37898772390719</v>
      </c>
      <c r="H16" s="1" t="s">
        <v>50</v>
      </c>
      <c r="I16" s="13">
        <v>150</v>
      </c>
      <c r="J16" s="13">
        <v>150</v>
      </c>
      <c r="K16" s="13">
        <v>150</v>
      </c>
    </row>
    <row r="17" spans="3:11" x14ac:dyDescent="0.2">
      <c r="C17" s="1"/>
      <c r="D17" s="13"/>
      <c r="E17" s="13"/>
      <c r="F17" s="13"/>
      <c r="H17" s="1" t="s">
        <v>51</v>
      </c>
      <c r="I17" s="13">
        <v>145</v>
      </c>
      <c r="J17" s="13">
        <v>145</v>
      </c>
      <c r="K17" s="13">
        <v>145</v>
      </c>
    </row>
    <row r="18" spans="3:11" x14ac:dyDescent="0.2">
      <c r="C18" s="1" t="s">
        <v>39</v>
      </c>
      <c r="D18" s="13">
        <v>1080</v>
      </c>
      <c r="E18" s="13">
        <v>1206</v>
      </c>
      <c r="F18" s="13">
        <v>1343.07</v>
      </c>
      <c r="H18" s="1" t="s">
        <v>52</v>
      </c>
      <c r="I18" s="13">
        <v>110</v>
      </c>
      <c r="J18" s="13">
        <v>110</v>
      </c>
      <c r="K18" s="13">
        <v>110</v>
      </c>
    </row>
    <row r="19" spans="3:11" x14ac:dyDescent="0.2">
      <c r="C19" s="1" t="s">
        <v>40</v>
      </c>
      <c r="D19" s="13">
        <v>52.24</v>
      </c>
      <c r="E19" s="13">
        <v>58.729600000000005</v>
      </c>
      <c r="F19" s="13">
        <v>65.543680000000009</v>
      </c>
      <c r="H19" s="1" t="s">
        <v>53</v>
      </c>
      <c r="I19" s="13">
        <v>44</v>
      </c>
      <c r="J19" s="13">
        <v>48.4</v>
      </c>
      <c r="K19" s="13">
        <v>53.24</v>
      </c>
    </row>
    <row r="20" spans="3:11" ht="16" x14ac:dyDescent="0.2">
      <c r="C20" s="1" t="s">
        <v>41</v>
      </c>
      <c r="D20" s="13">
        <v>54</v>
      </c>
      <c r="E20" s="13">
        <v>50</v>
      </c>
      <c r="F20" s="13">
        <v>46</v>
      </c>
      <c r="H20" s="2" t="s">
        <v>54</v>
      </c>
      <c r="I20" s="14">
        <v>576.16438356164383</v>
      </c>
      <c r="J20" s="14">
        <v>591.88082191780813</v>
      </c>
      <c r="K20" s="14">
        <v>609.16890410958899</v>
      </c>
    </row>
    <row r="21" spans="3:11" x14ac:dyDescent="0.2">
      <c r="C21" s="1" t="s">
        <v>42</v>
      </c>
      <c r="D21" s="13">
        <v>154.00000000000003</v>
      </c>
      <c r="E21" s="13">
        <v>169.4</v>
      </c>
      <c r="F21" s="13">
        <v>186.34000000000003</v>
      </c>
      <c r="H21" s="31"/>
      <c r="I21" s="32"/>
      <c r="J21" s="32"/>
      <c r="K21" s="33"/>
    </row>
    <row r="22" spans="3:11" ht="16" x14ac:dyDescent="0.2">
      <c r="C22" s="2" t="s">
        <v>43</v>
      </c>
      <c r="D22" s="14">
        <v>1817.3356123116437</v>
      </c>
      <c r="E22" s="14">
        <v>1947.3835579746703</v>
      </c>
      <c r="F22" s="14">
        <v>2091.3326677239074</v>
      </c>
      <c r="H22" s="2" t="s">
        <v>55</v>
      </c>
      <c r="I22" s="13"/>
      <c r="J22" s="13"/>
      <c r="K22" s="13"/>
    </row>
    <row r="23" spans="3:11" ht="16" x14ac:dyDescent="0.2">
      <c r="C23" s="31"/>
      <c r="D23" s="32"/>
      <c r="E23" s="32"/>
      <c r="F23" s="33"/>
      <c r="H23" s="2" t="s">
        <v>56</v>
      </c>
      <c r="I23" s="14">
        <v>97.3</v>
      </c>
      <c r="J23" s="14">
        <v>112.315</v>
      </c>
      <c r="K23" s="14">
        <v>128.08074999999999</v>
      </c>
    </row>
    <row r="24" spans="3:11" x14ac:dyDescent="0.2">
      <c r="H24" s="31"/>
      <c r="I24" s="32"/>
      <c r="J24" s="32"/>
      <c r="K24" s="33"/>
    </row>
    <row r="25" spans="3:11" ht="16" x14ac:dyDescent="0.2">
      <c r="H25" s="2" t="s">
        <v>57</v>
      </c>
      <c r="I25" s="13"/>
      <c r="J25" s="13"/>
      <c r="K25" s="13"/>
    </row>
    <row r="26" spans="3:11" x14ac:dyDescent="0.2">
      <c r="H26" s="1" t="s">
        <v>58</v>
      </c>
      <c r="I26" s="13">
        <v>100</v>
      </c>
      <c r="J26" s="13">
        <v>100</v>
      </c>
      <c r="K26" s="13">
        <v>100</v>
      </c>
    </row>
    <row r="27" spans="3:11" x14ac:dyDescent="0.2">
      <c r="H27" s="1" t="s">
        <v>59</v>
      </c>
      <c r="I27" s="13">
        <v>650</v>
      </c>
      <c r="J27" s="13">
        <v>650</v>
      </c>
      <c r="K27" s="13">
        <v>650</v>
      </c>
    </row>
    <row r="28" spans="3:11" x14ac:dyDescent="0.2">
      <c r="H28" s="1" t="s">
        <v>60</v>
      </c>
      <c r="I28" s="13">
        <v>380.67122874999995</v>
      </c>
      <c r="J28" s="13">
        <v>478.66773605686205</v>
      </c>
      <c r="K28" s="13">
        <v>588.11101361431804</v>
      </c>
    </row>
    <row r="29" spans="3:11" x14ac:dyDescent="0.2">
      <c r="H29" s="1" t="s">
        <v>61</v>
      </c>
      <c r="I29" s="13">
        <v>13.200000000000001</v>
      </c>
      <c r="J29" s="13">
        <v>14.52</v>
      </c>
      <c r="K29" s="13">
        <v>15.972</v>
      </c>
    </row>
    <row r="30" spans="3:11" ht="16" x14ac:dyDescent="0.2">
      <c r="H30" s="2" t="s">
        <v>62</v>
      </c>
      <c r="I30" s="14">
        <v>1143.87122875</v>
      </c>
      <c r="J30" s="14">
        <v>1243.1877360568619</v>
      </c>
      <c r="K30" s="14">
        <v>1354.0830136143179</v>
      </c>
    </row>
    <row r="31" spans="3:11" ht="16" x14ac:dyDescent="0.2">
      <c r="H31" s="2" t="s">
        <v>63</v>
      </c>
      <c r="I31" s="14">
        <v>1817.3356123116437</v>
      </c>
      <c r="J31" s="14">
        <v>1947.3835579746701</v>
      </c>
      <c r="K31" s="14">
        <v>2091.332667723907</v>
      </c>
    </row>
  </sheetData>
  <mergeCells count="5">
    <mergeCell ref="C1:F5"/>
    <mergeCell ref="C23:F23"/>
    <mergeCell ref="H24:K24"/>
    <mergeCell ref="H21:K21"/>
    <mergeCell ref="H15:K15"/>
  </mergeCells>
  <phoneticPr fontId="7" type="noConversion"/>
  <pageMargins left="0.51" right="0.51" top="0.79000000000000015" bottom="0.79000000000000015" header="0.31" footer="0.31"/>
  <pageSetup paperSize="9" scale="93" orientation="landscape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C1:G52"/>
  <sheetViews>
    <sheetView tabSelected="1" topLeftCell="A43" workbookViewId="0">
      <selection activeCell="M63" sqref="M63"/>
    </sheetView>
  </sheetViews>
  <sheetFormatPr baseColWidth="10" defaultColWidth="8.796875" defaultRowHeight="14" x14ac:dyDescent="0.2"/>
  <cols>
    <col min="1" max="1" width="1.796875" customWidth="1"/>
    <col min="2" max="2" width="3" customWidth="1"/>
    <col min="3" max="3" width="36.796875" bestFit="1" customWidth="1"/>
    <col min="5" max="5" width="11" customWidth="1"/>
    <col min="6" max="6" width="11.59765625" customWidth="1"/>
    <col min="7" max="7" width="11.3984375" customWidth="1"/>
  </cols>
  <sheetData>
    <row r="1" spans="3:7" ht="21" customHeight="1" x14ac:dyDescent="0.2">
      <c r="C1" s="34" t="s">
        <v>12</v>
      </c>
      <c r="D1" s="34"/>
      <c r="E1" s="34"/>
      <c r="F1" s="34"/>
      <c r="G1" s="34"/>
    </row>
    <row r="2" spans="3:7" x14ac:dyDescent="0.2">
      <c r="C2" s="34"/>
      <c r="D2" s="34"/>
      <c r="E2" s="34"/>
      <c r="F2" s="34"/>
      <c r="G2" s="34"/>
    </row>
    <row r="3" spans="3:7" x14ac:dyDescent="0.2">
      <c r="C3" s="34"/>
      <c r="D3" s="34"/>
      <c r="E3" s="34"/>
      <c r="F3" s="34"/>
      <c r="G3" s="34"/>
    </row>
    <row r="4" spans="3:7" x14ac:dyDescent="0.2">
      <c r="C4" s="34"/>
      <c r="D4" s="34"/>
      <c r="E4" s="34"/>
      <c r="F4" s="34"/>
      <c r="G4" s="34"/>
    </row>
    <row r="5" spans="3:7" ht="15.75" customHeight="1" x14ac:dyDescent="0.2">
      <c r="C5" s="34"/>
      <c r="D5" s="34"/>
      <c r="E5" s="34"/>
      <c r="F5" s="34"/>
      <c r="G5" s="34"/>
    </row>
    <row r="6" spans="3:7" ht="16" x14ac:dyDescent="0.2">
      <c r="C6" s="2" t="s">
        <v>66</v>
      </c>
      <c r="D6" s="2"/>
      <c r="E6" s="3">
        <v>39813</v>
      </c>
      <c r="F6" s="3">
        <v>40178</v>
      </c>
      <c r="G6" s="3">
        <v>40543</v>
      </c>
    </row>
    <row r="7" spans="3:7" x14ac:dyDescent="0.2">
      <c r="C7" s="1"/>
      <c r="D7" s="1"/>
      <c r="E7" s="1"/>
      <c r="F7" s="1"/>
      <c r="G7" s="1"/>
    </row>
    <row r="8" spans="3:7" x14ac:dyDescent="0.2">
      <c r="C8" s="1" t="s">
        <v>9</v>
      </c>
      <c r="D8" s="1"/>
      <c r="E8" s="18">
        <v>98.523587499999991</v>
      </c>
      <c r="F8" s="18">
        <v>115.55167478540237</v>
      </c>
      <c r="G8" s="18">
        <v>128.27030839717335</v>
      </c>
    </row>
    <row r="9" spans="3:7" x14ac:dyDescent="0.2">
      <c r="C9" s="31"/>
      <c r="D9" s="32"/>
      <c r="E9" s="32"/>
      <c r="F9" s="32"/>
      <c r="G9" s="33"/>
    </row>
    <row r="10" spans="3:7" x14ac:dyDescent="0.2">
      <c r="C10" s="1" t="s">
        <v>67</v>
      </c>
      <c r="D10" s="1"/>
      <c r="E10" s="18"/>
      <c r="F10" s="18"/>
      <c r="G10" s="18"/>
    </row>
    <row r="11" spans="3:7" x14ac:dyDescent="0.2">
      <c r="C11" s="1" t="s">
        <v>17</v>
      </c>
      <c r="D11" s="1"/>
      <c r="E11" s="18">
        <v>85</v>
      </c>
      <c r="F11" s="18">
        <v>91.800000000000011</v>
      </c>
      <c r="G11" s="18">
        <v>102.51</v>
      </c>
    </row>
    <row r="12" spans="3:7" x14ac:dyDescent="0.2">
      <c r="C12" s="1" t="s">
        <v>18</v>
      </c>
      <c r="D12" s="1"/>
      <c r="E12" s="18">
        <v>4</v>
      </c>
      <c r="F12" s="18">
        <v>4</v>
      </c>
      <c r="G12" s="18">
        <v>4</v>
      </c>
    </row>
    <row r="13" spans="3:7" x14ac:dyDescent="0.2">
      <c r="C13" s="1" t="s">
        <v>68</v>
      </c>
      <c r="D13" s="1"/>
      <c r="E13" s="18">
        <v>0</v>
      </c>
      <c r="F13" s="18">
        <v>0</v>
      </c>
      <c r="G13" s="18">
        <v>0</v>
      </c>
    </row>
    <row r="14" spans="3:7" x14ac:dyDescent="0.2">
      <c r="C14" s="1" t="s">
        <v>24</v>
      </c>
      <c r="D14" s="1"/>
      <c r="E14" s="18">
        <v>-6.24</v>
      </c>
      <c r="F14" s="18">
        <v>-6.4896000000000003</v>
      </c>
      <c r="G14" s="18">
        <v>-6.8140800000000006</v>
      </c>
    </row>
    <row r="15" spans="3:7" x14ac:dyDescent="0.2">
      <c r="C15" s="1" t="s">
        <v>25</v>
      </c>
      <c r="D15" s="1"/>
      <c r="E15" s="18">
        <v>14.3</v>
      </c>
      <c r="F15" s="18">
        <v>15.015000000000001</v>
      </c>
      <c r="G15" s="18">
        <v>15.765750000000001</v>
      </c>
    </row>
    <row r="16" spans="3:7" x14ac:dyDescent="0.2">
      <c r="C16" s="1" t="s">
        <v>69</v>
      </c>
      <c r="D16" s="1"/>
      <c r="E16" s="18">
        <v>195.58358749999999</v>
      </c>
      <c r="F16" s="18">
        <v>219.87707478540239</v>
      </c>
      <c r="G16" s="18">
        <v>243.73197839717335</v>
      </c>
    </row>
    <row r="17" spans="3:7" x14ac:dyDescent="0.2">
      <c r="C17" s="31"/>
      <c r="D17" s="32"/>
      <c r="E17" s="32"/>
      <c r="F17" s="32"/>
      <c r="G17" s="33"/>
    </row>
    <row r="18" spans="3:7" x14ac:dyDescent="0.2">
      <c r="C18" s="19" t="s">
        <v>70</v>
      </c>
      <c r="D18" s="1"/>
      <c r="E18" s="18">
        <v>0</v>
      </c>
      <c r="F18" s="18">
        <v>0</v>
      </c>
      <c r="G18" s="18">
        <v>0</v>
      </c>
    </row>
    <row r="19" spans="3:7" x14ac:dyDescent="0.2">
      <c r="C19" s="19" t="s">
        <v>71</v>
      </c>
      <c r="D19" s="1"/>
      <c r="E19" s="18">
        <v>-0.41095890410957736</v>
      </c>
      <c r="F19" s="18">
        <v>-9.0410958904109719</v>
      </c>
      <c r="G19" s="18">
        <v>-9.9452054794520421</v>
      </c>
    </row>
    <row r="20" spans="3:7" x14ac:dyDescent="0.2">
      <c r="C20" s="19" t="s">
        <v>72</v>
      </c>
      <c r="D20" s="1"/>
      <c r="E20" s="18">
        <v>-12.438356164383578</v>
      </c>
      <c r="F20" s="18">
        <v>-10.77397260273969</v>
      </c>
      <c r="G20" s="18">
        <v>-17.321232876712344</v>
      </c>
    </row>
    <row r="21" spans="3:7" x14ac:dyDescent="0.2">
      <c r="C21" s="19" t="s">
        <v>73</v>
      </c>
      <c r="D21" s="1"/>
      <c r="E21" s="18">
        <v>1</v>
      </c>
      <c r="F21" s="18">
        <v>-1.0999999999999996</v>
      </c>
      <c r="G21" s="18">
        <v>-1.2100000000000009</v>
      </c>
    </row>
    <row r="22" spans="3:7" x14ac:dyDescent="0.2">
      <c r="C22" s="19" t="s">
        <v>74</v>
      </c>
      <c r="D22" s="1"/>
      <c r="E22" s="18">
        <v>11.164383561643831</v>
      </c>
      <c r="F22" s="18">
        <v>9.1164383561643803</v>
      </c>
      <c r="G22" s="18">
        <v>10.02808219178084</v>
      </c>
    </row>
    <row r="23" spans="3:7" x14ac:dyDescent="0.2">
      <c r="C23" s="19" t="s">
        <v>75</v>
      </c>
      <c r="D23" s="1"/>
      <c r="E23" s="18">
        <v>2</v>
      </c>
      <c r="F23" s="18">
        <v>2.1999999999999993</v>
      </c>
      <c r="G23" s="18">
        <v>2.4200000000000017</v>
      </c>
    </row>
    <row r="24" spans="3:7" x14ac:dyDescent="0.2">
      <c r="C24" s="1" t="s">
        <v>76</v>
      </c>
      <c r="D24" s="1"/>
      <c r="E24" s="18">
        <v>1.315068493150676</v>
      </c>
      <c r="F24" s="18">
        <v>-9.5986301369862836</v>
      </c>
      <c r="G24" s="18">
        <v>-16.028356164383545</v>
      </c>
    </row>
    <row r="25" spans="3:7" x14ac:dyDescent="0.2">
      <c r="C25" s="31"/>
      <c r="D25" s="32"/>
      <c r="E25" s="32"/>
      <c r="F25" s="32"/>
      <c r="G25" s="33"/>
    </row>
    <row r="26" spans="3:7" x14ac:dyDescent="0.2">
      <c r="C26" s="1" t="s">
        <v>26</v>
      </c>
      <c r="D26" s="1"/>
      <c r="E26" s="18">
        <v>-3</v>
      </c>
      <c r="F26" s="18">
        <v>0</v>
      </c>
      <c r="G26" s="18">
        <v>0</v>
      </c>
    </row>
    <row r="27" spans="3:7" x14ac:dyDescent="0.2">
      <c r="C27" s="1" t="s">
        <v>77</v>
      </c>
      <c r="D27" s="1"/>
      <c r="E27" s="18">
        <v>-12.000000000000028</v>
      </c>
      <c r="F27" s="18">
        <v>-15.399999999999977</v>
      </c>
      <c r="G27" s="18">
        <v>-16.940000000000026</v>
      </c>
    </row>
    <row r="28" spans="3:7" x14ac:dyDescent="0.2">
      <c r="C28" s="1" t="s">
        <v>78</v>
      </c>
      <c r="D28" s="1"/>
      <c r="E28" s="18">
        <v>-6</v>
      </c>
      <c r="F28" s="18">
        <v>4.3999999999999986</v>
      </c>
      <c r="G28" s="18">
        <v>4.8400000000000034</v>
      </c>
    </row>
    <row r="29" spans="3:7" ht="16" x14ac:dyDescent="0.2">
      <c r="C29" s="2" t="s">
        <v>79</v>
      </c>
      <c r="D29" s="2"/>
      <c r="E29" s="20">
        <v>175.89865599315064</v>
      </c>
      <c r="F29" s="20">
        <v>199.27844464841613</v>
      </c>
      <c r="G29" s="20">
        <v>215.60362223278977</v>
      </c>
    </row>
    <row r="30" spans="3:7" x14ac:dyDescent="0.2">
      <c r="C30" s="31"/>
      <c r="D30" s="32"/>
      <c r="E30" s="32"/>
      <c r="F30" s="32"/>
      <c r="G30" s="33"/>
    </row>
    <row r="31" spans="3:7" x14ac:dyDescent="0.2">
      <c r="C31" s="1" t="s">
        <v>80</v>
      </c>
      <c r="D31" s="1"/>
      <c r="E31" s="18">
        <v>-165</v>
      </c>
      <c r="F31" s="18">
        <v>-217.79999999999998</v>
      </c>
      <c r="G31" s="18">
        <v>-239.57999999999998</v>
      </c>
    </row>
    <row r="32" spans="3:7" x14ac:dyDescent="0.2">
      <c r="C32" s="1" t="s">
        <v>81</v>
      </c>
      <c r="D32" s="1"/>
      <c r="E32" s="18">
        <v>0</v>
      </c>
      <c r="F32" s="18">
        <v>0</v>
      </c>
      <c r="G32" s="18">
        <v>0</v>
      </c>
    </row>
    <row r="33" spans="3:7" x14ac:dyDescent="0.2">
      <c r="C33" s="1" t="s">
        <v>82</v>
      </c>
      <c r="D33" s="1"/>
      <c r="E33" s="18">
        <v>0</v>
      </c>
      <c r="F33" s="18">
        <v>0</v>
      </c>
      <c r="G33" s="18">
        <v>0</v>
      </c>
    </row>
    <row r="34" spans="3:7" x14ac:dyDescent="0.2">
      <c r="C34" s="1" t="s">
        <v>83</v>
      </c>
      <c r="D34" s="1"/>
      <c r="E34" s="18">
        <v>-0.99000000000000199</v>
      </c>
      <c r="F34" s="18">
        <v>-1.0197000000000003</v>
      </c>
      <c r="G34" s="18">
        <v>-1.0502910000000014</v>
      </c>
    </row>
    <row r="35" spans="3:7" x14ac:dyDescent="0.2">
      <c r="C35" s="1" t="s">
        <v>84</v>
      </c>
      <c r="D35" s="1"/>
      <c r="E35" s="18">
        <v>4</v>
      </c>
      <c r="F35" s="18">
        <v>0</v>
      </c>
      <c r="G35" s="18">
        <v>0</v>
      </c>
    </row>
    <row r="36" spans="3:7" x14ac:dyDescent="0.2">
      <c r="C36" s="1" t="s">
        <v>85</v>
      </c>
      <c r="D36" s="1"/>
      <c r="E36" s="18">
        <v>0</v>
      </c>
      <c r="F36" s="18">
        <v>0</v>
      </c>
      <c r="G36" s="18">
        <v>0</v>
      </c>
    </row>
    <row r="37" spans="3:7" ht="16" x14ac:dyDescent="0.2">
      <c r="C37" s="2" t="s">
        <v>86</v>
      </c>
      <c r="D37" s="1"/>
      <c r="E37" s="18">
        <v>-161.99</v>
      </c>
      <c r="F37" s="18">
        <v>-218.81969999999998</v>
      </c>
      <c r="G37" s="18">
        <v>-240.630291</v>
      </c>
    </row>
    <row r="38" spans="3:7" ht="16" x14ac:dyDescent="0.2">
      <c r="C38" s="35"/>
      <c r="D38" s="36"/>
      <c r="E38" s="36"/>
      <c r="F38" s="36"/>
      <c r="G38" s="37"/>
    </row>
    <row r="39" spans="3:7" x14ac:dyDescent="0.2">
      <c r="C39" s="1" t="s">
        <v>87</v>
      </c>
      <c r="D39" s="1"/>
      <c r="E39" s="18">
        <v>0</v>
      </c>
      <c r="F39" s="18">
        <v>0</v>
      </c>
      <c r="G39" s="18">
        <v>0</v>
      </c>
    </row>
    <row r="40" spans="3:7" x14ac:dyDescent="0.2">
      <c r="C40" s="1" t="s">
        <v>88</v>
      </c>
      <c r="D40" s="1"/>
      <c r="E40" s="18">
        <v>0</v>
      </c>
      <c r="F40" s="18">
        <v>0</v>
      </c>
      <c r="G40" s="18">
        <v>0</v>
      </c>
    </row>
    <row r="41" spans="3:7" x14ac:dyDescent="0.2">
      <c r="C41" s="1" t="s">
        <v>89</v>
      </c>
      <c r="D41" s="1"/>
      <c r="E41" s="18">
        <v>0</v>
      </c>
      <c r="F41" s="18">
        <v>0</v>
      </c>
      <c r="G41" s="18">
        <v>0</v>
      </c>
    </row>
    <row r="42" spans="3:7" x14ac:dyDescent="0.2">
      <c r="C42" s="1" t="s">
        <v>90</v>
      </c>
      <c r="D42" s="1"/>
      <c r="E42" s="18">
        <v>0</v>
      </c>
      <c r="F42" s="18">
        <v>0</v>
      </c>
      <c r="G42" s="18">
        <v>0</v>
      </c>
    </row>
    <row r="43" spans="3:7" x14ac:dyDescent="0.2">
      <c r="C43" s="1" t="s">
        <v>91</v>
      </c>
      <c r="D43" s="1"/>
      <c r="E43" s="18">
        <v>0</v>
      </c>
      <c r="F43" s="18">
        <v>0</v>
      </c>
      <c r="G43" s="18">
        <v>0</v>
      </c>
    </row>
    <row r="44" spans="3:7" x14ac:dyDescent="0.2">
      <c r="C44" s="1" t="s">
        <v>27</v>
      </c>
      <c r="D44" s="1"/>
      <c r="E44" s="18">
        <v>-6</v>
      </c>
      <c r="F44" s="18">
        <v>-6</v>
      </c>
      <c r="G44" s="18">
        <v>-6</v>
      </c>
    </row>
    <row r="45" spans="3:7" x14ac:dyDescent="0.2">
      <c r="C45" s="1" t="s">
        <v>29</v>
      </c>
      <c r="D45" s="1"/>
      <c r="E45" s="18">
        <v>-9.8523587500000005</v>
      </c>
      <c r="F45" s="18">
        <v>-11.555167478540238</v>
      </c>
      <c r="G45" s="18">
        <v>-12.827030839717336</v>
      </c>
    </row>
    <row r="46" spans="3:7" x14ac:dyDescent="0.2">
      <c r="C46" s="1" t="s">
        <v>92</v>
      </c>
      <c r="D46" s="1"/>
      <c r="E46" s="18">
        <v>0</v>
      </c>
      <c r="F46" s="18">
        <v>0</v>
      </c>
      <c r="G46" s="18">
        <v>0</v>
      </c>
    </row>
    <row r="47" spans="3:7" x14ac:dyDescent="0.2">
      <c r="C47" s="1" t="s">
        <v>93</v>
      </c>
      <c r="D47" s="1"/>
      <c r="E47" s="18">
        <v>100</v>
      </c>
      <c r="F47" s="18">
        <v>0</v>
      </c>
      <c r="G47" s="18">
        <v>0</v>
      </c>
    </row>
    <row r="48" spans="3:7" x14ac:dyDescent="0.2">
      <c r="C48" s="1" t="s">
        <v>94</v>
      </c>
      <c r="D48" s="1"/>
      <c r="E48" s="18">
        <v>0</v>
      </c>
      <c r="F48" s="18">
        <v>0</v>
      </c>
      <c r="G48" s="18">
        <v>0</v>
      </c>
    </row>
    <row r="49" spans="3:7" x14ac:dyDescent="0.2">
      <c r="C49" s="1" t="s">
        <v>95</v>
      </c>
      <c r="D49" s="1"/>
      <c r="E49" s="18">
        <v>1.2000000000000011</v>
      </c>
      <c r="F49" s="18">
        <v>1.3199999999999985</v>
      </c>
      <c r="G49" s="18">
        <v>1.452</v>
      </c>
    </row>
    <row r="50" spans="3:7" ht="16" x14ac:dyDescent="0.2">
      <c r="C50" s="2" t="s">
        <v>96</v>
      </c>
      <c r="D50" s="1"/>
      <c r="E50" s="18">
        <v>85.347641249999995</v>
      </c>
      <c r="F50" s="18">
        <v>-16.235167478540241</v>
      </c>
      <c r="G50" s="18">
        <v>-17.37503083971734</v>
      </c>
    </row>
    <row r="51" spans="3:7" x14ac:dyDescent="0.2">
      <c r="C51" s="31"/>
      <c r="D51" s="32"/>
      <c r="E51" s="32"/>
      <c r="F51" s="32"/>
      <c r="G51" s="33"/>
    </row>
    <row r="52" spans="3:7" ht="16" x14ac:dyDescent="0.2">
      <c r="C52" s="2" t="s">
        <v>97</v>
      </c>
      <c r="D52" s="1"/>
      <c r="E52" s="18">
        <v>99.256297243150627</v>
      </c>
      <c r="F52" s="18">
        <v>-35.776422830124098</v>
      </c>
      <c r="G52" s="18">
        <v>-42.401699606927565</v>
      </c>
    </row>
  </sheetData>
  <mergeCells count="7">
    <mergeCell ref="C1:G5"/>
    <mergeCell ref="C51:G51"/>
    <mergeCell ref="C38:G38"/>
    <mergeCell ref="C30:G30"/>
    <mergeCell ref="C25:G25"/>
    <mergeCell ref="C17:G17"/>
    <mergeCell ref="C9:G9"/>
  </mergeCells>
  <phoneticPr fontId="7" type="noConversion"/>
  <pageMargins left="0.51" right="0.51" top="0.79000000000000015" bottom="0.79000000000000015" header="0.31" footer="0.31"/>
  <pageSetup paperSize="9" scale="88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Bar-BALANCE SHEET</vt:lpstr>
      <vt:lpstr>How published</vt:lpstr>
      <vt:lpstr>CASH FLOW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Graciliano Luz</dc:creator>
  <cp:lastModifiedBy>Microsoft Office User</cp:lastModifiedBy>
  <cp:lastPrinted>2015-05-14T16:41:42Z</cp:lastPrinted>
  <dcterms:created xsi:type="dcterms:W3CDTF">2014-11-01T14:35:04Z</dcterms:created>
  <dcterms:modified xsi:type="dcterms:W3CDTF">2017-05-06T15:47:23Z</dcterms:modified>
</cp:coreProperties>
</file>