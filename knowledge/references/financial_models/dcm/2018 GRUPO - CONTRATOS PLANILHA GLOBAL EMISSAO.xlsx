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W:\0 RELATORIOS\FATURAMENTO REALIZADO 2010 A 2020\2018\RELATORIO POR EMISSAO\"/>
    </mc:Choice>
  </mc:AlternateContent>
  <bookViews>
    <workbookView xWindow="240" yWindow="420" windowWidth="20610" windowHeight="9495" tabRatio="741" firstSheet="1" activeTab="1"/>
  </bookViews>
  <sheets>
    <sheet name="ANALISE GERAL" sheetId="11" state="hidden" r:id="rId1"/>
    <sheet name="FATURAMENTO GERAL 2018" sheetId="1" r:id="rId2"/>
    <sheet name="COM DADOS BANCARIOS" sheetId="14" r:id="rId3"/>
    <sheet name="Plan1" sheetId="12" state="hidden" r:id="rId4"/>
    <sheet name="Plan2" sheetId="13" state="hidden" r:id="rId5"/>
    <sheet name="Plan5" sheetId="17" r:id="rId6"/>
    <sheet name="Plan6" sheetId="18" r:id="rId7"/>
  </sheets>
  <definedNames>
    <definedName name="_xlnm._FilterDatabase" localSheetId="2" hidden="1">'COM DADOS BANCARIOS'!$B$6:$K$33</definedName>
    <definedName name="_xlnm._FilterDatabase" localSheetId="1" hidden="1">'FATURAMENTO GERAL 2018'!$B$7:$U$48</definedName>
    <definedName name="_xlnm._FilterDatabase" localSheetId="3" hidden="1">Plan1!$E$8:$I$155</definedName>
    <definedName name="_xlnm._FilterDatabase" localSheetId="5" hidden="1">Plan5!$H$4:$N$79</definedName>
    <definedName name="_xlnm.Print_Area" localSheetId="1">'FATURAMENTO GERAL 2018'!$A$1:$U$55</definedName>
    <definedName name="_xlnm.Print_Area" localSheetId="4">Plan2!$E$6:$K$33</definedName>
    <definedName name="_xlnm.Print_Titles" localSheetId="1">'FATURAMENTO GERAL 2018'!$1:$4</definedName>
  </definedNames>
  <calcPr calcId="162913"/>
  <pivotCaches>
    <pivotCache cacheId="6" r:id="rId8"/>
    <pivotCache cacheId="7" r:id="rId9"/>
  </pivotCaches>
</workbook>
</file>

<file path=xl/calcChain.xml><?xml version="1.0" encoding="utf-8"?>
<calcChain xmlns="http://schemas.openxmlformats.org/spreadsheetml/2006/main">
  <c r="U54" i="1" l="1"/>
  <c r="U43" i="1"/>
  <c r="S48" i="1"/>
  <c r="R48" i="1"/>
  <c r="Q48" i="1"/>
  <c r="P48" i="1"/>
  <c r="O48" i="1"/>
  <c r="L48" i="1"/>
  <c r="K48" i="1"/>
  <c r="J48" i="1"/>
  <c r="I48" i="1"/>
  <c r="U47" i="1" l="1"/>
  <c r="T46" i="1"/>
  <c r="U46" i="1" s="1"/>
  <c r="T45" i="1"/>
  <c r="S57" i="1"/>
  <c r="L61" i="1"/>
  <c r="K61" i="1"/>
  <c r="J61" i="1"/>
  <c r="I61" i="1"/>
  <c r="T54" i="1"/>
  <c r="S54" i="1"/>
  <c r="R54" i="1"/>
  <c r="Q54" i="1"/>
  <c r="P54" i="1"/>
  <c r="O54" i="1"/>
  <c r="L54" i="1"/>
  <c r="K54" i="1"/>
  <c r="J54" i="1"/>
  <c r="I54" i="1"/>
  <c r="U44" i="1"/>
  <c r="U42" i="1"/>
  <c r="U41" i="1"/>
  <c r="U40" i="1"/>
  <c r="U39" i="1"/>
  <c r="U38" i="1"/>
  <c r="U37" i="1"/>
  <c r="U36" i="1"/>
  <c r="U35" i="1"/>
  <c r="U34" i="1"/>
  <c r="U31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T61" i="1"/>
  <c r="T60" i="1"/>
  <c r="T58" i="1"/>
  <c r="T47" i="1"/>
  <c r="T57" i="1" s="1"/>
  <c r="S61" i="1"/>
  <c r="S60" i="1"/>
  <c r="S59" i="1"/>
  <c r="S58" i="1"/>
  <c r="S53" i="1"/>
  <c r="B8" i="14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F33" i="14"/>
  <c r="F17" i="14"/>
  <c r="F9" i="14"/>
  <c r="E9" i="14"/>
  <c r="E34" i="14" s="1"/>
  <c r="H30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L8" i="11"/>
  <c r="L9" i="11" s="1"/>
  <c r="N33" i="1"/>
  <c r="U33" i="1" s="1"/>
  <c r="N32" i="1"/>
  <c r="M32" i="1"/>
  <c r="R61" i="1"/>
  <c r="Q61" i="1"/>
  <c r="R60" i="1"/>
  <c r="Q60" i="1"/>
  <c r="R59" i="1"/>
  <c r="Q59" i="1"/>
  <c r="R58" i="1"/>
  <c r="Q58" i="1"/>
  <c r="Q57" i="1"/>
  <c r="R53" i="1"/>
  <c r="Q53" i="1"/>
  <c r="Q52" i="1"/>
  <c r="P61" i="1"/>
  <c r="O61" i="1"/>
  <c r="P60" i="1"/>
  <c r="P59" i="1"/>
  <c r="P58" i="1"/>
  <c r="P57" i="1"/>
  <c r="P53" i="1"/>
  <c r="P52" i="1"/>
  <c r="B9" i="1"/>
  <c r="B10" i="1" s="1"/>
  <c r="B11" i="1" s="1"/>
  <c r="B12" i="1" s="1"/>
  <c r="B13" i="1" s="1"/>
  <c r="L57" i="1"/>
  <c r="I11" i="11" s="1"/>
  <c r="M57" i="1"/>
  <c r="J11" i="11" s="1"/>
  <c r="N57" i="1"/>
  <c r="K11" i="11" s="1"/>
  <c r="O57" i="1"/>
  <c r="L11" i="11" s="1"/>
  <c r="L58" i="1"/>
  <c r="I12" i="11" s="1"/>
  <c r="M58" i="1"/>
  <c r="J12" i="11" s="1"/>
  <c r="N58" i="1"/>
  <c r="K12" i="11" s="1"/>
  <c r="O58" i="1"/>
  <c r="L12" i="11" s="1"/>
  <c r="L59" i="1"/>
  <c r="I13" i="11" s="1"/>
  <c r="M59" i="1"/>
  <c r="J13" i="11" s="1"/>
  <c r="O59" i="1"/>
  <c r="L13" i="11" s="1"/>
  <c r="L60" i="1"/>
  <c r="I14" i="11" s="1"/>
  <c r="M60" i="1"/>
  <c r="J14" i="11" s="1"/>
  <c r="N60" i="1"/>
  <c r="K14" i="11" s="1"/>
  <c r="O60" i="1"/>
  <c r="L14" i="11" s="1"/>
  <c r="I8" i="11"/>
  <c r="I9" i="11" s="1"/>
  <c r="O53" i="1"/>
  <c r="N53" i="1"/>
  <c r="M53" i="1"/>
  <c r="L53" i="1"/>
  <c r="K53" i="1"/>
  <c r="J53" i="1"/>
  <c r="O52" i="1"/>
  <c r="L52" i="1"/>
  <c r="K52" i="1"/>
  <c r="J52" i="1"/>
  <c r="F8" i="11"/>
  <c r="H8" i="1"/>
  <c r="K60" i="1"/>
  <c r="H14" i="11" s="1"/>
  <c r="J60" i="1"/>
  <c r="G14" i="11" s="1"/>
  <c r="I60" i="1"/>
  <c r="F14" i="11" s="1"/>
  <c r="I57" i="1"/>
  <c r="F11" i="11" s="1"/>
  <c r="I58" i="1"/>
  <c r="I52" i="1"/>
  <c r="I53" i="1"/>
  <c r="M52" i="1" l="1"/>
  <c r="M48" i="1"/>
  <c r="F34" i="14"/>
  <c r="T52" i="1"/>
  <c r="T48" i="1"/>
  <c r="N61" i="1"/>
  <c r="N48" i="1"/>
  <c r="O55" i="1"/>
  <c r="M61" i="1"/>
  <c r="M62" i="1" s="1"/>
  <c r="N54" i="1"/>
  <c r="M54" i="1"/>
  <c r="U45" i="1"/>
  <c r="P55" i="1"/>
  <c r="U32" i="1"/>
  <c r="T53" i="1"/>
  <c r="U53" i="1" s="1"/>
  <c r="T59" i="1"/>
  <c r="T62" i="1" s="1"/>
  <c r="S52" i="1"/>
  <c r="S55" i="1" s="1"/>
  <c r="U30" i="1"/>
  <c r="R52" i="1"/>
  <c r="R55" i="1" s="1"/>
  <c r="R57" i="1"/>
  <c r="R62" i="1" s="1"/>
  <c r="P62" i="1"/>
  <c r="Q55" i="1"/>
  <c r="Q62" i="1"/>
  <c r="S62" i="1"/>
  <c r="O62" i="1"/>
  <c r="U60" i="1"/>
  <c r="J8" i="11"/>
  <c r="J9" i="11" s="1"/>
  <c r="K8" i="11"/>
  <c r="K9" i="11" s="1"/>
  <c r="N59" i="1"/>
  <c r="N52" i="1"/>
  <c r="L62" i="1"/>
  <c r="B14" i="1"/>
  <c r="J55" i="1"/>
  <c r="J15" i="11"/>
  <c r="I15" i="11"/>
  <c r="K55" i="1"/>
  <c r="L15" i="11"/>
  <c r="L55" i="1"/>
  <c r="M14" i="11"/>
  <c r="I55" i="1"/>
  <c r="M55" i="1" l="1"/>
  <c r="U61" i="1"/>
  <c r="U48" i="1"/>
  <c r="N55" i="1"/>
  <c r="T55" i="1"/>
  <c r="K13" i="11"/>
  <c r="K15" i="11" s="1"/>
  <c r="N62" i="1"/>
  <c r="U52" i="1"/>
  <c r="U55" i="1" l="1"/>
  <c r="F9" i="11"/>
  <c r="H8" i="11"/>
  <c r="G8" i="11"/>
  <c r="H9" i="11" l="1"/>
  <c r="H9" i="1"/>
  <c r="H47" i="1"/>
  <c r="M8" i="11" l="1"/>
  <c r="G9" i="11"/>
  <c r="M9" i="11" s="1"/>
  <c r="K59" i="1" l="1"/>
  <c r="H13" i="11" s="1"/>
  <c r="K58" i="1"/>
  <c r="H12" i="11" s="1"/>
  <c r="K57" i="1" l="1"/>
  <c r="H11" i="11" l="1"/>
  <c r="H15" i="11" s="1"/>
  <c r="K62" i="1"/>
  <c r="J59" i="1"/>
  <c r="G13" i="11" s="1"/>
  <c r="J58" i="1" l="1"/>
  <c r="U58" i="1" s="1"/>
  <c r="G12" i="11" l="1"/>
  <c r="J57" i="1"/>
  <c r="U57" i="1" s="1"/>
  <c r="J62" i="1" l="1"/>
  <c r="G11" i="11"/>
  <c r="G15" i="11" s="1"/>
  <c r="M11" i="11" l="1"/>
  <c r="F12" i="11" l="1"/>
  <c r="I59" i="1"/>
  <c r="U59" i="1" s="1"/>
  <c r="M12" i="11" l="1"/>
  <c r="I62" i="1"/>
  <c r="U62" i="1" s="1"/>
  <c r="F13" i="11"/>
  <c r="M13" i="11" s="1"/>
  <c r="F15" i="11" l="1"/>
  <c r="M15" i="11" s="1"/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l="1"/>
  <c r="B41" i="1" s="1"/>
  <c r="B42" i="1" s="1"/>
  <c r="B43" i="1" s="1"/>
  <c r="B44" i="1" s="1"/>
  <c r="B45" i="1" s="1"/>
  <c r="B46" i="1" s="1"/>
  <c r="B47" i="1" s="1"/>
  <c r="B20" i="14" l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</calcChain>
</file>

<file path=xl/sharedStrings.xml><?xml version="1.0" encoding="utf-8"?>
<sst xmlns="http://schemas.openxmlformats.org/spreadsheetml/2006/main" count="1062" uniqueCount="179">
  <si>
    <t>DIAF - FATURAMENTO</t>
  </si>
  <si>
    <t>ITEM</t>
  </si>
  <si>
    <t>CLIENTE</t>
  </si>
  <si>
    <t>TIPO CONTRATO</t>
  </si>
  <si>
    <t>OBJETO</t>
  </si>
  <si>
    <t>FILIAL</t>
  </si>
  <si>
    <t xml:space="preserve">JANEIRO </t>
  </si>
  <si>
    <t>TOTAL</t>
  </si>
  <si>
    <t>PRIVADO</t>
  </si>
  <si>
    <t>MG</t>
  </si>
  <si>
    <t>SP</t>
  </si>
  <si>
    <t>PATRIMONIAL</t>
  </si>
  <si>
    <t>MINAS GERAIS</t>
  </si>
  <si>
    <t>UBERLÂNDIA</t>
  </si>
  <si>
    <t xml:space="preserve">SÃO PAULO </t>
  </si>
  <si>
    <t>MAGAZINE LUIZA</t>
  </si>
  <si>
    <t>APURAÇÃO DE FATURAMENTO - POR COMPETÊNCIA</t>
  </si>
  <si>
    <t>FEVEREIRO</t>
  </si>
  <si>
    <t>MARÇO</t>
  </si>
  <si>
    <t>DUFRY LOJAS FRANCAS LTDA</t>
  </si>
  <si>
    <t>OBJETO - ESTADO</t>
  </si>
  <si>
    <t>CONDOMINIO EDIFICIO CITTA GIARDINO</t>
  </si>
  <si>
    <t>CONDOMINIO EMPRESARIAL SERRA SUL</t>
  </si>
  <si>
    <t>CONDOMINIO MINASCASA O SHOPPING DO LAR</t>
  </si>
  <si>
    <t xml:space="preserve">EMPRESA DE TRANSPORTES ATLAS LTDA </t>
  </si>
  <si>
    <t>FEDEX BRASIL LOGISTICA E TRANSPORTE LTDA</t>
  </si>
  <si>
    <t>FEMSA - ATLAS E EXPRESSO JUNDIAI</t>
  </si>
  <si>
    <t>FUNDACAO FIAT SAUDE E BEM ESTAR</t>
  </si>
  <si>
    <t xml:space="preserve">GROWN OPTICAL LTDA </t>
  </si>
  <si>
    <t>INDUSTRIA &amp; COMERCIO DE EXPLOSIVOS NITROSUL LTDA - ME</t>
  </si>
  <si>
    <t>MATE COURO S A</t>
  </si>
  <si>
    <t>PROCOMP INDUSTRIA ELETRÔNICA</t>
  </si>
  <si>
    <t>PUR  EQUIPAMENTOS INDUSTRIAIS KTDA</t>
  </si>
  <si>
    <t>SPE INOVA BH S/A</t>
  </si>
  <si>
    <t>TELEMONT ENGENHARIA E TELECOMUNCAÇOES LTDA</t>
  </si>
  <si>
    <t>TNT MERCURIO CARGAS E ENCOMENDAS EXPRESSAS S/A</t>
  </si>
  <si>
    <t>VIA VAREJO S/A</t>
  </si>
  <si>
    <t>JHSF - CAPRI ADMINISTRADORA DE BENS LTDA</t>
  </si>
  <si>
    <t>CBRE - CONDOMINIO EDIFICIO AURELIANO CHAVES</t>
  </si>
  <si>
    <t>PORTARIA</t>
  </si>
  <si>
    <t>GRUPO ESQUADRA ADMINISTRACAO &amp; ASSESSORIA EMPRESARIAL LTDA</t>
  </si>
  <si>
    <t>01.01.004</t>
  </si>
  <si>
    <t>01.01.001</t>
  </si>
  <si>
    <t>PUR - EQUIPAMENTOS INDUSTRIAIS KTDA</t>
  </si>
  <si>
    <t>AVEIRO INCORPORACOES LTDA</t>
  </si>
  <si>
    <t>CAPRI ADMINISTRADORA DE BENS LTDA</t>
  </si>
  <si>
    <t>CONDOMINIO EDIFICIO AURELIANO CHAVES</t>
  </si>
  <si>
    <t>MAGAZINE LUIZA S/A</t>
  </si>
  <si>
    <t>LUFT TRANSPORTES RODOVIARIOS E ARMAZENS GERAIS LTDA</t>
  </si>
  <si>
    <t>MINAS TEXTEIS - FABRICACAO DE PECAS E PARTES AUTOMOTIVAS LTDA</t>
  </si>
  <si>
    <t>COMPETENCIA</t>
  </si>
  <si>
    <t>SERVIÇO</t>
  </si>
  <si>
    <t>VR</t>
  </si>
  <si>
    <t>Rótulos de Linha</t>
  </si>
  <si>
    <t>Total geral</t>
  </si>
  <si>
    <t>Rótulos de Coluna</t>
  </si>
  <si>
    <t>Soma de VR</t>
  </si>
  <si>
    <t>FL BRASIL HOLDING, LOGISTICA E TRANSPORTE LTDA.</t>
  </si>
  <si>
    <t>GLOBO COMUNICACAO E PARTICIPACOES S/A</t>
  </si>
  <si>
    <t>MINAS ARENA - GESTAO DE INSTALACOES ESPORTIVAS S.A.</t>
  </si>
  <si>
    <t>MIX TUDO COMERCIO E SERVICOS EIRELI - ME</t>
  </si>
  <si>
    <t>EMISSAO</t>
  </si>
  <si>
    <t>LUFT TRANSPORTS RODOVIARIOS E ARMAZENS GERAIS LTDA</t>
  </si>
  <si>
    <t xml:space="preserve">MINAS TEXTEIS LTDA - AUTONEUM BRASIL </t>
  </si>
  <si>
    <t>TV GLOBO COMUNICAÇÃO E PARTICIPAÇÃOES S/A</t>
  </si>
  <si>
    <t>BRIGADISTA</t>
  </si>
  <si>
    <t>MINAS ARENA</t>
  </si>
  <si>
    <t>COLIBRI FESTAS - MIX TUDO COMERCIO E SERVIÇOS EIRELLI</t>
  </si>
  <si>
    <t>ES</t>
  </si>
  <si>
    <t>ESPIRITO SANTO</t>
  </si>
  <si>
    <t>ABRIL</t>
  </si>
  <si>
    <t>MAIO</t>
  </si>
  <si>
    <t>JUNHO</t>
  </si>
  <si>
    <t>JULHO</t>
  </si>
  <si>
    <t>CRUZEIRO ESPORTE CLUBE</t>
  </si>
  <si>
    <t xml:space="preserve">CONDOMINIO DO CENTRO COMERCIAL PORTAL NOVA LIMA </t>
  </si>
  <si>
    <t xml:space="preserve">APERAM INOX AMERICA DO SUL S.A </t>
  </si>
  <si>
    <t>AGOSTO</t>
  </si>
  <si>
    <t>NATURA</t>
  </si>
  <si>
    <t>MOTOLINK</t>
  </si>
  <si>
    <t xml:space="preserve">GPA - COMPANHIA BRASILEIRA DE DISTRIBUICAO </t>
  </si>
  <si>
    <t>RJ</t>
  </si>
  <si>
    <t>RIO DE JANEIRO</t>
  </si>
  <si>
    <t>SETEMBRO</t>
  </si>
  <si>
    <t>SICOOB NOSSACOOP - Mariana</t>
  </si>
  <si>
    <t>SICOOB NOSSACOOP - Ibirite</t>
  </si>
  <si>
    <t>SICOOB NOSSACOOP - Olegario Maciel</t>
  </si>
  <si>
    <t>SICOOB NOSSACOOP - Barbacena</t>
  </si>
  <si>
    <t>SICOOB NOSSACOOP - São Joao del rei</t>
  </si>
  <si>
    <t>JHSF - AVEIRO INCORPORACOES LTDA/SHOPPING CIDADE JARDIM</t>
  </si>
  <si>
    <t>SICOOB NOSSACOOP - São José da Lapa</t>
  </si>
  <si>
    <t>OUTUBRO</t>
  </si>
  <si>
    <t>MRS LOGISTICA S.A</t>
  </si>
  <si>
    <t>FORMA DE PAGAMENTO</t>
  </si>
  <si>
    <t>ESQUADRA TECH - SEGURANCA ELETRONICA &amp; SERVICOS ESPECIALIZADOS LTDA.</t>
  </si>
  <si>
    <t>ANALISE DE CONTRATO X FATURAMENTO</t>
  </si>
  <si>
    <t>FAT - BRUTO
JUNHO/18</t>
  </si>
  <si>
    <t xml:space="preserve">FAT - LIQUIDO </t>
  </si>
  <si>
    <t>LOCAL DE PAGAMENTO</t>
  </si>
  <si>
    <t>COMPETÊNCIA</t>
  </si>
  <si>
    <t xml:space="preserve">EMISSAO </t>
  </si>
  <si>
    <t>VENCIMENTO</t>
  </si>
  <si>
    <t xml:space="preserve">BOLETO </t>
  </si>
  <si>
    <t>ITAU</t>
  </si>
  <si>
    <t>MÊS VIGENTE</t>
  </si>
  <si>
    <t>1º DIA UTIL</t>
  </si>
  <si>
    <t>5º DIA UTIL SUBSEQUENTE</t>
  </si>
  <si>
    <t>DIA 07</t>
  </si>
  <si>
    <t>45 DIAS APÓS A EMISSÃO</t>
  </si>
  <si>
    <t>MÊS ANTERIOR</t>
  </si>
  <si>
    <t>DIA 25</t>
  </si>
  <si>
    <t>CREDITO EM CONTA</t>
  </si>
  <si>
    <t>DIA 20 DO MÊS DA EMISSÃO</t>
  </si>
  <si>
    <t>3º DIA UTIL</t>
  </si>
  <si>
    <t xml:space="preserve">60 DIAS APÓS A EMISSAO </t>
  </si>
  <si>
    <t xml:space="preserve">30 DIAS APÓS A EMISSAO </t>
  </si>
  <si>
    <t>DIA 12 MÊS SUBSEQUENTE</t>
  </si>
  <si>
    <t>DIA 28</t>
  </si>
  <si>
    <t xml:space="preserve">DIA 05 </t>
  </si>
  <si>
    <t>GROWN OPTICAL LTDA  - LIMPEZA</t>
  </si>
  <si>
    <t>DIA 18</t>
  </si>
  <si>
    <t>DIA 10</t>
  </si>
  <si>
    <t>DIA 05 DO MÊS SUBSEQUENTE</t>
  </si>
  <si>
    <t>DIA 21</t>
  </si>
  <si>
    <t>NOVEMBRO</t>
  </si>
  <si>
    <t>DEZEMBRO</t>
  </si>
  <si>
    <t>Portaria</t>
  </si>
  <si>
    <t>SICOOB NOSSACOOP</t>
  </si>
  <si>
    <t>GLOBOPAR, TV GLOBO, REDE GLOBO E GLOBO.COM</t>
  </si>
  <si>
    <t>MRS LOGÍSTICA S.A.</t>
  </si>
  <si>
    <t xml:space="preserve">VIA VAREJO S/A </t>
  </si>
  <si>
    <t>MINAS TEXTEIS</t>
  </si>
  <si>
    <t>CONDOMINIO EDIFICIO CITTA GIARDINO - Portaria</t>
  </si>
  <si>
    <t>CONDOMÍNIO EMPRESARIAL SERRA SUL</t>
  </si>
  <si>
    <t>PROCOMP INDUSTRIA ELETRONICA</t>
  </si>
  <si>
    <t>SICOOB NOSSACOOP - Sao Jose da Lapa</t>
  </si>
  <si>
    <t>VIA VAREJO - PA 01</t>
  </si>
  <si>
    <t>SICOOB NOSSACOOP - Sicoob</t>
  </si>
  <si>
    <t>MATE COURO S.A (PORTARIA)</t>
  </si>
  <si>
    <t>GPA - GRUPO PAO DE ACUCAR - Unidade Galeao</t>
  </si>
  <si>
    <t>GPA - GRUPO PAO DE ACUCAR - Unidade Campos dos Goytacazes</t>
  </si>
  <si>
    <t>GPA - GRUPO PAO DE ACUCAR - Unidade Iraja</t>
  </si>
  <si>
    <t>MIX TUDO COMÉRCIO E SERVIÇOS EIRELI - ME</t>
  </si>
  <si>
    <t>DUFRY FREE - Aeroporto Guarulhos</t>
  </si>
  <si>
    <t>MAGAZINE LUIZA S/A - JUNDIAI - BARAO DE JUNDIAI, 847</t>
  </si>
  <si>
    <t>MAGAZINE LUIZA S/A - CONTAGEM - JOAO CESAR DE OL, 3127</t>
  </si>
  <si>
    <t>MAGAZINE LUIZA S/A - PEDRO LEOPOLDO - COM ANT ALVES, 507</t>
  </si>
  <si>
    <t>MAGAZINE LUIZA S/A - GUARATINGUETA - JOSE BONIFACIO, 34</t>
  </si>
  <si>
    <t>MAGAZINE LUIZA S/A - CONTAGEM - TIRADENTES, 2671</t>
  </si>
  <si>
    <t>MAGAZINE LUIZA S/A - BH - CURITIBA, 569</t>
  </si>
  <si>
    <t>MAGAZINE LUIZA S/A - JAGUARIUNA - ALFREDO ENGLER, 198</t>
  </si>
  <si>
    <t>CAPRI ADMINISTRADORA DE BENS LTDA - JHSF</t>
  </si>
  <si>
    <t>PRIMORDIAL - Nova Lima</t>
  </si>
  <si>
    <t>PUR EQUIPAMENTOS INDUSTRIAIS - MG - PUR EQUIP.</t>
  </si>
  <si>
    <t xml:space="preserve"> SPE INOVA BH S.A. - MG</t>
  </si>
  <si>
    <t>INDUSTRIA E COMERCIO DE EXPLOSIVOS NITROSUL - Portaria</t>
  </si>
  <si>
    <t>CONDOMINIO MINASCASA O SHOPPING DO LAR - MG - Ipiranga - MG</t>
  </si>
  <si>
    <t>GROWN OPTICAL LTDA</t>
  </si>
  <si>
    <t>GROWN OPTICAL LTDA - Jardim Jaragua - SP</t>
  </si>
  <si>
    <t>ARCELOR MITTAL INOX DO BRASIL S/A</t>
  </si>
  <si>
    <t>GLOBO - PORTARIA E RECEPCAO</t>
  </si>
  <si>
    <t>GLOBO - BOMBEIRO CIVIL</t>
  </si>
  <si>
    <t>MRS LOGISTICA S/A - Antonio Carlos</t>
  </si>
  <si>
    <t>MRS LOGISTICA S/A - Belo Horizonte</t>
  </si>
  <si>
    <t>MRS LOGISTICA S/A - Conselheiro Lafaiete</t>
  </si>
  <si>
    <t>MRS LOGISTICA S/A - Carandai</t>
  </si>
  <si>
    <t>MRS LOGISTICA S/A - Bom Jardim</t>
  </si>
  <si>
    <t>MRS LOGISTICA S/A - Matias Barbosa</t>
  </si>
  <si>
    <t>MRS LOGISTICA S/A - Juiz de Fora</t>
  </si>
  <si>
    <t>NATURA COSMETICOS S/A - São Paulo</t>
  </si>
  <si>
    <t>MAGAZINE LUIZA S/A - SE / SAO PAULO - DIREITA, 231</t>
  </si>
  <si>
    <t>MIX TUDO COMERCIO E SERVIÇOS EIRELLI - COLIBRI FESTAS</t>
  </si>
  <si>
    <t>NATURA COSMETICOS S/A - Rio de Janeiro</t>
  </si>
  <si>
    <t>STS BRASIL FABRICAÇÃO DE AUTOPEÇAS LTDA</t>
  </si>
  <si>
    <t>VR B</t>
  </si>
  <si>
    <t>VR L</t>
  </si>
  <si>
    <t>CENTRO DE CUSTO</t>
  </si>
  <si>
    <t>GPA - GRUPO PAO DE ACUCAR</t>
  </si>
  <si>
    <t>Soma de VR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</si>
</sst>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([$€-2]* #,##0.00_);_([$€-2]* \(#,##0.00\);_([$€-2]* &quot;-&quot;??_)"/>
    <numFmt numFmtId="166" formatCode="_([$€-2]* #,##0.00_);_([$€-2]* \(#,##0.00\);_([$€-2]* \-??_)"/>
    <numFmt numFmtId="167" formatCode="&quot; R$ &quot;#,##0.00&quot; &quot;;&quot; R$ (&quot;#,##0.00&quot;)&quot;;&quot; R$ -&quot;#&quot; &quot;;@&quot; &quot;"/>
    <numFmt numFmtId="168" formatCode="[$-416]General"/>
    <numFmt numFmtId="169" formatCode="_(&quot;R$ &quot;* #,##0.00_);_(&quot;R$ &quot;* \(#,##0.00\);_(&quot;R$ &quot;* &quot;-&quot;??_);_(@_)"/>
    <numFmt numFmtId="170" formatCode="_(&quot;$&quot;* #,##0.00_);_(&quot;$&quot;* \(#,##0.00\);_(&quot;$&quot;* &quot;-&quot;??_);_(@_)"/>
    <numFmt numFmtId="171" formatCode="&quot;R$ &quot;#,##0.00_);\(&quot;R$ &quot;#,##0.00\)"/>
    <numFmt numFmtId="172" formatCode="&quot;R$ &quot;#,##0.00_);&quot;(R$ &quot;#,##0.00\)"/>
    <numFmt numFmtId="173" formatCode="dd/mm/yy\ hh:mm"/>
    <numFmt numFmtId="174" formatCode="_(&quot;R$&quot;* #,##0.00_);_(&quot;R$&quot;* \(#,##0.00\);_(&quot;R$&quot;* &quot;-&quot;??_);_(@_)"/>
    <numFmt numFmtId="175" formatCode="0.000"/>
    <numFmt numFmtId="176" formatCode="[$-F400]h:mm:ss\ AM/PM"/>
    <numFmt numFmtId="177" formatCode="_-&quot;R$ &quot;* #,##0.00_-;&quot;-R$ &quot;* #,##0.00_-;_-&quot;R$ &quot;* \-??_-;_-@_-"/>
    <numFmt numFmtId="178" formatCode="_(* #,##0.00_);_(* \(#,##0.00\);_(* &quot;-&quot;??_);_(@_)"/>
    <numFmt numFmtId="179" formatCode="_(* #,##0.00_);_(* \(#,##0.00\);_(* \-??_);_(@_)"/>
    <numFmt numFmtId="180" formatCode="#,##0.00\ ;&quot; (&quot;#,##0.00\);&quot; -&quot;#\ ;@\ "/>
    <numFmt numFmtId="181" formatCode="0.000%"/>
    <numFmt numFmtId="182" formatCode="[$-416]mmmm\-yy;@"/>
    <numFmt numFmtId="183" formatCode="_-[$R$-416]\ * #,##0.00_-;\-[$R$-416]\ * #,##0.00_-;_-[$R$-416]\ * &quot;-&quot;??_-;_-@_-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0"/>
      <color theme="1"/>
      <name val="Arial Unicode MS"/>
      <family val="2"/>
    </font>
    <font>
      <b/>
      <sz val="10"/>
      <name val="Arial Unicode MS"/>
      <family val="2"/>
    </font>
    <font>
      <sz val="10"/>
      <name val="Arial Unicode MS"/>
      <family val="2"/>
    </font>
    <font>
      <b/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204"/>
    </font>
    <font>
      <sz val="10"/>
      <name val="Mangal"/>
      <family val="2"/>
    </font>
    <font>
      <sz val="10"/>
      <color theme="1"/>
      <name val="Arial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.8"/>
      <color theme="10"/>
      <name val="Calibri"/>
      <family val="2"/>
    </font>
    <font>
      <u/>
      <sz val="9.9"/>
      <color theme="10"/>
      <name val="Calibri"/>
      <family val="2"/>
    </font>
    <font>
      <sz val="11"/>
      <color indexed="60"/>
      <name val="Calibri"/>
      <family val="2"/>
    </font>
    <font>
      <b/>
      <sz val="10"/>
      <name val="Arial"/>
      <family val="2"/>
    </font>
    <font>
      <sz val="8"/>
      <color theme="1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20"/>
      <color theme="1"/>
      <name val="Arial Unicode MS"/>
      <family val="2"/>
    </font>
    <font>
      <b/>
      <sz val="20"/>
      <color rgb="FFFF0000"/>
      <name val="Arial Unicode MS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3"/>
    </font>
  </fonts>
  <fills count="5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22"/>
        <bgColor indexed="4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6" fillId="0" borderId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6" borderId="0" applyNumberFormat="0" applyBorder="0" applyAlignment="0" applyProtection="0"/>
    <xf numFmtId="0" fontId="17" fillId="14" borderId="0" applyNumberFormat="0" applyBorder="0" applyAlignment="0" applyProtection="0"/>
    <xf numFmtId="0" fontId="17" fillId="7" borderId="0" applyNumberFormat="0" applyBorder="0" applyAlignment="0" applyProtection="0"/>
    <xf numFmtId="0" fontId="17" fillId="15" borderId="0" applyNumberFormat="0" applyBorder="0" applyAlignment="0" applyProtection="0"/>
    <xf numFmtId="0" fontId="17" fillId="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8" borderId="0" applyNumberFormat="0" applyBorder="0" applyAlignment="0" applyProtection="0"/>
    <xf numFmtId="0" fontId="17" fillId="20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0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5" borderId="0" applyNumberFormat="0" applyBorder="0" applyAlignment="0" applyProtection="0"/>
    <xf numFmtId="0" fontId="17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8" fillId="28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8" borderId="0" applyNumberFormat="0" applyBorder="0" applyAlignment="0" applyProtection="0"/>
    <xf numFmtId="0" fontId="18" fillId="25" borderId="0" applyNumberFormat="0" applyBorder="0" applyAlignment="0" applyProtection="0"/>
    <xf numFmtId="0" fontId="18" fillId="21" borderId="0" applyNumberFormat="0" applyBorder="0" applyAlignment="0" applyProtection="0"/>
    <xf numFmtId="0" fontId="18" fillId="26" borderId="0" applyNumberFormat="0" applyBorder="0" applyAlignment="0" applyProtection="0"/>
    <xf numFmtId="0" fontId="18" fillId="22" borderId="0" applyNumberFormat="0" applyBorder="0" applyAlignment="0" applyProtection="0"/>
    <xf numFmtId="0" fontId="18" fillId="33" borderId="0" applyNumberFormat="0" applyBorder="0" applyAlignment="0" applyProtection="0"/>
    <xf numFmtId="0" fontId="18" fillId="29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1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9" borderId="0" applyNumberFormat="0" applyBorder="0" applyAlignment="0" applyProtection="0"/>
    <xf numFmtId="0" fontId="19" fillId="6" borderId="0" applyNumberFormat="0" applyBorder="0" applyAlignment="0" applyProtection="0"/>
    <xf numFmtId="0" fontId="20" fillId="14" borderId="0" applyNumberFormat="0" applyBorder="0" applyAlignment="0" applyProtection="0"/>
    <xf numFmtId="0" fontId="20" fillId="7" borderId="0" applyNumberFormat="0" applyBorder="0" applyAlignment="0" applyProtection="0"/>
    <xf numFmtId="0" fontId="21" fillId="40" borderId="9" applyNumberFormat="0" applyAlignment="0" applyProtection="0"/>
    <xf numFmtId="0" fontId="21" fillId="41" borderId="9" applyNumberFormat="0" applyAlignment="0" applyProtection="0"/>
    <xf numFmtId="0" fontId="21" fillId="42" borderId="9" applyNumberFormat="0" applyAlignment="0" applyProtection="0"/>
    <xf numFmtId="0" fontId="22" fillId="43" borderId="10" applyNumberFormat="0" applyAlignment="0" applyProtection="0"/>
    <xf numFmtId="0" fontId="22" fillId="44" borderId="10" applyNumberFormat="0" applyAlignment="0" applyProtection="0"/>
    <xf numFmtId="0" fontId="23" fillId="0" borderId="11" applyNumberFormat="0" applyFill="0" applyAlignment="0" applyProtection="0"/>
    <xf numFmtId="0" fontId="22" fillId="44" borderId="10" applyNumberFormat="0" applyAlignment="0" applyProtection="0"/>
    <xf numFmtId="164" fontId="17" fillId="0" borderId="0" applyFill="0" applyBorder="0" applyAlignment="0" applyProtection="0"/>
    <xf numFmtId="0" fontId="18" fillId="45" borderId="0" applyNumberFormat="0" applyBorder="0" applyAlignment="0" applyProtection="0"/>
    <xf numFmtId="0" fontId="18" fillId="36" borderId="0" applyNumberFormat="0" applyBorder="0" applyAlignment="0" applyProtection="0"/>
    <xf numFmtId="0" fontId="18" fillId="46" borderId="0" applyNumberFormat="0" applyBorder="0" applyAlignment="0" applyProtection="0"/>
    <xf numFmtId="0" fontId="18" fillId="37" borderId="0" applyNumberFormat="0" applyBorder="0" applyAlignment="0" applyProtection="0"/>
    <xf numFmtId="0" fontId="18" fillId="47" borderId="0" applyNumberFormat="0" applyBorder="0" applyAlignment="0" applyProtection="0"/>
    <xf numFmtId="0" fontId="18" fillId="38" borderId="0" applyNumberFormat="0" applyBorder="0" applyAlignment="0" applyProtection="0"/>
    <xf numFmtId="0" fontId="18" fillId="33" borderId="0" applyNumberFormat="0" applyBorder="0" applyAlignment="0" applyProtection="0"/>
    <xf numFmtId="0" fontId="18" fillId="29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48" borderId="0" applyNumberFormat="0" applyBorder="0" applyAlignment="0" applyProtection="0"/>
    <xf numFmtId="0" fontId="18" fillId="39" borderId="0" applyNumberFormat="0" applyBorder="0" applyAlignment="0" applyProtection="0"/>
    <xf numFmtId="0" fontId="24" fillId="18" borderId="9" applyNumberFormat="0" applyAlignment="0" applyProtection="0"/>
    <xf numFmtId="0" fontId="24" fillId="19" borderId="9" applyNumberFormat="0" applyAlignment="0" applyProtection="0"/>
    <xf numFmtId="0" fontId="25" fillId="0" borderId="0"/>
    <xf numFmtId="165" fontId="12" fillId="0" borderId="0" applyFont="0" applyFill="0" applyBorder="0" applyAlignment="0" applyProtection="0"/>
    <xf numFmtId="166" fontId="26" fillId="0" borderId="0" applyFill="0" applyBorder="0" applyAlignment="0" applyProtection="0"/>
    <xf numFmtId="167" fontId="27" fillId="0" borderId="0"/>
    <xf numFmtId="168" fontId="28" fillId="0" borderId="0"/>
    <xf numFmtId="0" fontId="17" fillId="0" borderId="0"/>
    <xf numFmtId="0" fontId="17" fillId="0" borderId="0"/>
    <xf numFmtId="0" fontId="17" fillId="0" borderId="0"/>
    <xf numFmtId="168" fontId="28" fillId="0" borderId="0"/>
    <xf numFmtId="168" fontId="28" fillId="0" borderId="0"/>
    <xf numFmtId="0" fontId="17" fillId="0" borderId="0"/>
    <xf numFmtId="0" fontId="2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/>
    <xf numFmtId="0" fontId="19" fillId="6" borderId="0" applyNumberFormat="0" applyBorder="0" applyAlignment="0" applyProtection="0"/>
    <xf numFmtId="0" fontId="24" fillId="10" borderId="9" applyNumberFormat="0" applyAlignment="0" applyProtection="0"/>
    <xf numFmtId="0" fontId="23" fillId="0" borderId="11" applyNumberFormat="0" applyFill="0" applyAlignment="0" applyProtection="0"/>
    <xf numFmtId="169" fontId="12" fillId="0" borderId="0" applyFont="0" applyFill="0" applyBorder="0" applyAlignment="0" applyProtection="0"/>
    <xf numFmtId="44" fontId="12" fillId="0" borderId="0" applyFill="0" applyBorder="0" applyAlignment="0" applyProtection="0"/>
    <xf numFmtId="169" fontId="12" fillId="0" borderId="0" applyFont="0" applyFill="0" applyBorder="0" applyAlignment="0" applyProtection="0"/>
    <xf numFmtId="44" fontId="12" fillId="0" borderId="0" applyFill="0" applyBorder="0" applyAlignment="0" applyProtection="0"/>
    <xf numFmtId="44" fontId="12" fillId="0" borderId="0" applyFill="0" applyBorder="0" applyAlignment="0" applyProtection="0"/>
    <xf numFmtId="170" fontId="1" fillId="0" borderId="0" applyFont="0" applyFill="0" applyBorder="0" applyAlignment="0" applyProtection="0"/>
    <xf numFmtId="44" fontId="12" fillId="0" borderId="0" applyFill="0" applyBorder="0" applyAlignment="0" applyProtection="0"/>
    <xf numFmtId="44" fontId="12" fillId="0" borderId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ill="0" applyBorder="0" applyAlignment="0" applyProtection="0"/>
    <xf numFmtId="44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164" fontId="12" fillId="0" borderId="0" applyFill="0" applyBorder="0" applyAlignment="0" applyProtection="0"/>
    <xf numFmtId="0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171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6" fillId="0" borderId="0" applyFill="0" applyBorder="0" applyAlignment="0" applyProtection="0"/>
    <xf numFmtId="169" fontId="17" fillId="0" borderId="0" applyFont="0" applyFill="0" applyBorder="0" applyAlignment="0" applyProtection="0"/>
    <xf numFmtId="171" fontId="12" fillId="0" borderId="0" applyFont="0" applyFill="0" applyBorder="0" applyAlignment="0" applyProtection="0"/>
    <xf numFmtId="169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169" fontId="17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169" fontId="17" fillId="0" borderId="0" applyFont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9" fontId="12" fillId="0" borderId="0" applyFont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64" fontId="12" fillId="0" borderId="0" applyFill="0" applyBorder="0" applyAlignment="0" applyProtection="0"/>
    <xf numFmtId="174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4" fontId="26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44" fontId="1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26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26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4" fontId="26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7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177" fontId="26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168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7" fillId="0" borderId="0"/>
    <xf numFmtId="0" fontId="12" fillId="0" borderId="0"/>
    <xf numFmtId="0" fontId="12" fillId="0" borderId="0"/>
    <xf numFmtId="0" fontId="37" fillId="0" borderId="0"/>
    <xf numFmtId="0" fontId="12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7" fillId="0" borderId="0"/>
    <xf numFmtId="0" fontId="37" fillId="0" borderId="0"/>
    <xf numFmtId="0" fontId="37" fillId="0" borderId="0"/>
    <xf numFmtId="0" fontId="12" fillId="0" borderId="0"/>
    <xf numFmtId="0" fontId="37" fillId="0" borderId="0"/>
    <xf numFmtId="0" fontId="37" fillId="0" borderId="0"/>
    <xf numFmtId="0" fontId="12" fillId="0" borderId="0"/>
    <xf numFmtId="0" fontId="1" fillId="0" borderId="0"/>
    <xf numFmtId="0" fontId="12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2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2" borderId="1" applyNumberFormat="0" applyFont="0" applyAlignment="0" applyProtection="0"/>
    <xf numFmtId="0" fontId="17" fillId="51" borderId="15" applyNumberFormat="0" applyAlignment="0" applyProtection="0"/>
    <xf numFmtId="0" fontId="38" fillId="40" borderId="16" applyNumberFormat="0" applyAlignment="0" applyProtection="0"/>
    <xf numFmtId="9" fontId="12" fillId="0" borderId="0" applyFont="0" applyFill="0" applyBorder="0" applyAlignment="0" applyProtection="0"/>
    <xf numFmtId="9" fontId="12" fillId="0" borderId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8" fillId="41" borderId="16" applyNumberFormat="0" applyAlignment="0" applyProtection="0"/>
    <xf numFmtId="0" fontId="38" fillId="42" borderId="16" applyNumberFormat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26" fillId="0" borderId="0" applyFill="0" applyBorder="0" applyAlignment="0" applyProtection="0"/>
    <xf numFmtId="178" fontId="12" fillId="0" borderId="0" applyFont="0" applyFill="0" applyBorder="0" applyAlignment="0" applyProtection="0"/>
    <xf numFmtId="179" fontId="26" fillId="0" borderId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80" fontId="17" fillId="0" borderId="0" applyFill="0" applyBorder="0" applyAlignment="0" applyProtection="0"/>
    <xf numFmtId="43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2" fillId="0" borderId="0" applyFill="0" applyBorder="0" applyAlignment="0" applyProtection="0"/>
    <xf numFmtId="43" fontId="1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7" fillId="0" borderId="0" applyFill="0" applyBorder="0" applyAlignment="0" applyProtection="0"/>
    <xf numFmtId="180" fontId="17" fillId="0" borderId="0" applyFill="0" applyBorder="0" applyAlignment="0" applyProtection="0"/>
    <xf numFmtId="179" fontId="17" fillId="0" borderId="0" applyFill="0" applyBorder="0" applyAlignment="0" applyProtection="0"/>
    <xf numFmtId="0" fontId="3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0" fillId="0" borderId="17" applyNumberFormat="0" applyFill="0" applyAlignment="0" applyProtection="0"/>
    <xf numFmtId="0" fontId="3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1" fillId="0" borderId="18" applyNumberFormat="0" applyFill="0" applyAlignment="0" applyProtection="0"/>
    <xf numFmtId="0" fontId="32" fillId="0" borderId="14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178" fontId="12" fillId="0" borderId="0" applyFill="0" applyBorder="0" applyAlignment="0" applyProtection="0"/>
    <xf numFmtId="0" fontId="39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8" borderId="0" applyNumberFormat="0" applyBorder="0" applyAlignment="0" applyProtection="0"/>
    <xf numFmtId="0" fontId="17" fillId="20" borderId="0" applyNumberFormat="0" applyBorder="0" applyAlignment="0" applyProtection="0"/>
    <xf numFmtId="0" fontId="17" fillId="23" borderId="0" applyNumberFormat="0" applyBorder="0" applyAlignment="0" applyProtection="0"/>
    <xf numFmtId="0" fontId="18" fillId="28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0" fillId="7" borderId="0" applyNumberFormat="0" applyBorder="0" applyAlignment="0" applyProtection="0"/>
    <xf numFmtId="0" fontId="21" fillId="40" borderId="9" applyNumberFormat="0" applyAlignment="0" applyProtection="0"/>
    <xf numFmtId="0" fontId="22" fillId="44" borderId="10" applyNumberFormat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9" borderId="0" applyNumberFormat="0" applyBorder="0" applyAlignment="0" applyProtection="0"/>
    <xf numFmtId="0" fontId="24" fillId="10" borderId="9" applyNumberFormat="0" applyAlignment="0" applyProtection="0"/>
    <xf numFmtId="0" fontId="19" fillId="6" borderId="0" applyNumberFormat="0" applyBorder="0" applyAlignment="0" applyProtection="0"/>
    <xf numFmtId="169" fontId="12" fillId="0" borderId="0" applyFont="0" applyFill="0" applyBorder="0" applyAlignment="0" applyProtection="0"/>
    <xf numFmtId="0" fontId="35" fillId="50" borderId="0" applyNumberFormat="0" applyBorder="0" applyAlignment="0" applyProtection="0"/>
    <xf numFmtId="0" fontId="52" fillId="0" borderId="0"/>
    <xf numFmtId="0" fontId="52" fillId="51" borderId="15" applyNumberFormat="0" applyAlignment="0" applyProtection="0"/>
    <xf numFmtId="0" fontId="12" fillId="55" borderId="15" applyNumberFormat="0" applyFont="0" applyAlignment="0" applyProtection="0"/>
    <xf numFmtId="0" fontId="38" fillId="40" borderId="16" applyNumberFormat="0" applyAlignment="0" applyProtection="0"/>
    <xf numFmtId="43" fontId="17" fillId="0" borderId="0" applyFont="0" applyFill="0" applyBorder="0" applyAlignment="0" applyProtection="0"/>
    <xf numFmtId="179" fontId="12" fillId="0" borderId="0" applyFill="0" applyBorder="0" applyAlignment="0" applyProtection="0"/>
    <xf numFmtId="178" fontId="12" fillId="0" borderId="0" applyFill="0" applyBorder="0" applyAlignment="0" applyProtection="0"/>
  </cellStyleXfs>
  <cellXfs count="184"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4" fontId="8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4" fontId="10" fillId="4" borderId="3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4" fontId="14" fillId="0" borderId="5" xfId="4" applyNumberFormat="1" applyFont="1" applyFill="1" applyBorder="1" applyAlignment="1">
      <alignment horizontal="center" vertical="center"/>
    </xf>
    <xf numFmtId="0" fontId="14" fillId="0" borderId="5" xfId="4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13" fillId="0" borderId="0" xfId="4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4" fontId="13" fillId="4" borderId="5" xfId="2" applyFont="1" applyFill="1" applyBorder="1" applyAlignment="1">
      <alignment vertical="center"/>
    </xf>
    <xf numFmtId="44" fontId="2" fillId="3" borderId="5" xfId="2" applyFont="1" applyFill="1" applyBorder="1" applyAlignment="1">
      <alignment vertical="center"/>
    </xf>
    <xf numFmtId="0" fontId="13" fillId="0" borderId="4" xfId="4" applyFont="1" applyFill="1" applyBorder="1" applyAlignment="1">
      <alignment horizontal="center" vertical="center"/>
    </xf>
    <xf numFmtId="40" fontId="13" fillId="0" borderId="0" xfId="2" applyNumberFormat="1" applyFont="1" applyFill="1" applyBorder="1" applyAlignment="1">
      <alignment vertical="center"/>
    </xf>
    <xf numFmtId="40" fontId="8" fillId="0" borderId="0" xfId="2" applyNumberFormat="1" applyFont="1" applyFill="1" applyBorder="1" applyAlignment="1">
      <alignment horizontal="center" vertical="center"/>
    </xf>
    <xf numFmtId="40" fontId="11" fillId="0" borderId="0" xfId="2" applyNumberFormat="1" applyFont="1" applyFill="1" applyBorder="1" applyAlignment="1">
      <alignment horizontal="center" vertical="center"/>
    </xf>
    <xf numFmtId="40" fontId="2" fillId="0" borderId="0" xfId="2" applyNumberFormat="1" applyFont="1" applyFill="1" applyBorder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4" fontId="14" fillId="0" borderId="0" xfId="4" applyNumberFormat="1" applyFont="1" applyFill="1" applyBorder="1" applyAlignment="1">
      <alignment horizontal="center" vertical="center"/>
    </xf>
    <xf numFmtId="0" fontId="14" fillId="0" borderId="0" xfId="4" applyFont="1" applyFill="1" applyBorder="1" applyAlignment="1">
      <alignment horizontal="center" vertical="center"/>
    </xf>
    <xf numFmtId="40" fontId="42" fillId="0" borderId="0" xfId="2" applyNumberFormat="1" applyFont="1" applyFill="1" applyBorder="1" applyAlignment="1">
      <alignment horizontal="center"/>
    </xf>
    <xf numFmtId="0" fontId="42" fillId="3" borderId="0" xfId="0" applyFont="1" applyFill="1" applyBorder="1"/>
    <xf numFmtId="40" fontId="4" fillId="0" borderId="0" xfId="2" applyNumberFormat="1" applyFont="1" applyFill="1" applyBorder="1" applyAlignment="1">
      <alignment horizontal="center"/>
    </xf>
    <xf numFmtId="0" fontId="4" fillId="3" borderId="0" xfId="0" applyFont="1" applyFill="1" applyBorder="1"/>
    <xf numFmtId="40" fontId="5" fillId="0" borderId="0" xfId="2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40" fontId="13" fillId="0" borderId="0" xfId="2" applyNumberFormat="1" applyFont="1" applyFill="1" applyBorder="1" applyAlignment="1">
      <alignment horizontal="center" vertical="center"/>
    </xf>
    <xf numFmtId="40" fontId="42" fillId="0" borderId="0" xfId="2" applyNumberFormat="1" applyFont="1" applyFill="1" applyBorder="1" applyAlignment="1">
      <alignment horizontal="center" vertical="center"/>
    </xf>
    <xf numFmtId="40" fontId="4" fillId="0" borderId="0" xfId="2" applyNumberFormat="1" applyFont="1" applyFill="1" applyBorder="1" applyAlignment="1">
      <alignment horizontal="center" vertical="center"/>
    </xf>
    <xf numFmtId="40" fontId="5" fillId="0" borderId="0" xfId="2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44" fontId="0" fillId="3" borderId="5" xfId="2" applyFont="1" applyFill="1" applyBorder="1" applyAlignment="1">
      <alignment vertical="center"/>
    </xf>
    <xf numFmtId="44" fontId="0" fillId="3" borderId="0" xfId="2" applyFont="1" applyFill="1" applyAlignment="1">
      <alignment vertical="center"/>
    </xf>
    <xf numFmtId="43" fontId="9" fillId="3" borderId="0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14" fontId="0" fillId="0" borderId="0" xfId="0" applyNumberFormat="1"/>
    <xf numFmtId="0" fontId="0" fillId="53" borderId="0" xfId="0" applyFill="1"/>
    <xf numFmtId="0" fontId="0" fillId="0" borderId="0" xfId="0" pivotButton="1"/>
    <xf numFmtId="44" fontId="0" fillId="0" borderId="0" xfId="2" applyFont="1"/>
    <xf numFmtId="0" fontId="0" fillId="5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4" fontId="0" fillId="53" borderId="0" xfId="2" applyFont="1" applyFill="1"/>
    <xf numFmtId="14" fontId="0" fillId="53" borderId="0" xfId="2" applyNumberFormat="1" applyFont="1" applyFill="1"/>
    <xf numFmtId="14" fontId="0" fillId="0" borderId="0" xfId="2" applyNumberFormat="1" applyFont="1"/>
    <xf numFmtId="44" fontId="0" fillId="0" borderId="0" xfId="2" pivotButton="1" applyFont="1"/>
    <xf numFmtId="182" fontId="0" fillId="0" borderId="0" xfId="2" applyNumberFormat="1" applyFont="1"/>
    <xf numFmtId="0" fontId="45" fillId="0" borderId="5" xfId="0" applyFont="1" applyBorder="1" applyAlignment="1">
      <alignment horizontal="left"/>
    </xf>
    <xf numFmtId="44" fontId="45" fillId="0" borderId="5" xfId="2" applyFont="1" applyBorder="1"/>
    <xf numFmtId="0" fontId="45" fillId="0" borderId="0" xfId="0" applyFont="1"/>
    <xf numFmtId="0" fontId="8" fillId="3" borderId="0" xfId="0" applyFont="1" applyFill="1"/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Border="1"/>
    <xf numFmtId="0" fontId="15" fillId="3" borderId="0" xfId="0" applyFont="1" applyFill="1" applyBorder="1" applyAlignment="1">
      <alignment horizontal="center" vertical="center"/>
    </xf>
    <xf numFmtId="183" fontId="0" fillId="0" borderId="5" xfId="0" applyNumberFormat="1" applyFont="1" applyBorder="1" applyAlignment="1">
      <alignment horizontal="center" vertical="center"/>
    </xf>
    <xf numFmtId="43" fontId="0" fillId="3" borderId="0" xfId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81" fontId="2" fillId="3" borderId="0" xfId="3" applyNumberFormat="1" applyFont="1" applyFill="1" applyBorder="1" applyAlignment="1">
      <alignment horizontal="center" vertical="center"/>
    </xf>
    <xf numFmtId="40" fontId="0" fillId="0" borderId="0" xfId="2" applyNumberFormat="1" applyFont="1" applyFill="1" applyBorder="1" applyAlignment="1">
      <alignment horizontal="center" vertical="center"/>
    </xf>
    <xf numFmtId="10" fontId="2" fillId="3" borderId="0" xfId="3" applyNumberFormat="1" applyFont="1" applyFill="1" applyBorder="1" applyAlignment="1">
      <alignment horizontal="center" vertical="center"/>
    </xf>
    <xf numFmtId="40" fontId="2" fillId="3" borderId="0" xfId="3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13" fillId="0" borderId="0" xfId="4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4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44" fontId="14" fillId="0" borderId="0" xfId="2" applyFont="1" applyFill="1" applyBorder="1" applyAlignment="1">
      <alignment horizontal="center" vertical="center"/>
    </xf>
    <xf numFmtId="44" fontId="2" fillId="3" borderId="0" xfId="2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83" fontId="42" fillId="3" borderId="0" xfId="2" applyNumberFormat="1" applyFont="1" applyFill="1" applyAlignment="1">
      <alignment horizontal="center"/>
    </xf>
    <xf numFmtId="183" fontId="4" fillId="3" borderId="0" xfId="2" applyNumberFormat="1" applyFont="1" applyFill="1" applyAlignment="1">
      <alignment horizontal="center"/>
    </xf>
    <xf numFmtId="183" fontId="5" fillId="0" borderId="0" xfId="2" applyNumberFormat="1" applyFont="1" applyFill="1" applyAlignment="1">
      <alignment vertical="center"/>
    </xf>
    <xf numFmtId="183" fontId="5" fillId="3" borderId="0" xfId="3" applyNumberFormat="1" applyFont="1" applyFill="1" applyAlignment="1">
      <alignment vertical="center"/>
    </xf>
    <xf numFmtId="183" fontId="8" fillId="3" borderId="0" xfId="2" applyNumberFormat="1" applyFont="1" applyFill="1" applyBorder="1" applyAlignment="1">
      <alignment horizontal="center" vertical="center"/>
    </xf>
    <xf numFmtId="183" fontId="11" fillId="4" borderId="3" xfId="0" applyNumberFormat="1" applyFont="1" applyFill="1" applyBorder="1" applyAlignment="1">
      <alignment horizontal="center" vertical="center"/>
    </xf>
    <xf numFmtId="183" fontId="11" fillId="4" borderId="22" xfId="0" applyNumberFormat="1" applyFont="1" applyFill="1" applyBorder="1" applyAlignment="1">
      <alignment horizontal="center" vertical="center"/>
    </xf>
    <xf numFmtId="183" fontId="0" fillId="0" borderId="5" xfId="2" applyNumberFormat="1" applyFont="1" applyBorder="1" applyAlignment="1">
      <alignment horizontal="center" vertical="center"/>
    </xf>
    <xf numFmtId="183" fontId="2" fillId="4" borderId="6" xfId="2" applyNumberFormat="1" applyFont="1" applyFill="1" applyBorder="1" applyAlignment="1">
      <alignment horizontal="center" vertical="center"/>
    </xf>
    <xf numFmtId="183" fontId="14" fillId="0" borderId="5" xfId="2" applyNumberFormat="1" applyFont="1" applyFill="1" applyBorder="1" applyAlignment="1">
      <alignment horizontal="center" vertical="center"/>
    </xf>
    <xf numFmtId="183" fontId="13" fillId="52" borderId="8" xfId="2" applyNumberFormat="1" applyFont="1" applyFill="1" applyBorder="1" applyAlignment="1">
      <alignment horizontal="center" vertical="center"/>
    </xf>
    <xf numFmtId="183" fontId="44" fillId="0" borderId="0" xfId="2" applyNumberFormat="1" applyFont="1" applyFill="1" applyBorder="1" applyAlignment="1">
      <alignment horizontal="center" vertical="center"/>
    </xf>
    <xf numFmtId="183" fontId="2" fillId="0" borderId="0" xfId="2" applyNumberFormat="1" applyFont="1" applyFill="1" applyBorder="1" applyAlignment="1">
      <alignment horizontal="center" vertical="center"/>
    </xf>
    <xf numFmtId="183" fontId="2" fillId="4" borderId="0" xfId="0" applyNumberFormat="1" applyFont="1" applyFill="1" applyBorder="1" applyAlignment="1">
      <alignment horizontal="center" vertical="center"/>
    </xf>
    <xf numFmtId="183" fontId="0" fillId="3" borderId="5" xfId="2" applyNumberFormat="1" applyFont="1" applyFill="1" applyBorder="1" applyAlignment="1">
      <alignment horizontal="center" vertical="center"/>
    </xf>
    <xf numFmtId="183" fontId="13" fillId="4" borderId="5" xfId="2" applyNumberFormat="1" applyFont="1" applyFill="1" applyBorder="1" applyAlignment="1">
      <alignment horizontal="center" vertical="center"/>
    </xf>
    <xf numFmtId="183" fontId="0" fillId="3" borderId="0" xfId="2" applyNumberFormat="1" applyFont="1" applyFill="1" applyAlignment="1">
      <alignment horizontal="center" vertical="center"/>
    </xf>
    <xf numFmtId="183" fontId="0" fillId="0" borderId="0" xfId="2" applyNumberFormat="1" applyFont="1" applyFill="1" applyAlignment="1">
      <alignment horizontal="center" vertical="center"/>
    </xf>
    <xf numFmtId="183" fontId="5" fillId="3" borderId="0" xfId="2" applyNumberFormat="1" applyFont="1" applyFill="1" applyAlignment="1">
      <alignment vertical="center"/>
    </xf>
    <xf numFmtId="183" fontId="0" fillId="0" borderId="0" xfId="2" applyNumberFormat="1" applyFont="1" applyFill="1" applyBorder="1" applyAlignment="1">
      <alignment vertical="center"/>
    </xf>
    <xf numFmtId="183" fontId="13" fillId="0" borderId="0" xfId="3" applyNumberFormat="1" applyFont="1" applyFill="1" applyBorder="1" applyAlignment="1">
      <alignment vertical="center"/>
    </xf>
    <xf numFmtId="183" fontId="13" fillId="0" borderId="0" xfId="2" applyNumberFormat="1" applyFont="1" applyFill="1" applyBorder="1" applyAlignment="1">
      <alignment vertical="center"/>
    </xf>
    <xf numFmtId="183" fontId="0" fillId="0" borderId="5" xfId="0" applyNumberFormat="1" applyFont="1" applyFill="1" applyBorder="1" applyAlignment="1">
      <alignment horizontal="center" vertical="center"/>
    </xf>
    <xf numFmtId="14" fontId="10" fillId="4" borderId="3" xfId="0" applyNumberFormat="1" applyFont="1" applyFill="1" applyBorder="1" applyAlignment="1">
      <alignment horizontal="center" vertical="center" wrapText="1"/>
    </xf>
    <xf numFmtId="0" fontId="46" fillId="3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44" fontId="0" fillId="0" borderId="0" xfId="2" applyFont="1" applyAlignment="1">
      <alignment horizontal="center" vertical="center"/>
    </xf>
    <xf numFmtId="0" fontId="47" fillId="0" borderId="0" xfId="0" applyFont="1"/>
    <xf numFmtId="0" fontId="10" fillId="54" borderId="2" xfId="767" applyFont="1" applyFill="1" applyBorder="1" applyAlignment="1" applyProtection="1">
      <alignment horizontal="center" vertical="center"/>
      <protection locked="0"/>
    </xf>
    <xf numFmtId="0" fontId="10" fillId="54" borderId="3" xfId="767" applyFont="1" applyFill="1" applyBorder="1" applyAlignment="1" applyProtection="1">
      <alignment horizontal="left" vertical="center"/>
      <protection locked="0"/>
    </xf>
    <xf numFmtId="0" fontId="10" fillId="54" borderId="3" xfId="767" applyFont="1" applyFill="1" applyBorder="1" applyAlignment="1" applyProtection="1">
      <alignment horizontal="center" vertical="center" wrapText="1"/>
      <protection locked="0"/>
    </xf>
    <xf numFmtId="0" fontId="10" fillId="54" borderId="3" xfId="767" applyFont="1" applyFill="1" applyBorder="1" applyAlignment="1" applyProtection="1">
      <alignment horizontal="center" vertical="center"/>
      <protection locked="0"/>
    </xf>
    <xf numFmtId="0" fontId="10" fillId="54" borderId="22" xfId="767" applyFont="1" applyFill="1" applyBorder="1" applyAlignment="1" applyProtection="1">
      <alignment horizontal="center" vertical="center"/>
      <protection locked="0"/>
    </xf>
    <xf numFmtId="44" fontId="48" fillId="0" borderId="0" xfId="2" applyFont="1" applyFill="1" applyBorder="1" applyAlignment="1">
      <alignment horizontal="center" vertical="center" wrapText="1"/>
    </xf>
    <xf numFmtId="44" fontId="49" fillId="0" borderId="0" xfId="2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50" fillId="0" borderId="5" xfId="767" applyFont="1" applyFill="1" applyBorder="1" applyAlignment="1" applyProtection="1">
      <alignment horizontal="left" vertical="center"/>
      <protection locked="0"/>
    </xf>
    <xf numFmtId="0" fontId="50" fillId="0" borderId="5" xfId="0" applyFont="1" applyFill="1" applyBorder="1" applyAlignment="1">
      <alignment horizontal="center" vertical="center" wrapText="1"/>
    </xf>
    <xf numFmtId="44" fontId="51" fillId="0" borderId="5" xfId="1321" applyFont="1" applyFill="1" applyBorder="1" applyAlignment="1" applyProtection="1">
      <alignment vertical="center" wrapText="1"/>
    </xf>
    <xf numFmtId="44" fontId="9" fillId="0" borderId="5" xfId="2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4" fontId="50" fillId="0" borderId="5" xfId="2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44" fontId="50" fillId="0" borderId="5" xfId="1321" applyFont="1" applyFill="1" applyBorder="1" applyAlignment="1">
      <alignment vertical="center" wrapText="1"/>
    </xf>
    <xf numFmtId="0" fontId="50" fillId="0" borderId="6" xfId="0" applyFont="1" applyFill="1" applyBorder="1" applyAlignment="1">
      <alignment horizontal="center" vertical="center" wrapText="1"/>
    </xf>
    <xf numFmtId="44" fontId="50" fillId="0" borderId="5" xfId="1321" applyFont="1" applyFill="1" applyBorder="1" applyAlignment="1" applyProtection="1">
      <alignment vertical="center" wrapText="1"/>
    </xf>
    <xf numFmtId="44" fontId="51" fillId="0" borderId="5" xfId="1321" applyFont="1" applyFill="1" applyBorder="1" applyAlignment="1">
      <alignment vertical="center" wrapText="1"/>
    </xf>
    <xf numFmtId="44" fontId="50" fillId="0" borderId="5" xfId="1321" applyNumberFormat="1" applyFont="1" applyFill="1" applyBorder="1" applyAlignment="1">
      <alignment vertical="center" wrapText="1"/>
    </xf>
    <xf numFmtId="44" fontId="50" fillId="0" borderId="5" xfId="241" applyFont="1" applyBorder="1" applyAlignment="1">
      <alignment vertical="center" wrapText="1"/>
    </xf>
    <xf numFmtId="44" fontId="50" fillId="0" borderId="5" xfId="241" applyFont="1" applyFill="1" applyBorder="1" applyAlignment="1">
      <alignment vertical="center" wrapText="1"/>
    </xf>
    <xf numFmtId="183" fontId="10" fillId="4" borderId="8" xfId="767" applyNumberFormat="1" applyFont="1" applyFill="1" applyBorder="1" applyAlignment="1" applyProtection="1">
      <alignment horizontal="center" vertical="center" wrapText="1"/>
      <protection locked="0"/>
    </xf>
    <xf numFmtId="183" fontId="2" fillId="4" borderId="26" xfId="0" applyNumberFormat="1" applyFont="1" applyFill="1" applyBorder="1" applyAlignment="1"/>
    <xf numFmtId="183" fontId="2" fillId="4" borderId="27" xfId="0" applyNumberFormat="1" applyFont="1" applyFill="1" applyBorder="1" applyAlignment="1"/>
    <xf numFmtId="183" fontId="2" fillId="4" borderId="28" xfId="0" applyNumberFormat="1" applyFont="1" applyFill="1" applyBorder="1" applyAlignment="1"/>
    <xf numFmtId="183" fontId="2" fillId="52" borderId="29" xfId="0" applyNumberFormat="1" applyFont="1" applyFill="1" applyBorder="1" applyAlignment="1">
      <alignment vertical="center"/>
    </xf>
    <xf numFmtId="183" fontId="2" fillId="52" borderId="27" xfId="0" applyNumberFormat="1" applyFont="1" applyFill="1" applyBorder="1" applyAlignment="1">
      <alignment vertical="center"/>
    </xf>
    <xf numFmtId="183" fontId="2" fillId="52" borderId="30" xfId="0" applyNumberFormat="1" applyFont="1" applyFill="1" applyBorder="1" applyAlignment="1">
      <alignment vertical="center"/>
    </xf>
    <xf numFmtId="4" fontId="0" fillId="0" borderId="0" xfId="0" applyNumberFormat="1"/>
    <xf numFmtId="0" fontId="2" fillId="4" borderId="2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183" fontId="13" fillId="4" borderId="21" xfId="2" applyNumberFormat="1" applyFont="1" applyFill="1" applyBorder="1" applyAlignment="1">
      <alignment horizontal="center" vertical="center"/>
    </xf>
    <xf numFmtId="0" fontId="2" fillId="4" borderId="0" xfId="0" applyFont="1" applyFill="1"/>
    <xf numFmtId="0" fontId="10" fillId="4" borderId="3" xfId="0" applyFont="1" applyFill="1" applyBorder="1" applyAlignment="1">
      <alignment horizontal="center" vertical="center"/>
    </xf>
    <xf numFmtId="183" fontId="0" fillId="0" borderId="5" xfId="0" applyNumberFormat="1" applyFont="1" applyFill="1" applyBorder="1"/>
    <xf numFmtId="183" fontId="0" fillId="0" borderId="5" xfId="0" applyNumberFormat="1" applyFont="1" applyBorder="1"/>
    <xf numFmtId="0" fontId="0" fillId="3" borderId="0" xfId="0" applyFont="1" applyFill="1" applyBorder="1" applyAlignment="1">
      <alignment vertical="center"/>
    </xf>
    <xf numFmtId="183" fontId="0" fillId="0" borderId="0" xfId="2" applyNumberFormat="1" applyFont="1" applyFill="1" applyAlignment="1">
      <alignment vertical="center"/>
    </xf>
    <xf numFmtId="183" fontId="0" fillId="3" borderId="0" xfId="2" applyNumberFormat="1" applyFont="1" applyFill="1" applyAlignment="1">
      <alignment vertical="center"/>
    </xf>
    <xf numFmtId="40" fontId="0" fillId="0" borderId="0" xfId="2" applyNumberFormat="1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183" fontId="0" fillId="0" borderId="5" xfId="2" applyNumberFormat="1" applyFont="1" applyBorder="1"/>
    <xf numFmtId="183" fontId="2" fillId="3" borderId="5" xfId="2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</cellXfs>
  <cellStyles count="1361">
    <cellStyle name="          _x000a__x000a_386grabber=VGA.3GR_x000a__x000a_" xfId="1322"/>
    <cellStyle name="_Plan1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20% - Ênfase1 2" xfId="13"/>
    <cellStyle name="20% - Ênfase1 2 2" xfId="1323"/>
    <cellStyle name="20% - Ênfase1 3" xfId="14"/>
    <cellStyle name="20% - Ênfase2 2" xfId="15"/>
    <cellStyle name="20% - Ênfase2 2 2" xfId="1324"/>
    <cellStyle name="20% - Ênfase2 3" xfId="16"/>
    <cellStyle name="20% - Ênfase3 2" xfId="17"/>
    <cellStyle name="20% - Ênfase3 2 2" xfId="1325"/>
    <cellStyle name="20% - Ênfase3 3" xfId="18"/>
    <cellStyle name="20% - Ênfase4 2" xfId="19"/>
    <cellStyle name="20% - Ênfase4 2 2" xfId="1326"/>
    <cellStyle name="20% - Ênfase4 3" xfId="20"/>
    <cellStyle name="20% - Ênfase5 2" xfId="21"/>
    <cellStyle name="20% - Ênfase5 2 2" xfId="1327"/>
    <cellStyle name="20% - Ênfase5 3" xfId="22"/>
    <cellStyle name="20% - Ênfase6 2" xfId="23"/>
    <cellStyle name="20% - Ênfase6 2 2" xfId="1328"/>
    <cellStyle name="20% - Ênfase6 3" xfId="24"/>
    <cellStyle name="40% - Accent1 2" xfId="25"/>
    <cellStyle name="40% - Accent2 2" xfId="26"/>
    <cellStyle name="40% - Accent3 2" xfId="27"/>
    <cellStyle name="40% - Accent4 2" xfId="28"/>
    <cellStyle name="40% - Accent5 2" xfId="29"/>
    <cellStyle name="40% - Accent6 2" xfId="30"/>
    <cellStyle name="40% - Ênfase1 2" xfId="31"/>
    <cellStyle name="40% - Ênfase1 2 2" xfId="1329"/>
    <cellStyle name="40% - Ênfase1 3" xfId="32"/>
    <cellStyle name="40% - Ênfase2 2" xfId="33"/>
    <cellStyle name="40% - Ênfase2 2 2" xfId="1330"/>
    <cellStyle name="40% - Ênfase2 3" xfId="34"/>
    <cellStyle name="40% - Ênfase3 2" xfId="35"/>
    <cellStyle name="40% - Ênfase3 2 2" xfId="1331"/>
    <cellStyle name="40% - Ênfase3 3" xfId="36"/>
    <cellStyle name="40% - Ênfase4 2" xfId="37"/>
    <cellStyle name="40% - Ênfase4 2 2" xfId="1332"/>
    <cellStyle name="40% - Ênfase4 3" xfId="38"/>
    <cellStyle name="40% - Ênfase5 2" xfId="39"/>
    <cellStyle name="40% - Ênfase5 2 2" xfId="1333"/>
    <cellStyle name="40% - Ênfase5 3" xfId="40"/>
    <cellStyle name="40% - Ênfase6 2" xfId="41"/>
    <cellStyle name="40% - Ênfase6 2 2" xfId="1334"/>
    <cellStyle name="40% - Ênfase6 3" xfId="42"/>
    <cellStyle name="60% - Accent1 2" xfId="43"/>
    <cellStyle name="60% - Accent2 2" xfId="44"/>
    <cellStyle name="60% - Accent3 2" xfId="45"/>
    <cellStyle name="60% - Accent4 2" xfId="46"/>
    <cellStyle name="60% - Accent5 2" xfId="47"/>
    <cellStyle name="60% - Accent6 2" xfId="48"/>
    <cellStyle name="60% - Ênfase1 2" xfId="49"/>
    <cellStyle name="60% - Ênfase1 2 2" xfId="1335"/>
    <cellStyle name="60% - Ênfase1 3" xfId="50"/>
    <cellStyle name="60% - Ênfase2 2" xfId="51"/>
    <cellStyle name="60% - Ênfase2 2 2" xfId="1336"/>
    <cellStyle name="60% - Ênfase2 3" xfId="52"/>
    <cellStyle name="60% - Ênfase3 2" xfId="53"/>
    <cellStyle name="60% - Ênfase3 2 2" xfId="1337"/>
    <cellStyle name="60% - Ênfase3 3" xfId="54"/>
    <cellStyle name="60% - Ênfase4 2" xfId="55"/>
    <cellStyle name="60% - Ênfase4 2 2" xfId="1338"/>
    <cellStyle name="60% - Ênfase4 3" xfId="56"/>
    <cellStyle name="60% - Ênfase5 2" xfId="57"/>
    <cellStyle name="60% - Ênfase5 2 2" xfId="1339"/>
    <cellStyle name="60% - Ênfase5 3" xfId="58"/>
    <cellStyle name="60% - Ênfase6 2" xfId="59"/>
    <cellStyle name="60% - Ênfase6 2 2" xfId="1340"/>
    <cellStyle name="60% - Ênfase6 3" xfId="60"/>
    <cellStyle name="Accent1 2" xfId="61"/>
    <cellStyle name="Accent2 2" xfId="62"/>
    <cellStyle name="Accent3 2" xfId="63"/>
    <cellStyle name="Accent4 2" xfId="64"/>
    <cellStyle name="Accent5 2" xfId="65"/>
    <cellStyle name="Accent6 2" xfId="66"/>
    <cellStyle name="Bad 2" xfId="67"/>
    <cellStyle name="Bom 2" xfId="68"/>
    <cellStyle name="Bom 2 2" xfId="1341"/>
    <cellStyle name="Bom 3" xfId="69"/>
    <cellStyle name="Calculation 2" xfId="70"/>
    <cellStyle name="Cálculo 2" xfId="71"/>
    <cellStyle name="Cálculo 2 2" xfId="1342"/>
    <cellStyle name="Cálculo 3" xfId="72"/>
    <cellStyle name="Célula de Verificação 2" xfId="73"/>
    <cellStyle name="Célula de Verificação 2 2" xfId="1343"/>
    <cellStyle name="Célula de Verificação 3" xfId="74"/>
    <cellStyle name="Célula Vinculada 2" xfId="75"/>
    <cellStyle name="Check Cell 2" xfId="76"/>
    <cellStyle name="Currency 2" xfId="77"/>
    <cellStyle name="Ênfase1 2" xfId="78"/>
    <cellStyle name="Ênfase1 2 2" xfId="1344"/>
    <cellStyle name="Ênfase1 3" xfId="79"/>
    <cellStyle name="Ênfase2 2" xfId="80"/>
    <cellStyle name="Ênfase2 2 2" xfId="1345"/>
    <cellStyle name="Ênfase2 3" xfId="81"/>
    <cellStyle name="Ênfase3 2" xfId="82"/>
    <cellStyle name="Ênfase3 2 2" xfId="1346"/>
    <cellStyle name="Ênfase3 3" xfId="83"/>
    <cellStyle name="Ênfase4 2" xfId="84"/>
    <cellStyle name="Ênfase4 2 2" xfId="1347"/>
    <cellStyle name="Ênfase4 3" xfId="85"/>
    <cellStyle name="Ênfase5 2" xfId="86"/>
    <cellStyle name="Ênfase5 2 2" xfId="1348"/>
    <cellStyle name="Ênfase5 3" xfId="87"/>
    <cellStyle name="Ênfase6 2" xfId="88"/>
    <cellStyle name="Ênfase6 2 2" xfId="1349"/>
    <cellStyle name="Ênfase6 3" xfId="89"/>
    <cellStyle name="Entrada 2" xfId="90"/>
    <cellStyle name="Entrada 2 2" xfId="1350"/>
    <cellStyle name="Entrada 3" xfId="91"/>
    <cellStyle name="Estilo 1" xfId="92"/>
    <cellStyle name="Euro" xfId="93"/>
    <cellStyle name="Euro 2" xfId="94"/>
    <cellStyle name="Excel Built-in Currency" xfId="95"/>
    <cellStyle name="Excel Built-in Normal" xfId="96"/>
    <cellStyle name="Excel Built-in Normal 1" xfId="97"/>
    <cellStyle name="Excel Built-in Normal 2" xfId="98"/>
    <cellStyle name="Excel Built-in Normal 2 2" xfId="99"/>
    <cellStyle name="Excel Built-in Normal 3" xfId="100"/>
    <cellStyle name="Excel Built-in Normal 4" xfId="101"/>
    <cellStyle name="Excel Built-in Normal 5" xfId="102"/>
    <cellStyle name="Explanatory Text 2" xfId="103"/>
    <cellStyle name="Good 2" xfId="104"/>
    <cellStyle name="Heading 1 2" xfId="105"/>
    <cellStyle name="Heading 2 2" xfId="106"/>
    <cellStyle name="Heading 3 2" xfId="107"/>
    <cellStyle name="Heading 4 2" xfId="108"/>
    <cellStyle name="Hyperlink 2" xfId="109"/>
    <cellStyle name="Hyperlink 3" xfId="110"/>
    <cellStyle name="Incorreto 2" xfId="111"/>
    <cellStyle name="Incorreto 2 2" xfId="1351"/>
    <cellStyle name="Incorreto 3" xfId="112"/>
    <cellStyle name="Input 2" xfId="113"/>
    <cellStyle name="Linked Cell 2" xfId="114"/>
    <cellStyle name="Moeda" xfId="2" builtinId="4"/>
    <cellStyle name="Moeda 10" xfId="115"/>
    <cellStyle name="Moeda 10 2" xfId="116"/>
    <cellStyle name="Moeda 10 3" xfId="117"/>
    <cellStyle name="Moeda 11" xfId="118"/>
    <cellStyle name="Moeda 11 2" xfId="119"/>
    <cellStyle name="Moeda 12" xfId="120"/>
    <cellStyle name="Moeda 12 2" xfId="121"/>
    <cellStyle name="Moeda 13" xfId="122"/>
    <cellStyle name="Moeda 14" xfId="123"/>
    <cellStyle name="Moeda 14 2" xfId="124"/>
    <cellStyle name="Moeda 14 3" xfId="125"/>
    <cellStyle name="Moeda 15" xfId="126"/>
    <cellStyle name="Moeda 15 2" xfId="127"/>
    <cellStyle name="Moeda 16" xfId="128"/>
    <cellStyle name="Moeda 2" xfId="129"/>
    <cellStyle name="Moeda 2 10" xfId="130"/>
    <cellStyle name="Moeda 2 10 2" xfId="131"/>
    <cellStyle name="Moeda 2 11" xfId="132"/>
    <cellStyle name="Moeda 2 12" xfId="133"/>
    <cellStyle name="Moeda 2 13" xfId="134"/>
    <cellStyle name="Moeda 2 14" xfId="135"/>
    <cellStyle name="Moeda 2 14 2" xfId="136"/>
    <cellStyle name="Moeda 2 14 2 2" xfId="137"/>
    <cellStyle name="Moeda 2 15" xfId="138"/>
    <cellStyle name="Moeda 2 15 2" xfId="139"/>
    <cellStyle name="Moeda 2 16" xfId="140"/>
    <cellStyle name="Moeda 2 16 2" xfId="141"/>
    <cellStyle name="Moeda 2 17" xfId="142"/>
    <cellStyle name="Moeda 2 17 2" xfId="143"/>
    <cellStyle name="Moeda 2 18" xfId="144"/>
    <cellStyle name="Moeda 2 19" xfId="1352"/>
    <cellStyle name="Moeda 2 2" xfId="145"/>
    <cellStyle name="Moeda 2 2 2" xfId="146"/>
    <cellStyle name="Moeda 2 2 2 2" xfId="147"/>
    <cellStyle name="Moeda 2 2 2 3" xfId="148"/>
    <cellStyle name="Moeda 2 2 2 4" xfId="149"/>
    <cellStyle name="Moeda 2 2 3" xfId="150"/>
    <cellStyle name="Moeda 2 2 3 2" xfId="151"/>
    <cellStyle name="Moeda 2 2 3 3" xfId="152"/>
    <cellStyle name="Moeda 2 2 4" xfId="153"/>
    <cellStyle name="Moeda 2 2 5" xfId="154"/>
    <cellStyle name="Moeda 2 2 6" xfId="155"/>
    <cellStyle name="Moeda 2 2 7" xfId="156"/>
    <cellStyle name="Moeda 2 2 8" xfId="1321"/>
    <cellStyle name="Moeda 2 3" xfId="157"/>
    <cellStyle name="Moeda 2 3 2" xfId="158"/>
    <cellStyle name="Moeda 2 3 3" xfId="159"/>
    <cellStyle name="Moeda 2 3 4" xfId="160"/>
    <cellStyle name="Moeda 2 4" xfId="161"/>
    <cellStyle name="Moeda 2 4 2" xfId="162"/>
    <cellStyle name="Moeda 2 4 3" xfId="163"/>
    <cellStyle name="Moeda 2 5" xfId="164"/>
    <cellStyle name="Moeda 2 6" xfId="165"/>
    <cellStyle name="Moeda 2 7" xfId="166"/>
    <cellStyle name="Moeda 2 8" xfId="167"/>
    <cellStyle name="Moeda 2 9" xfId="168"/>
    <cellStyle name="Moeda 3" xfId="169"/>
    <cellStyle name="Moeda 3 10" xfId="170"/>
    <cellStyle name="Moeda 3 11" xfId="171"/>
    <cellStyle name="Moeda 3 12" xfId="172"/>
    <cellStyle name="Moeda 3 13" xfId="173"/>
    <cellStyle name="Moeda 3 14" xfId="174"/>
    <cellStyle name="Moeda 3 15" xfId="175"/>
    <cellStyle name="Moeda 3 16" xfId="176"/>
    <cellStyle name="Moeda 3 17" xfId="177"/>
    <cellStyle name="Moeda 3 18" xfId="178"/>
    <cellStyle name="Moeda 3 19" xfId="179"/>
    <cellStyle name="Moeda 3 2" xfId="180"/>
    <cellStyle name="Moeda 3 2 2" xfId="181"/>
    <cellStyle name="Moeda 3 2 2 2" xfId="182"/>
    <cellStyle name="Moeda 3 2 2 3" xfId="183"/>
    <cellStyle name="Moeda 3 2 2 4" xfId="184"/>
    <cellStyle name="Moeda 3 2 3" xfId="185"/>
    <cellStyle name="Moeda 3 2 3 2" xfId="186"/>
    <cellStyle name="Moeda 3 2 3 3" xfId="187"/>
    <cellStyle name="Moeda 3 2 4" xfId="188"/>
    <cellStyle name="Moeda 3 2 5" xfId="189"/>
    <cellStyle name="Moeda 3 20" xfId="190"/>
    <cellStyle name="Moeda 3 21" xfId="191"/>
    <cellStyle name="Moeda 3 22" xfId="192"/>
    <cellStyle name="Moeda 3 23" xfId="193"/>
    <cellStyle name="Moeda 3 24" xfId="194"/>
    <cellStyle name="Moeda 3 25" xfId="195"/>
    <cellStyle name="Moeda 3 26" xfId="196"/>
    <cellStyle name="Moeda 3 27" xfId="197"/>
    <cellStyle name="Moeda 3 27 2" xfId="198"/>
    <cellStyle name="Moeda 3 28" xfId="199"/>
    <cellStyle name="Moeda 3 29" xfId="200"/>
    <cellStyle name="Moeda 3 3" xfId="201"/>
    <cellStyle name="Moeda 3 3 2" xfId="202"/>
    <cellStyle name="Moeda 3 3 3" xfId="203"/>
    <cellStyle name="Moeda 3 3 4" xfId="204"/>
    <cellStyle name="Moeda 3 30" xfId="205"/>
    <cellStyle name="Moeda 3 31" xfId="206"/>
    <cellStyle name="Moeda 3 32" xfId="207"/>
    <cellStyle name="Moeda 3 4" xfId="208"/>
    <cellStyle name="Moeda 3 4 2" xfId="209"/>
    <cellStyle name="Moeda 3 4 3" xfId="210"/>
    <cellStyle name="Moeda 3 5" xfId="211"/>
    <cellStyle name="Moeda 3 6" xfId="212"/>
    <cellStyle name="Moeda 3 7" xfId="213"/>
    <cellStyle name="Moeda 3 8" xfId="214"/>
    <cellStyle name="Moeda 3 9" xfId="215"/>
    <cellStyle name="Moeda 4" xfId="216"/>
    <cellStyle name="Moeda 4 2" xfId="217"/>
    <cellStyle name="Moeda 4 2 2" xfId="218"/>
    <cellStyle name="Moeda 4 2 2 2" xfId="219"/>
    <cellStyle name="Moeda 4 2 2 2 2" xfId="220"/>
    <cellStyle name="Moeda 4 2 2 2 3" xfId="221"/>
    <cellStyle name="Moeda 4 2 2 2 4" xfId="222"/>
    <cellStyle name="Moeda 4 2 2 3" xfId="223"/>
    <cellStyle name="Moeda 4 2 2 4" xfId="224"/>
    <cellStyle name="Moeda 4 2 2 5" xfId="225"/>
    <cellStyle name="Moeda 4 2 3" xfId="226"/>
    <cellStyle name="Moeda 4 2 3 2" xfId="227"/>
    <cellStyle name="Moeda 4 2 3 3" xfId="228"/>
    <cellStyle name="Moeda 4 2 3 4" xfId="229"/>
    <cellStyle name="Moeda 4 2 4" xfId="230"/>
    <cellStyle name="Moeda 4 2 5" xfId="231"/>
    <cellStyle name="Moeda 4 2 6" xfId="232"/>
    <cellStyle name="Moeda 4 3" xfId="233"/>
    <cellStyle name="Moeda 4 3 2" xfId="234"/>
    <cellStyle name="Moeda 4 3 3" xfId="235"/>
    <cellStyle name="Moeda 4 3 4" xfId="236"/>
    <cellStyle name="Moeda 4 4" xfId="237"/>
    <cellStyle name="Moeda 4 5" xfId="238"/>
    <cellStyle name="Moeda 4 6" xfId="239"/>
    <cellStyle name="Moeda 5" xfId="240"/>
    <cellStyle name="Moeda 5 2" xfId="241"/>
    <cellStyle name="Moeda 5 2 2" xfId="242"/>
    <cellStyle name="Moeda 5 2 2 2" xfId="243"/>
    <cellStyle name="Moeda 5 2 3" xfId="244"/>
    <cellStyle name="Moeda 5 2 4" xfId="245"/>
    <cellStyle name="Moeda 5 2 5" xfId="246"/>
    <cellStyle name="Moeda 5 3" xfId="247"/>
    <cellStyle name="Moeda 5 3 2" xfId="248"/>
    <cellStyle name="Moeda 5 3 3" xfId="249"/>
    <cellStyle name="Moeda 5 3 4" xfId="250"/>
    <cellStyle name="Moeda 5 4" xfId="251"/>
    <cellStyle name="Moeda 5 5" xfId="252"/>
    <cellStyle name="Moeda 5 6" xfId="253"/>
    <cellStyle name="Moeda 5 7" xfId="254"/>
    <cellStyle name="Moeda 6" xfId="255"/>
    <cellStyle name="Moeda 6 2" xfId="256"/>
    <cellStyle name="Moeda 6 2 2" xfId="257"/>
    <cellStyle name="Moeda 6 2 2 2" xfId="258"/>
    <cellStyle name="Moeda 6 2 3" xfId="259"/>
    <cellStyle name="Moeda 6 2 4" xfId="260"/>
    <cellStyle name="Moeda 6 2 5" xfId="261"/>
    <cellStyle name="Moeda 6 3" xfId="262"/>
    <cellStyle name="Moeda 6 3 2" xfId="263"/>
    <cellStyle name="Moeda 6 3 3" xfId="264"/>
    <cellStyle name="Moeda 6 3 4" xfId="265"/>
    <cellStyle name="Moeda 6 4" xfId="266"/>
    <cellStyle name="Moeda 6 5" xfId="267"/>
    <cellStyle name="Moeda 6 6" xfId="268"/>
    <cellStyle name="Moeda 7" xfId="269"/>
    <cellStyle name="Moeda 7 2" xfId="270"/>
    <cellStyle name="Moeda 7 2 2" xfId="271"/>
    <cellStyle name="Moeda 7 2 2 2" xfId="272"/>
    <cellStyle name="Moeda 7 2 2 3" xfId="273"/>
    <cellStyle name="Moeda 7 2 2 4" xfId="274"/>
    <cellStyle name="Moeda 7 2 3" xfId="275"/>
    <cellStyle name="Moeda 7 2 4" xfId="276"/>
    <cellStyle name="Moeda 7 2 5" xfId="277"/>
    <cellStyle name="Moeda 7 2 6" xfId="278"/>
    <cellStyle name="Moeda 7 3" xfId="279"/>
    <cellStyle name="Moeda 7 3 2" xfId="280"/>
    <cellStyle name="Moeda 7 3 2 2" xfId="281"/>
    <cellStyle name="Moeda 7 3 3" xfId="282"/>
    <cellStyle name="Moeda 7 3 4" xfId="283"/>
    <cellStyle name="Moeda 7 4" xfId="284"/>
    <cellStyle name="Moeda 7 5" xfId="285"/>
    <cellStyle name="Moeda 7 5 2" xfId="286"/>
    <cellStyle name="Moeda 7 6" xfId="287"/>
    <cellStyle name="Moeda 7 7" xfId="288"/>
    <cellStyle name="Moeda 8" xfId="289"/>
    <cellStyle name="Moeda 8 2" xfId="290"/>
    <cellStyle name="Moeda 8 2 2" xfId="291"/>
    <cellStyle name="Moeda 8 2 3" xfId="292"/>
    <cellStyle name="Moeda 8 3" xfId="293"/>
    <cellStyle name="Moeda 8 4" xfId="294"/>
    <cellStyle name="Moeda 8 5" xfId="295"/>
    <cellStyle name="Moeda 8 6" xfId="296"/>
    <cellStyle name="Moeda 9" xfId="297"/>
    <cellStyle name="Neutra 2" xfId="298"/>
    <cellStyle name="Neutra 2 2" xfId="1353"/>
    <cellStyle name="Neutra 3" xfId="299"/>
    <cellStyle name="Neutral 2" xfId="300"/>
    <cellStyle name="NívelCol_1 2" xfId="301"/>
    <cellStyle name="Normal" xfId="0" builtinId="0"/>
    <cellStyle name="Normal 10" xfId="4"/>
    <cellStyle name="Normal 10 10" xfId="302"/>
    <cellStyle name="Normal 10 10 2" xfId="303"/>
    <cellStyle name="Normal 10 11" xfId="304"/>
    <cellStyle name="Normal 10 12" xfId="305"/>
    <cellStyle name="Normal 10 13" xfId="306"/>
    <cellStyle name="Normal 10 14" xfId="307"/>
    <cellStyle name="Normal 10 15" xfId="308"/>
    <cellStyle name="Normal 10 16" xfId="309"/>
    <cellStyle name="Normal 10 17" xfId="310"/>
    <cellStyle name="Normal 10 18" xfId="311"/>
    <cellStyle name="Normal 10 19" xfId="312"/>
    <cellStyle name="Normal 10 2" xfId="313"/>
    <cellStyle name="Normal 10 2 2" xfId="314"/>
    <cellStyle name="Normal 10 2 2 2" xfId="315"/>
    <cellStyle name="Normal 10 2 3" xfId="316"/>
    <cellStyle name="Normal 10 2 4" xfId="317"/>
    <cellStyle name="Normal 10 2 5" xfId="318"/>
    <cellStyle name="Normal 10 20" xfId="319"/>
    <cellStyle name="Normal 10 21" xfId="320"/>
    <cellStyle name="Normal 10 22" xfId="321"/>
    <cellStyle name="Normal 10 23" xfId="322"/>
    <cellStyle name="Normal 10 24" xfId="323"/>
    <cellStyle name="Normal 10 25" xfId="324"/>
    <cellStyle name="Normal 10 26" xfId="325"/>
    <cellStyle name="Normal 10 27" xfId="326"/>
    <cellStyle name="Normal 10 28" xfId="327"/>
    <cellStyle name="Normal 10 29" xfId="5"/>
    <cellStyle name="Normal 10 3" xfId="328"/>
    <cellStyle name="Normal 10 3 2" xfId="329"/>
    <cellStyle name="Normal 10 3 3" xfId="330"/>
    <cellStyle name="Normal 10 3 4" xfId="331"/>
    <cellStyle name="Normal 10 4" xfId="332"/>
    <cellStyle name="Normal 10 4 2" xfId="333"/>
    <cellStyle name="Normal 10 4 3" xfId="334"/>
    <cellStyle name="Normal 10 5" xfId="335"/>
    <cellStyle name="Normal 10 6" xfId="336"/>
    <cellStyle name="Normal 10 7" xfId="337"/>
    <cellStyle name="Normal 10 8" xfId="338"/>
    <cellStyle name="Normal 10 9" xfId="339"/>
    <cellStyle name="Normal 11" xfId="340"/>
    <cellStyle name="Normal 11 10" xfId="341"/>
    <cellStyle name="Normal 11 11" xfId="342"/>
    <cellStyle name="Normal 11 12" xfId="343"/>
    <cellStyle name="Normal 11 13" xfId="344"/>
    <cellStyle name="Normal 11 14" xfId="345"/>
    <cellStyle name="Normal 11 15" xfId="346"/>
    <cellStyle name="Normal 11 16" xfId="347"/>
    <cellStyle name="Normal 11 17" xfId="348"/>
    <cellStyle name="Normal 11 18" xfId="349"/>
    <cellStyle name="Normal 11 19" xfId="350"/>
    <cellStyle name="Normal 11 2" xfId="351"/>
    <cellStyle name="Normal 11 20" xfId="352"/>
    <cellStyle name="Normal 11 21" xfId="353"/>
    <cellStyle name="Normal 11 22" xfId="354"/>
    <cellStyle name="Normal 11 23" xfId="355"/>
    <cellStyle name="Normal 11 24" xfId="356"/>
    <cellStyle name="Normal 11 25" xfId="357"/>
    <cellStyle name="Normal 11 26" xfId="358"/>
    <cellStyle name="Normal 11 27" xfId="359"/>
    <cellStyle name="Normal 11 27 2" xfId="360"/>
    <cellStyle name="Normal 11 3" xfId="361"/>
    <cellStyle name="Normal 11 3 2" xfId="362"/>
    <cellStyle name="Normal 11 4" xfId="363"/>
    <cellStyle name="Normal 11 5" xfId="364"/>
    <cellStyle name="Normal 11 6" xfId="365"/>
    <cellStyle name="Normal 11 7" xfId="366"/>
    <cellStyle name="Normal 11 8" xfId="367"/>
    <cellStyle name="Normal 11 9" xfId="368"/>
    <cellStyle name="Normal 11_DIÁRIO" xfId="369"/>
    <cellStyle name="Normal 12" xfId="370"/>
    <cellStyle name="Normal 12 2" xfId="371"/>
    <cellStyle name="Normal 12 2 2" xfId="372"/>
    <cellStyle name="Normal 12 2 2 2" xfId="373"/>
    <cellStyle name="Normal 12 2 3" xfId="374"/>
    <cellStyle name="Normal 12 3" xfId="375"/>
    <cellStyle name="Normal 12 3 2" xfId="376"/>
    <cellStyle name="Normal 12 4" xfId="377"/>
    <cellStyle name="Normal 12 5" xfId="378"/>
    <cellStyle name="Normal 12 6" xfId="379"/>
    <cellStyle name="Normal 13" xfId="380"/>
    <cellStyle name="Normal 13 2" xfId="381"/>
    <cellStyle name="Normal 13 2 2" xfId="382"/>
    <cellStyle name="Normal 13 2 2 2" xfId="383"/>
    <cellStyle name="Normal 13 2 3" xfId="384"/>
    <cellStyle name="Normal 13 3" xfId="385"/>
    <cellStyle name="Normal 13 3 2" xfId="386"/>
    <cellStyle name="Normal 13 4" xfId="387"/>
    <cellStyle name="Normal 13 5" xfId="388"/>
    <cellStyle name="Normal 13 6" xfId="389"/>
    <cellStyle name="Normal 14" xfId="390"/>
    <cellStyle name="Normal 14 2" xfId="391"/>
    <cellStyle name="Normal 14 2 2" xfId="392"/>
    <cellStyle name="Normal 14 2 2 2" xfId="393"/>
    <cellStyle name="Normal 14 2 3" xfId="394"/>
    <cellStyle name="Normal 14 3" xfId="395"/>
    <cellStyle name="Normal 14 3 2" xfId="396"/>
    <cellStyle name="Normal 14 4" xfId="397"/>
    <cellStyle name="Normal 14 5" xfId="398"/>
    <cellStyle name="Normal 15" xfId="399"/>
    <cellStyle name="Normal 15 2" xfId="400"/>
    <cellStyle name="Normal 15 2 2" xfId="401"/>
    <cellStyle name="Normal 15 2 2 2" xfId="402"/>
    <cellStyle name="Normal 15 2 3" xfId="403"/>
    <cellStyle name="Normal 15 3" xfId="404"/>
    <cellStyle name="Normal 15 3 2" xfId="405"/>
    <cellStyle name="Normal 15 4" xfId="406"/>
    <cellStyle name="Normal 16" xfId="407"/>
    <cellStyle name="Normal 16 2" xfId="408"/>
    <cellStyle name="Normal 16 2 2" xfId="409"/>
    <cellStyle name="Normal 16 2 2 2" xfId="410"/>
    <cellStyle name="Normal 16 2 3" xfId="411"/>
    <cellStyle name="Normal 16 3" xfId="412"/>
    <cellStyle name="Normal 16 3 2" xfId="413"/>
    <cellStyle name="Normal 16 4" xfId="414"/>
    <cellStyle name="Normal 17" xfId="415"/>
    <cellStyle name="Normal 17 2" xfId="416"/>
    <cellStyle name="Normal 17 2 2" xfId="417"/>
    <cellStyle name="Normal 17 2 2 2" xfId="418"/>
    <cellStyle name="Normal 17 2 3" xfId="419"/>
    <cellStyle name="Normal 17 3" xfId="420"/>
    <cellStyle name="Normal 17 3 2" xfId="421"/>
    <cellStyle name="Normal 17 4" xfId="422"/>
    <cellStyle name="Normal 18" xfId="423"/>
    <cellStyle name="Normal 18 2" xfId="424"/>
    <cellStyle name="Normal 18 2 2" xfId="425"/>
    <cellStyle name="Normal 18 2 2 2" xfId="426"/>
    <cellStyle name="Normal 18 2 3" xfId="427"/>
    <cellStyle name="Normal 18 3" xfId="428"/>
    <cellStyle name="Normal 18 3 2" xfId="429"/>
    <cellStyle name="Normal 18 4" xfId="430"/>
    <cellStyle name="Normal 19" xfId="431"/>
    <cellStyle name="Normal 19 2" xfId="432"/>
    <cellStyle name="Normal 19 2 2" xfId="433"/>
    <cellStyle name="Normal 19 2 2 2" xfId="434"/>
    <cellStyle name="Normal 19 2 3" xfId="435"/>
    <cellStyle name="Normal 19 3" xfId="436"/>
    <cellStyle name="Normal 19 3 2" xfId="437"/>
    <cellStyle name="Normal 19 4" xfId="438"/>
    <cellStyle name="Normal 2" xfId="439"/>
    <cellStyle name="Normal 2 10" xfId="440"/>
    <cellStyle name="Normal 2 10 2" xfId="441"/>
    <cellStyle name="Normal 2 10 2 2" xfId="442"/>
    <cellStyle name="Normal 2 10 2 2 2" xfId="443"/>
    <cellStyle name="Normal 2 10 2 2 2 2" xfId="444"/>
    <cellStyle name="Normal 2 10 2 2 2 2 2" xfId="445"/>
    <cellStyle name="Normal 2 10 2 2 3" xfId="446"/>
    <cellStyle name="Normal 2 10 2 2 4" xfId="447"/>
    <cellStyle name="Normal 2 10 2 3" xfId="448"/>
    <cellStyle name="Normal 2 10 3" xfId="449"/>
    <cellStyle name="Normal 2 10 3 2" xfId="450"/>
    <cellStyle name="Normal 2 10 4" xfId="451"/>
    <cellStyle name="Normal 2 10 5" xfId="452"/>
    <cellStyle name="Normal 2 10 6" xfId="453"/>
    <cellStyle name="Normal 2 11" xfId="454"/>
    <cellStyle name="Normal 2 11 2" xfId="455"/>
    <cellStyle name="Normal 2 11 2 2" xfId="456"/>
    <cellStyle name="Normal 2 11 3" xfId="457"/>
    <cellStyle name="Normal 2 11 4" xfId="458"/>
    <cellStyle name="Normal 2 11 5" xfId="459"/>
    <cellStyle name="Normal 2 12" xfId="460"/>
    <cellStyle name="Normal 2 12 2" xfId="461"/>
    <cellStyle name="Normal 2 12 3" xfId="462"/>
    <cellStyle name="Normal 2 12 4" xfId="463"/>
    <cellStyle name="Normal 2 13" xfId="464"/>
    <cellStyle name="Normal 2 13 2" xfId="465"/>
    <cellStyle name="Normal 2 13 3" xfId="466"/>
    <cellStyle name="Normal 2 14" xfId="467"/>
    <cellStyle name="Normal 2 14 2" xfId="468"/>
    <cellStyle name="Normal 2 14 3" xfId="469"/>
    <cellStyle name="Normal 2 15" xfId="470"/>
    <cellStyle name="Normal 2 15 2" xfId="471"/>
    <cellStyle name="Normal 2 15 3" xfId="472"/>
    <cellStyle name="Normal 2 16" xfId="473"/>
    <cellStyle name="Normal 2 16 2" xfId="474"/>
    <cellStyle name="Normal 2 16 3" xfId="475"/>
    <cellStyle name="Normal 2 17" xfId="476"/>
    <cellStyle name="Normal 2 17 2" xfId="477"/>
    <cellStyle name="Normal 2 18" xfId="478"/>
    <cellStyle name="Normal 2 18 2" xfId="479"/>
    <cellStyle name="Normal 2 19" xfId="480"/>
    <cellStyle name="Normal 2 19 2" xfId="481"/>
    <cellStyle name="Normal 2 2" xfId="482"/>
    <cellStyle name="Normal 2 2 10" xfId="483"/>
    <cellStyle name="Normal 2 2 2" xfId="484"/>
    <cellStyle name="Normal 2 2 2 2" xfId="485"/>
    <cellStyle name="Normal 2 2 2 2 2" xfId="486"/>
    <cellStyle name="Normal 2 2 2 2 2 2" xfId="487"/>
    <cellStyle name="Normal 2 2 2 2 3" xfId="488"/>
    <cellStyle name="Normal 2 2 2 3" xfId="489"/>
    <cellStyle name="Normal 2 2 2 3 2" xfId="490"/>
    <cellStyle name="Normal 2 2 2 4" xfId="491"/>
    <cellStyle name="Normal 2 2 2 5" xfId="492"/>
    <cellStyle name="Normal 2 2 3" xfId="493"/>
    <cellStyle name="Normal 2 2 3 2" xfId="494"/>
    <cellStyle name="Normal 2 2 3 2 2" xfId="495"/>
    <cellStyle name="Normal 2 2 3 2 2 2" xfId="496"/>
    <cellStyle name="Normal 2 2 3 2 3" xfId="497"/>
    <cellStyle name="Normal 2 2 3 3" xfId="498"/>
    <cellStyle name="Normal 2 2 3 3 2" xfId="499"/>
    <cellStyle name="Normal 2 2 3 4" xfId="500"/>
    <cellStyle name="Normal 2 2 3 5" xfId="501"/>
    <cellStyle name="Normal 2 2 3 6" xfId="502"/>
    <cellStyle name="Normal 2 2 4" xfId="503"/>
    <cellStyle name="Normal 2 2 4 2" xfId="504"/>
    <cellStyle name="Normal 2 2 4 2 2" xfId="505"/>
    <cellStyle name="Normal 2 2 4 2 2 2" xfId="506"/>
    <cellStyle name="Normal 2 2 4 2 3" xfId="507"/>
    <cellStyle name="Normal 2 2 4 3" xfId="508"/>
    <cellStyle name="Normal 2 2 4 3 2" xfId="509"/>
    <cellStyle name="Normal 2 2 4 4" xfId="510"/>
    <cellStyle name="Normal 2 2 5" xfId="511"/>
    <cellStyle name="Normal 2 2 5 2" xfId="512"/>
    <cellStyle name="Normal 2 2 5 2 2" xfId="513"/>
    <cellStyle name="Normal 2 2 5 2 2 2" xfId="514"/>
    <cellStyle name="Normal 2 2 5 2 3" xfId="515"/>
    <cellStyle name="Normal 2 2 5 3" xfId="516"/>
    <cellStyle name="Normal 2 2 5 3 2" xfId="517"/>
    <cellStyle name="Normal 2 2 5 4" xfId="518"/>
    <cellStyle name="Normal 2 2 6" xfId="519"/>
    <cellStyle name="Normal 2 2 6 2" xfId="520"/>
    <cellStyle name="Normal 2 2 6 2 2" xfId="521"/>
    <cellStyle name="Normal 2 2 6 3" xfId="522"/>
    <cellStyle name="Normal 2 2 7" xfId="523"/>
    <cellStyle name="Normal 2 2 7 2" xfId="524"/>
    <cellStyle name="Normal 2 2 8" xfId="525"/>
    <cellStyle name="Normal 2 2 9" xfId="526"/>
    <cellStyle name="Normal 2 20" xfId="527"/>
    <cellStyle name="Normal 2 21" xfId="528"/>
    <cellStyle name="Normal 2 22" xfId="529"/>
    <cellStyle name="Normal 2 23" xfId="530"/>
    <cellStyle name="Normal 2 24" xfId="531"/>
    <cellStyle name="Normal 2 25" xfId="532"/>
    <cellStyle name="Normal 2 26" xfId="533"/>
    <cellStyle name="Normal 2 27" xfId="534"/>
    <cellStyle name="Normal 2 28" xfId="535"/>
    <cellStyle name="Normal 2 29" xfId="536"/>
    <cellStyle name="Normal 2 3" xfId="537"/>
    <cellStyle name="Normal 2 3 2" xfId="538"/>
    <cellStyle name="Normal 2 3 2 2" xfId="539"/>
    <cellStyle name="Normal 2 3 2 2 2" xfId="540"/>
    <cellStyle name="Normal 2 3 2 2 2 2" xfId="541"/>
    <cellStyle name="Normal 2 3 2 2 3" xfId="542"/>
    <cellStyle name="Normal 2 3 2 3" xfId="543"/>
    <cellStyle name="Normal 2 3 2 3 2" xfId="544"/>
    <cellStyle name="Normal 2 3 2 4" xfId="545"/>
    <cellStyle name="Normal 2 3 2 5" xfId="546"/>
    <cellStyle name="Normal 2 3 2 6" xfId="547"/>
    <cellStyle name="Normal 2 3 3" xfId="548"/>
    <cellStyle name="Normal 2 3 3 2" xfId="549"/>
    <cellStyle name="Normal 2 3 3 2 2" xfId="550"/>
    <cellStyle name="Normal 2 3 3 2 2 2" xfId="551"/>
    <cellStyle name="Normal 2 3 3 2 3" xfId="552"/>
    <cellStyle name="Normal 2 3 3 3" xfId="553"/>
    <cellStyle name="Normal 2 3 3 3 2" xfId="554"/>
    <cellStyle name="Normal 2 3 3 4" xfId="555"/>
    <cellStyle name="Normal 2 3 4" xfId="556"/>
    <cellStyle name="Normal 2 3 4 2" xfId="557"/>
    <cellStyle name="Normal 2 3 4 2 2" xfId="558"/>
    <cellStyle name="Normal 2 3 4 2 2 2" xfId="559"/>
    <cellStyle name="Normal 2 3 4 2 3" xfId="560"/>
    <cellStyle name="Normal 2 3 4 3" xfId="561"/>
    <cellStyle name="Normal 2 3 4 3 2" xfId="562"/>
    <cellStyle name="Normal 2 3 4 4" xfId="563"/>
    <cellStyle name="Normal 2 3 5" xfId="564"/>
    <cellStyle name="Normal 2 3 5 2" xfId="565"/>
    <cellStyle name="Normal 2 3 5 2 2" xfId="566"/>
    <cellStyle name="Normal 2 3 5 3" xfId="567"/>
    <cellStyle name="Normal 2 3 6" xfId="568"/>
    <cellStyle name="Normal 2 3 6 2" xfId="569"/>
    <cellStyle name="Normal 2 3 7" xfId="570"/>
    <cellStyle name="Normal 2 3 8" xfId="571"/>
    <cellStyle name="Normal 2 30" xfId="572"/>
    <cellStyle name="Normal 2 31" xfId="573"/>
    <cellStyle name="Normal 2 32" xfId="574"/>
    <cellStyle name="Normal 2 33" xfId="575"/>
    <cellStyle name="Normal 2 34" xfId="576"/>
    <cellStyle name="Normal 2 35" xfId="577"/>
    <cellStyle name="Normal 2 36" xfId="578"/>
    <cellStyle name="Normal 2 37" xfId="579"/>
    <cellStyle name="Normal 2 38" xfId="580"/>
    <cellStyle name="Normal 2 39" xfId="581"/>
    <cellStyle name="Normal 2 4" xfId="582"/>
    <cellStyle name="Normal 2 4 2" xfId="583"/>
    <cellStyle name="Normal 2 4 2 2" xfId="584"/>
    <cellStyle name="Normal 2 4 2 2 2" xfId="585"/>
    <cellStyle name="Normal 2 4 2 3" xfId="586"/>
    <cellStyle name="Normal 2 4 3" xfId="587"/>
    <cellStyle name="Normal 2 4 3 2" xfId="588"/>
    <cellStyle name="Normal 2 4 4" xfId="589"/>
    <cellStyle name="Normal 2 4 5" xfId="590"/>
    <cellStyle name="Normal 2 40" xfId="591"/>
    <cellStyle name="Normal 2 41" xfId="592"/>
    <cellStyle name="Normal 2 42" xfId="593"/>
    <cellStyle name="Normal 2 5" xfId="594"/>
    <cellStyle name="Normal 2 5 2" xfId="595"/>
    <cellStyle name="Normal 2 5 2 2" xfId="596"/>
    <cellStyle name="Normal 2 5 2 2 2" xfId="597"/>
    <cellStyle name="Normal 2 5 2 3" xfId="598"/>
    <cellStyle name="Normal 2 5 3" xfId="599"/>
    <cellStyle name="Normal 2 5 3 2" xfId="600"/>
    <cellStyle name="Normal 2 5 4" xfId="601"/>
    <cellStyle name="Normal 2 5 5" xfId="602"/>
    <cellStyle name="Normal 2 5 6" xfId="603"/>
    <cellStyle name="Normal 2 6" xfId="604"/>
    <cellStyle name="Normal 2 6 2" xfId="605"/>
    <cellStyle name="Normal 2 6 2 2" xfId="606"/>
    <cellStyle name="Normal 2 6 2 2 2" xfId="607"/>
    <cellStyle name="Normal 2 6 2 3" xfId="608"/>
    <cellStyle name="Normal 2 6 3" xfId="609"/>
    <cellStyle name="Normal 2 6 3 2" xfId="610"/>
    <cellStyle name="Normal 2 6 4" xfId="611"/>
    <cellStyle name="Normal 2 6 5" xfId="612"/>
    <cellStyle name="Normal 2 6 6" xfId="613"/>
    <cellStyle name="Normal 2 7" xfId="614"/>
    <cellStyle name="Normal 2 7 2" xfId="615"/>
    <cellStyle name="Normal 2 7 2 2" xfId="616"/>
    <cellStyle name="Normal 2 7 2 2 2" xfId="617"/>
    <cellStyle name="Normal 2 7 2 3" xfId="618"/>
    <cellStyle name="Normal 2 7 3" xfId="619"/>
    <cellStyle name="Normal 2 7 3 2" xfId="620"/>
    <cellStyle name="Normal 2 7 4" xfId="621"/>
    <cellStyle name="Normal 2 7 5" xfId="622"/>
    <cellStyle name="Normal 2 7 6" xfId="623"/>
    <cellStyle name="Normal 2 8" xfId="624"/>
    <cellStyle name="Normal 2 8 2" xfId="625"/>
    <cellStyle name="Normal 2 8 2 2" xfId="626"/>
    <cellStyle name="Normal 2 8 2 2 2" xfId="627"/>
    <cellStyle name="Normal 2 8 2 3" xfId="628"/>
    <cellStyle name="Normal 2 8 3" xfId="629"/>
    <cellStyle name="Normal 2 8 3 2" xfId="630"/>
    <cellStyle name="Normal 2 8 4" xfId="631"/>
    <cellStyle name="Normal 2 8 5" xfId="632"/>
    <cellStyle name="Normal 2 8 6" xfId="633"/>
    <cellStyle name="Normal 2 9" xfId="634"/>
    <cellStyle name="Normal 2 9 2" xfId="635"/>
    <cellStyle name="Normal 2 9 2 2" xfId="636"/>
    <cellStyle name="Normal 2 9 2 2 2" xfId="637"/>
    <cellStyle name="Normal 2 9 2 3" xfId="638"/>
    <cellStyle name="Normal 2 9 3" xfId="639"/>
    <cellStyle name="Normal 2 9 3 2" xfId="640"/>
    <cellStyle name="Normal 2 9 4" xfId="641"/>
    <cellStyle name="Normal 2 9 5" xfId="642"/>
    <cellStyle name="Normal 2 9 6" xfId="643"/>
    <cellStyle name="Normal 2_DIÁRIO" xfId="644"/>
    <cellStyle name="Normal 20" xfId="645"/>
    <cellStyle name="Normal 21" xfId="646"/>
    <cellStyle name="Normal 21 2" xfId="647"/>
    <cellStyle name="Normal 21 2 2" xfId="648"/>
    <cellStyle name="Normal 21 3" xfId="649"/>
    <cellStyle name="Normal 21 4" xfId="650"/>
    <cellStyle name="Normal 21 5" xfId="651"/>
    <cellStyle name="Normal 22" xfId="652"/>
    <cellStyle name="Normal 23" xfId="653"/>
    <cellStyle name="Normal 23 10" xfId="654"/>
    <cellStyle name="Normal 23 10 2" xfId="655"/>
    <cellStyle name="Normal 23 10 2 2" xfId="656"/>
    <cellStyle name="Normal 23 10 3" xfId="657"/>
    <cellStyle name="Normal 23 11" xfId="658"/>
    <cellStyle name="Normal 23 11 2" xfId="659"/>
    <cellStyle name="Normal 23 11 2 2" xfId="660"/>
    <cellStyle name="Normal 23 11 3" xfId="661"/>
    <cellStyle name="Normal 23 12" xfId="662"/>
    <cellStyle name="Normal 23 12 2" xfId="663"/>
    <cellStyle name="Normal 23 12 2 2" xfId="664"/>
    <cellStyle name="Normal 23 12 3" xfId="665"/>
    <cellStyle name="Normal 23 13" xfId="666"/>
    <cellStyle name="Normal 23 13 2" xfId="667"/>
    <cellStyle name="Normal 23 13 2 2" xfId="668"/>
    <cellStyle name="Normal 23 13 3" xfId="669"/>
    <cellStyle name="Normal 23 14" xfId="670"/>
    <cellStyle name="Normal 23 14 2" xfId="671"/>
    <cellStyle name="Normal 23 14 2 2" xfId="672"/>
    <cellStyle name="Normal 23 14 3" xfId="673"/>
    <cellStyle name="Normal 23 15" xfId="674"/>
    <cellStyle name="Normal 23 15 2" xfId="675"/>
    <cellStyle name="Normal 23 15 2 2" xfId="676"/>
    <cellStyle name="Normal 23 15 3" xfId="677"/>
    <cellStyle name="Normal 23 16" xfId="678"/>
    <cellStyle name="Normal 23 16 2" xfId="679"/>
    <cellStyle name="Normal 23 16 2 2" xfId="680"/>
    <cellStyle name="Normal 23 16 3" xfId="681"/>
    <cellStyle name="Normal 23 17" xfId="682"/>
    <cellStyle name="Normal 23 17 2" xfId="683"/>
    <cellStyle name="Normal 23 17 2 2" xfId="684"/>
    <cellStyle name="Normal 23 17 3" xfId="685"/>
    <cellStyle name="Normal 23 18" xfId="686"/>
    <cellStyle name="Normal 23 18 2" xfId="687"/>
    <cellStyle name="Normal 23 18 2 2" xfId="688"/>
    <cellStyle name="Normal 23 18 3" xfId="689"/>
    <cellStyle name="Normal 23 19" xfId="690"/>
    <cellStyle name="Normal 23 19 2" xfId="691"/>
    <cellStyle name="Normal 23 19 2 2" xfId="692"/>
    <cellStyle name="Normal 23 19 3" xfId="693"/>
    <cellStyle name="Normal 23 2" xfId="694"/>
    <cellStyle name="Normal 23 2 2" xfId="695"/>
    <cellStyle name="Normal 23 2 2 2" xfId="696"/>
    <cellStyle name="Normal 23 2 3" xfId="697"/>
    <cellStyle name="Normal 23 20" xfId="698"/>
    <cellStyle name="Normal 23 20 2" xfId="699"/>
    <cellStyle name="Normal 23 20 2 2" xfId="700"/>
    <cellStyle name="Normal 23 20 3" xfId="701"/>
    <cellStyle name="Normal 23 21" xfId="702"/>
    <cellStyle name="Normal 23 21 2" xfId="703"/>
    <cellStyle name="Normal 23 21 2 2" xfId="704"/>
    <cellStyle name="Normal 23 21 3" xfId="705"/>
    <cellStyle name="Normal 23 22" xfId="706"/>
    <cellStyle name="Normal 23 22 2" xfId="707"/>
    <cellStyle name="Normal 23 22 2 2" xfId="708"/>
    <cellStyle name="Normal 23 22 3" xfId="709"/>
    <cellStyle name="Normal 23 23" xfId="710"/>
    <cellStyle name="Normal 23 23 2" xfId="711"/>
    <cellStyle name="Normal 23 23 2 2" xfId="712"/>
    <cellStyle name="Normal 23 23 3" xfId="713"/>
    <cellStyle name="Normal 23 24" xfId="714"/>
    <cellStyle name="Normal 23 24 2" xfId="715"/>
    <cellStyle name="Normal 23 24 2 2" xfId="716"/>
    <cellStyle name="Normal 23 24 3" xfId="717"/>
    <cellStyle name="Normal 23 25" xfId="718"/>
    <cellStyle name="Normal 23 25 2" xfId="719"/>
    <cellStyle name="Normal 23 25 2 2" xfId="720"/>
    <cellStyle name="Normal 23 25 3" xfId="721"/>
    <cellStyle name="Normal 23 26" xfId="722"/>
    <cellStyle name="Normal 23 26 2" xfId="723"/>
    <cellStyle name="Normal 23 26 2 2" xfId="724"/>
    <cellStyle name="Normal 23 26 3" xfId="725"/>
    <cellStyle name="Normal 23 27" xfId="726"/>
    <cellStyle name="Normal 23 27 2" xfId="727"/>
    <cellStyle name="Normal 23 28" xfId="728"/>
    <cellStyle name="Normal 23 3" xfId="729"/>
    <cellStyle name="Normal 23 3 2" xfId="730"/>
    <cellStyle name="Normal 23 3 2 2" xfId="731"/>
    <cellStyle name="Normal 23 3 3" xfId="732"/>
    <cellStyle name="Normal 23 4" xfId="733"/>
    <cellStyle name="Normal 23 4 2" xfId="734"/>
    <cellStyle name="Normal 23 4 2 2" xfId="735"/>
    <cellStyle name="Normal 23 4 3" xfId="736"/>
    <cellStyle name="Normal 23 5" xfId="737"/>
    <cellStyle name="Normal 23 5 2" xfId="738"/>
    <cellStyle name="Normal 23 5 2 2" xfId="739"/>
    <cellStyle name="Normal 23 5 3" xfId="740"/>
    <cellStyle name="Normal 23 6" xfId="741"/>
    <cellStyle name="Normal 23 6 2" xfId="742"/>
    <cellStyle name="Normal 23 6 2 2" xfId="743"/>
    <cellStyle name="Normal 23 6 3" xfId="744"/>
    <cellStyle name="Normal 23 7" xfId="745"/>
    <cellStyle name="Normal 23 7 2" xfId="746"/>
    <cellStyle name="Normal 23 7 2 2" xfId="747"/>
    <cellStyle name="Normal 23 7 3" xfId="748"/>
    <cellStyle name="Normal 23 8" xfId="749"/>
    <cellStyle name="Normal 23 8 2" xfId="750"/>
    <cellStyle name="Normal 23 8 2 2" xfId="751"/>
    <cellStyle name="Normal 23 8 3" xfId="752"/>
    <cellStyle name="Normal 23 9" xfId="753"/>
    <cellStyle name="Normal 23 9 2" xfId="754"/>
    <cellStyle name="Normal 23 9 2 2" xfId="755"/>
    <cellStyle name="Normal 23 9 3" xfId="756"/>
    <cellStyle name="Normal 24" xfId="757"/>
    <cellStyle name="Normal 24 2" xfId="758"/>
    <cellStyle name="Normal 24 2 2" xfId="759"/>
    <cellStyle name="Normal 24 3" xfId="760"/>
    <cellStyle name="Normal 24 4" xfId="761"/>
    <cellStyle name="Normal 25" xfId="762"/>
    <cellStyle name="Normal 26" xfId="763"/>
    <cellStyle name="Normal 27" xfId="764"/>
    <cellStyle name="Normal 28" xfId="765"/>
    <cellStyle name="Normal 29" xfId="766"/>
    <cellStyle name="Normal 3" xfId="767"/>
    <cellStyle name="Normal 3 10" xfId="768"/>
    <cellStyle name="Normal 3 10 2" xfId="769"/>
    <cellStyle name="Normal 3 10 2 2" xfId="770"/>
    <cellStyle name="Normal 3 10 3" xfId="771"/>
    <cellStyle name="Normal 3 11" xfId="772"/>
    <cellStyle name="Normal 3 11 2" xfId="773"/>
    <cellStyle name="Normal 3 12" xfId="774"/>
    <cellStyle name="Normal 3 13" xfId="775"/>
    <cellStyle name="Normal 3 14" xfId="776"/>
    <cellStyle name="Normal 3 15" xfId="777"/>
    <cellStyle name="Normal 3 16" xfId="778"/>
    <cellStyle name="Normal 3 17" xfId="779"/>
    <cellStyle name="Normal 3 18" xfId="780"/>
    <cellStyle name="Normal 3 19" xfId="781"/>
    <cellStyle name="Normal 3 2" xfId="782"/>
    <cellStyle name="Normal 3 2 2" xfId="783"/>
    <cellStyle name="Normal 3 2 2 2" xfId="784"/>
    <cellStyle name="Normal 3 2 2 2 2" xfId="785"/>
    <cellStyle name="Normal 3 2 2 2 2 2" xfId="786"/>
    <cellStyle name="Normal 3 2 2 2 3" xfId="787"/>
    <cellStyle name="Normal 3 2 2 3" xfId="788"/>
    <cellStyle name="Normal 3 2 2 3 2" xfId="789"/>
    <cellStyle name="Normal 3 2 2 4" xfId="790"/>
    <cellStyle name="Normal 3 2 3" xfId="791"/>
    <cellStyle name="Normal 3 2 3 2" xfId="792"/>
    <cellStyle name="Normal 3 2 3 2 2" xfId="793"/>
    <cellStyle name="Normal 3 2 3 2 2 2" xfId="794"/>
    <cellStyle name="Normal 3 2 3 2 3" xfId="795"/>
    <cellStyle name="Normal 3 2 3 3" xfId="796"/>
    <cellStyle name="Normal 3 2 3 3 2" xfId="797"/>
    <cellStyle name="Normal 3 2 3 4" xfId="798"/>
    <cellStyle name="Normal 3 2 4" xfId="799"/>
    <cellStyle name="Normal 3 2 4 2" xfId="800"/>
    <cellStyle name="Normal 3 2 4 2 2" xfId="801"/>
    <cellStyle name="Normal 3 2 4 2 2 2" xfId="802"/>
    <cellStyle name="Normal 3 2 4 2 3" xfId="803"/>
    <cellStyle name="Normal 3 2 4 3" xfId="804"/>
    <cellStyle name="Normal 3 2 4 3 2" xfId="805"/>
    <cellStyle name="Normal 3 2 4 4" xfId="806"/>
    <cellStyle name="Normal 3 2 5" xfId="807"/>
    <cellStyle name="Normal 3 2 5 2" xfId="808"/>
    <cellStyle name="Normal 3 2 5 2 2" xfId="809"/>
    <cellStyle name="Normal 3 2 5 3" xfId="810"/>
    <cellStyle name="Normal 3 2 6" xfId="811"/>
    <cellStyle name="Normal 3 2 6 2" xfId="812"/>
    <cellStyle name="Normal 3 2 7" xfId="813"/>
    <cellStyle name="Normal 3 2 8" xfId="1354"/>
    <cellStyle name="Normal 3 3" xfId="814"/>
    <cellStyle name="Normal 3 3 2" xfId="815"/>
    <cellStyle name="Normal 3 3 2 2" xfId="816"/>
    <cellStyle name="Normal 3 3 2 2 2" xfId="817"/>
    <cellStyle name="Normal 3 3 2 3" xfId="818"/>
    <cellStyle name="Normal 3 3 3" xfId="819"/>
    <cellStyle name="Normal 3 3 3 2" xfId="820"/>
    <cellStyle name="Normal 3 3 4" xfId="821"/>
    <cellStyle name="Normal 3 3 5" xfId="822"/>
    <cellStyle name="Normal 3 3 6" xfId="823"/>
    <cellStyle name="Normal 3 4" xfId="824"/>
    <cellStyle name="Normal 3 4 2" xfId="825"/>
    <cellStyle name="Normal 3 4 2 2" xfId="826"/>
    <cellStyle name="Normal 3 4 2 2 2" xfId="827"/>
    <cellStyle name="Normal 3 4 2 3" xfId="828"/>
    <cellStyle name="Normal 3 4 3" xfId="829"/>
    <cellStyle name="Normal 3 4 3 2" xfId="830"/>
    <cellStyle name="Normal 3 4 4" xfId="831"/>
    <cellStyle name="Normal 3 4 5" xfId="832"/>
    <cellStyle name="Normal 3 4 6" xfId="833"/>
    <cellStyle name="Normal 3 5" xfId="834"/>
    <cellStyle name="Normal 3 5 2" xfId="835"/>
    <cellStyle name="Normal 3 5 2 2" xfId="836"/>
    <cellStyle name="Normal 3 5 2 2 2" xfId="837"/>
    <cellStyle name="Normal 3 5 2 3" xfId="838"/>
    <cellStyle name="Normal 3 5 3" xfId="839"/>
    <cellStyle name="Normal 3 5 3 2" xfId="840"/>
    <cellStyle name="Normal 3 5 4" xfId="841"/>
    <cellStyle name="Normal 3 6" xfId="842"/>
    <cellStyle name="Normal 3 6 2" xfId="843"/>
    <cellStyle name="Normal 3 6 2 2" xfId="844"/>
    <cellStyle name="Normal 3 6 2 2 2" xfId="845"/>
    <cellStyle name="Normal 3 6 2 3" xfId="846"/>
    <cellStyle name="Normal 3 6 3" xfId="847"/>
    <cellStyle name="Normal 3 6 3 2" xfId="848"/>
    <cellStyle name="Normal 3 6 4" xfId="849"/>
    <cellStyle name="Normal 3 7" xfId="850"/>
    <cellStyle name="Normal 3 7 2" xfId="851"/>
    <cellStyle name="Normal 3 7 2 2" xfId="852"/>
    <cellStyle name="Normal 3 7 2 2 2" xfId="853"/>
    <cellStyle name="Normal 3 7 2 3" xfId="854"/>
    <cellStyle name="Normal 3 7 3" xfId="855"/>
    <cellStyle name="Normal 3 7 3 2" xfId="856"/>
    <cellStyle name="Normal 3 7 4" xfId="857"/>
    <cellStyle name="Normal 3 8" xfId="858"/>
    <cellStyle name="Normal 3 8 2" xfId="859"/>
    <cellStyle name="Normal 3 8 2 2" xfId="860"/>
    <cellStyle name="Normal 3 8 2 2 2" xfId="861"/>
    <cellStyle name="Normal 3 8 2 3" xfId="862"/>
    <cellStyle name="Normal 3 8 3" xfId="863"/>
    <cellStyle name="Normal 3 8 3 2" xfId="864"/>
    <cellStyle name="Normal 3 8 4" xfId="865"/>
    <cellStyle name="Normal 3 9" xfId="866"/>
    <cellStyle name="Normal 3 9 2" xfId="867"/>
    <cellStyle name="Normal 3 9 2 2" xfId="868"/>
    <cellStyle name="Normal 3 9 2 2 2" xfId="869"/>
    <cellStyle name="Normal 3 9 2 3" xfId="870"/>
    <cellStyle name="Normal 3 9 3" xfId="871"/>
    <cellStyle name="Normal 3 9 3 2" xfId="872"/>
    <cellStyle name="Normal 3 9 4" xfId="873"/>
    <cellStyle name="Normal 3_DIÁRIO" xfId="874"/>
    <cellStyle name="Normal 30" xfId="875"/>
    <cellStyle name="Normal 31" xfId="876"/>
    <cellStyle name="Normal 32" xfId="877"/>
    <cellStyle name="Normal 33" xfId="878"/>
    <cellStyle name="Normal 34" xfId="879"/>
    <cellStyle name="Normal 35" xfId="880"/>
    <cellStyle name="Normal 36" xfId="881"/>
    <cellStyle name="Normal 37" xfId="882"/>
    <cellStyle name="Normal 38" xfId="883"/>
    <cellStyle name="Normal 39" xfId="884"/>
    <cellStyle name="Normal 4" xfId="885"/>
    <cellStyle name="Normal 4 2" xfId="886"/>
    <cellStyle name="Normal 4 2 2" xfId="887"/>
    <cellStyle name="Normal 4 2 2 2" xfId="888"/>
    <cellStyle name="Normal 4 2 2 2 2" xfId="889"/>
    <cellStyle name="Normal 4 2 2 2 2 2" xfId="890"/>
    <cellStyle name="Normal 4 2 2 2 3" xfId="891"/>
    <cellStyle name="Normal 4 2 2 3" xfId="892"/>
    <cellStyle name="Normal 4 2 2 3 2" xfId="893"/>
    <cellStyle name="Normal 4 2 2 4" xfId="894"/>
    <cellStyle name="Normal 4 2 3" xfId="895"/>
    <cellStyle name="Normal 4 2 3 2" xfId="896"/>
    <cellStyle name="Normal 4 2 3 2 2" xfId="897"/>
    <cellStyle name="Normal 4 2 3 2 2 2" xfId="898"/>
    <cellStyle name="Normal 4 2 3 2 3" xfId="899"/>
    <cellStyle name="Normal 4 2 3 3" xfId="900"/>
    <cellStyle name="Normal 4 2 3 3 2" xfId="901"/>
    <cellStyle name="Normal 4 2 3 4" xfId="902"/>
    <cellStyle name="Normal 4 2 4" xfId="903"/>
    <cellStyle name="Normal 4 2 4 2" xfId="904"/>
    <cellStyle name="Normal 4 2 4 2 2" xfId="905"/>
    <cellStyle name="Normal 4 2 4 3" xfId="906"/>
    <cellStyle name="Normal 4 2 5" xfId="907"/>
    <cellStyle name="Normal 4 2 5 2" xfId="908"/>
    <cellStyle name="Normal 4 2 6" xfId="909"/>
    <cellStyle name="Normal 4 2 7" xfId="910"/>
    <cellStyle name="Normal 4 2 8" xfId="911"/>
    <cellStyle name="Normal 4 3" xfId="912"/>
    <cellStyle name="Normal 4 4" xfId="913"/>
    <cellStyle name="Normal 4 4 2" xfId="914"/>
    <cellStyle name="Normal 4 4 2 2" xfId="915"/>
    <cellStyle name="Normal 4 4 2 2 2" xfId="916"/>
    <cellStyle name="Normal 4 4 2 3" xfId="917"/>
    <cellStyle name="Normal 4 4 3" xfId="918"/>
    <cellStyle name="Normal 4 4 3 2" xfId="919"/>
    <cellStyle name="Normal 4 4 4" xfId="920"/>
    <cellStyle name="Normal 4 5" xfId="921"/>
    <cellStyle name="Normal 4 5 2" xfId="922"/>
    <cellStyle name="Normal 4 5 2 2" xfId="923"/>
    <cellStyle name="Normal 4 5 3" xfId="924"/>
    <cellStyle name="Normal 4 6" xfId="925"/>
    <cellStyle name="Normal 4 6 2" xfId="926"/>
    <cellStyle name="Normal 4 7" xfId="927"/>
    <cellStyle name="Normal 4 8" xfId="928"/>
    <cellStyle name="Normal 4_DIÁRIO" xfId="929"/>
    <cellStyle name="Normal 40" xfId="930"/>
    <cellStyle name="Normal 41" xfId="931"/>
    <cellStyle name="Normal 42" xfId="932"/>
    <cellStyle name="Normal 43" xfId="933"/>
    <cellStyle name="Normal 44" xfId="934"/>
    <cellStyle name="Normal 45" xfId="935"/>
    <cellStyle name="Normal 46" xfId="936"/>
    <cellStyle name="Normal 5" xfId="937"/>
    <cellStyle name="Normal 5 10" xfId="938"/>
    <cellStyle name="Normal 5 2" xfId="939"/>
    <cellStyle name="Normal 5 2 2" xfId="940"/>
    <cellStyle name="Normal 5 2 2 2" xfId="941"/>
    <cellStyle name="Normal 5 2 2 2 2" xfId="942"/>
    <cellStyle name="Normal 5 2 2 3" xfId="943"/>
    <cellStyle name="Normal 5 2 2 4" xfId="944"/>
    <cellStyle name="Normal 5 2 2 5" xfId="945"/>
    <cellStyle name="Normal 5 2 3" xfId="946"/>
    <cellStyle name="Normal 5 2 3 2" xfId="947"/>
    <cellStyle name="Normal 5 2 4" xfId="948"/>
    <cellStyle name="Normal 5 2 5" xfId="949"/>
    <cellStyle name="Normal 5 2 6" xfId="950"/>
    <cellStyle name="Normal 5 3" xfId="951"/>
    <cellStyle name="Normal 5 3 2" xfId="952"/>
    <cellStyle name="Normal 5 3 2 2" xfId="953"/>
    <cellStyle name="Normal 5 3 2 2 2" xfId="954"/>
    <cellStyle name="Normal 5 3 2 3" xfId="955"/>
    <cellStyle name="Normal 5 3 2 4" xfId="956"/>
    <cellStyle name="Normal 5 3 2 5" xfId="957"/>
    <cellStyle name="Normal 5 3 3" xfId="958"/>
    <cellStyle name="Normal 5 3 3 2" xfId="959"/>
    <cellStyle name="Normal 5 3 4" xfId="960"/>
    <cellStyle name="Normal 5 3 5" xfId="961"/>
    <cellStyle name="Normal 5 3 6" xfId="962"/>
    <cellStyle name="Normal 5 4" xfId="963"/>
    <cellStyle name="Normal 5 4 2" xfId="964"/>
    <cellStyle name="Normal 5 4 2 2" xfId="965"/>
    <cellStyle name="Normal 5 4 2 2 2" xfId="966"/>
    <cellStyle name="Normal 5 4 2 3" xfId="967"/>
    <cellStyle name="Normal 5 4 3" xfId="968"/>
    <cellStyle name="Normal 5 4 3 2" xfId="969"/>
    <cellStyle name="Normal 5 4 4" xfId="970"/>
    <cellStyle name="Normal 5 5" xfId="971"/>
    <cellStyle name="Normal 5 5 2" xfId="972"/>
    <cellStyle name="Normal 5 5 2 2" xfId="973"/>
    <cellStyle name="Normal 5 5 2 2 2" xfId="974"/>
    <cellStyle name="Normal 5 5 2 3" xfId="975"/>
    <cellStyle name="Normal 5 5 3" xfId="976"/>
    <cellStyle name="Normal 5 5 3 2" xfId="977"/>
    <cellStyle name="Normal 5 5 4" xfId="978"/>
    <cellStyle name="Normal 5 6" xfId="979"/>
    <cellStyle name="Normal 5 6 2" xfId="980"/>
    <cellStyle name="Normal 5 6 2 2" xfId="981"/>
    <cellStyle name="Normal 5 6 3" xfId="982"/>
    <cellStyle name="Normal 5 7" xfId="983"/>
    <cellStyle name="Normal 5 7 2" xfId="984"/>
    <cellStyle name="Normal 5 8" xfId="985"/>
    <cellStyle name="Normal 5 9" xfId="986"/>
    <cellStyle name="Normal 6" xfId="987"/>
    <cellStyle name="Normal 6 2" xfId="988"/>
    <cellStyle name="Normal 6 3" xfId="989"/>
    <cellStyle name="Normal 6 4" xfId="990"/>
    <cellStyle name="Normal 7" xfId="991"/>
    <cellStyle name="Normal 7 10" xfId="992"/>
    <cellStyle name="Normal 7 10 2" xfId="993"/>
    <cellStyle name="Normal 7 10 2 2" xfId="994"/>
    <cellStyle name="Normal 7 10 3" xfId="995"/>
    <cellStyle name="Normal 7 11" xfId="996"/>
    <cellStyle name="Normal 7 11 2" xfId="997"/>
    <cellStyle name="Normal 7 11 2 2" xfId="998"/>
    <cellStyle name="Normal 7 11 3" xfId="999"/>
    <cellStyle name="Normal 7 12" xfId="1000"/>
    <cellStyle name="Normal 7 12 2" xfId="1001"/>
    <cellStyle name="Normal 7 12 2 2" xfId="1002"/>
    <cellStyle name="Normal 7 12 3" xfId="1003"/>
    <cellStyle name="Normal 7 13" xfId="1004"/>
    <cellStyle name="Normal 7 13 2" xfId="1005"/>
    <cellStyle name="Normal 7 13 2 2" xfId="1006"/>
    <cellStyle name="Normal 7 13 3" xfId="1007"/>
    <cellStyle name="Normal 7 14" xfId="1008"/>
    <cellStyle name="Normal 7 14 2" xfId="1009"/>
    <cellStyle name="Normal 7 14 2 2" xfId="1010"/>
    <cellStyle name="Normal 7 14 3" xfId="1011"/>
    <cellStyle name="Normal 7 15" xfId="1012"/>
    <cellStyle name="Normal 7 15 2" xfId="1013"/>
    <cellStyle name="Normal 7 15 2 2" xfId="1014"/>
    <cellStyle name="Normal 7 15 3" xfId="1015"/>
    <cellStyle name="Normal 7 16" xfId="1016"/>
    <cellStyle name="Normal 7 16 2" xfId="1017"/>
    <cellStyle name="Normal 7 16 2 2" xfId="1018"/>
    <cellStyle name="Normal 7 16 3" xfId="1019"/>
    <cellStyle name="Normal 7 17" xfId="1020"/>
    <cellStyle name="Normal 7 17 2" xfId="1021"/>
    <cellStyle name="Normal 7 17 2 2" xfId="1022"/>
    <cellStyle name="Normal 7 17 3" xfId="1023"/>
    <cellStyle name="Normal 7 18" xfId="1024"/>
    <cellStyle name="Normal 7 18 2" xfId="1025"/>
    <cellStyle name="Normal 7 18 2 2" xfId="1026"/>
    <cellStyle name="Normal 7 18 3" xfId="1027"/>
    <cellStyle name="Normal 7 19" xfId="1028"/>
    <cellStyle name="Normal 7 19 2" xfId="1029"/>
    <cellStyle name="Normal 7 19 2 2" xfId="1030"/>
    <cellStyle name="Normal 7 19 3" xfId="1031"/>
    <cellStyle name="Normal 7 2" xfId="1032"/>
    <cellStyle name="Normal 7 2 2" xfId="1033"/>
    <cellStyle name="Normal 7 2 2 2" xfId="1034"/>
    <cellStyle name="Normal 7 2 2 2 2" xfId="1035"/>
    <cellStyle name="Normal 7 2 2 3" xfId="1036"/>
    <cellStyle name="Normal 7 2 2 4" xfId="1037"/>
    <cellStyle name="Normal 7 2 2 5" xfId="1038"/>
    <cellStyle name="Normal 7 2 3" xfId="1039"/>
    <cellStyle name="Normal 7 2 3 2" xfId="1040"/>
    <cellStyle name="Normal 7 2 3 3" xfId="1041"/>
    <cellStyle name="Normal 7 2 3 4" xfId="1042"/>
    <cellStyle name="Normal 7 2 4" xfId="1043"/>
    <cellStyle name="Normal 7 2 5" xfId="1044"/>
    <cellStyle name="Normal 7 2 6" xfId="1045"/>
    <cellStyle name="Normal 7 20" xfId="1046"/>
    <cellStyle name="Normal 7 20 2" xfId="1047"/>
    <cellStyle name="Normal 7 20 2 2" xfId="1048"/>
    <cellStyle name="Normal 7 20 3" xfId="1049"/>
    <cellStyle name="Normal 7 21" xfId="1050"/>
    <cellStyle name="Normal 7 21 2" xfId="1051"/>
    <cellStyle name="Normal 7 21 2 2" xfId="1052"/>
    <cellStyle name="Normal 7 21 3" xfId="1053"/>
    <cellStyle name="Normal 7 22" xfId="1054"/>
    <cellStyle name="Normal 7 22 2" xfId="1055"/>
    <cellStyle name="Normal 7 22 2 2" xfId="1056"/>
    <cellStyle name="Normal 7 22 3" xfId="1057"/>
    <cellStyle name="Normal 7 23" xfId="1058"/>
    <cellStyle name="Normal 7 23 2" xfId="1059"/>
    <cellStyle name="Normal 7 23 2 2" xfId="1060"/>
    <cellStyle name="Normal 7 23 3" xfId="1061"/>
    <cellStyle name="Normal 7 24" xfId="1062"/>
    <cellStyle name="Normal 7 24 2" xfId="1063"/>
    <cellStyle name="Normal 7 24 2 2" xfId="1064"/>
    <cellStyle name="Normal 7 24 3" xfId="1065"/>
    <cellStyle name="Normal 7 25" xfId="1066"/>
    <cellStyle name="Normal 7 25 2" xfId="1067"/>
    <cellStyle name="Normal 7 25 2 2" xfId="1068"/>
    <cellStyle name="Normal 7 25 3" xfId="1069"/>
    <cellStyle name="Normal 7 26" xfId="1070"/>
    <cellStyle name="Normal 7 26 2" xfId="1071"/>
    <cellStyle name="Normal 7 26 2 2" xfId="1072"/>
    <cellStyle name="Normal 7 26 3" xfId="1073"/>
    <cellStyle name="Normal 7 27" xfId="1074"/>
    <cellStyle name="Normal 7 27 2" xfId="1075"/>
    <cellStyle name="Normal 7 28" xfId="1076"/>
    <cellStyle name="Normal 7 3" xfId="1077"/>
    <cellStyle name="Normal 7 3 2" xfId="1078"/>
    <cellStyle name="Normal 7 3 2 2" xfId="1079"/>
    <cellStyle name="Normal 7 3 2 2 2" xfId="1080"/>
    <cellStyle name="Normal 7 3 2 3" xfId="1081"/>
    <cellStyle name="Normal 7 3 3" xfId="1082"/>
    <cellStyle name="Normal 7 3 3 2" xfId="1083"/>
    <cellStyle name="Normal 7 3 4" xfId="1084"/>
    <cellStyle name="Normal 7 3 5" xfId="1085"/>
    <cellStyle name="Normal 7 3 6" xfId="1086"/>
    <cellStyle name="Normal 7 4" xfId="1087"/>
    <cellStyle name="Normal 7 4 2" xfId="1088"/>
    <cellStyle name="Normal 7 4 2 2" xfId="1089"/>
    <cellStyle name="Normal 7 4 2 2 2" xfId="1090"/>
    <cellStyle name="Normal 7 4 2 3" xfId="1091"/>
    <cellStyle name="Normal 7 4 3" xfId="1092"/>
    <cellStyle name="Normal 7 4 3 2" xfId="1093"/>
    <cellStyle name="Normal 7 4 4" xfId="1094"/>
    <cellStyle name="Normal 7 4 5" xfId="1095"/>
    <cellStyle name="Normal 7 4 6" xfId="1096"/>
    <cellStyle name="Normal 7 5" xfId="1097"/>
    <cellStyle name="Normal 7 5 2" xfId="1098"/>
    <cellStyle name="Normal 7 5 2 2" xfId="1099"/>
    <cellStyle name="Normal 7 5 3" xfId="1100"/>
    <cellStyle name="Normal 7 5 4" xfId="1101"/>
    <cellStyle name="Normal 7 5 5" xfId="1102"/>
    <cellStyle name="Normal 7 6" xfId="1103"/>
    <cellStyle name="Normal 7 6 2" xfId="1104"/>
    <cellStyle name="Normal 7 6 2 2" xfId="1105"/>
    <cellStyle name="Normal 7 6 3" xfId="1106"/>
    <cellStyle name="Normal 7 6 4" xfId="1107"/>
    <cellStyle name="Normal 7 7" xfId="1108"/>
    <cellStyle name="Normal 7 7 2" xfId="1109"/>
    <cellStyle name="Normal 7 7 2 2" xfId="1110"/>
    <cellStyle name="Normal 7 7 3" xfId="1111"/>
    <cellStyle name="Normal 7 8" xfId="1112"/>
    <cellStyle name="Normal 7 8 2" xfId="1113"/>
    <cellStyle name="Normal 7 8 2 2" xfId="1114"/>
    <cellStyle name="Normal 7 8 3" xfId="1115"/>
    <cellStyle name="Normal 7 9" xfId="1116"/>
    <cellStyle name="Normal 7 9 2" xfId="1117"/>
    <cellStyle name="Normal 7 9 2 2" xfId="1118"/>
    <cellStyle name="Normal 7 9 3" xfId="1119"/>
    <cellStyle name="Normal 8" xfId="1120"/>
    <cellStyle name="Normal 8 10" xfId="1121"/>
    <cellStyle name="Normal 8 10 2" xfId="1122"/>
    <cellStyle name="Normal 8 10 2 2" xfId="1123"/>
    <cellStyle name="Normal 8 10 3" xfId="1124"/>
    <cellStyle name="Normal 8 11" xfId="1125"/>
    <cellStyle name="Normal 8 11 2" xfId="1126"/>
    <cellStyle name="Normal 8 11 2 2" xfId="1127"/>
    <cellStyle name="Normal 8 11 3" xfId="1128"/>
    <cellStyle name="Normal 8 12" xfId="1129"/>
    <cellStyle name="Normal 8 12 2" xfId="1130"/>
    <cellStyle name="Normal 8 12 2 2" xfId="1131"/>
    <cellStyle name="Normal 8 12 3" xfId="1132"/>
    <cellStyle name="Normal 8 13" xfId="1133"/>
    <cellStyle name="Normal 8 13 2" xfId="1134"/>
    <cellStyle name="Normal 8 13 2 2" xfId="1135"/>
    <cellStyle name="Normal 8 13 3" xfId="1136"/>
    <cellStyle name="Normal 8 14" xfId="1137"/>
    <cellStyle name="Normal 8 14 2" xfId="1138"/>
    <cellStyle name="Normal 8 14 2 2" xfId="1139"/>
    <cellStyle name="Normal 8 14 3" xfId="1140"/>
    <cellStyle name="Normal 8 15" xfId="1141"/>
    <cellStyle name="Normal 8 15 2" xfId="1142"/>
    <cellStyle name="Normal 8 15 2 2" xfId="1143"/>
    <cellStyle name="Normal 8 15 3" xfId="1144"/>
    <cellStyle name="Normal 8 16" xfId="1145"/>
    <cellStyle name="Normal 8 16 2" xfId="1146"/>
    <cellStyle name="Normal 8 16 2 2" xfId="1147"/>
    <cellStyle name="Normal 8 16 3" xfId="1148"/>
    <cellStyle name="Normal 8 17" xfId="1149"/>
    <cellStyle name="Normal 8 17 2" xfId="1150"/>
    <cellStyle name="Normal 8 17 2 2" xfId="1151"/>
    <cellStyle name="Normal 8 17 3" xfId="1152"/>
    <cellStyle name="Normal 8 18" xfId="1153"/>
    <cellStyle name="Normal 8 18 2" xfId="1154"/>
    <cellStyle name="Normal 8 18 2 2" xfId="1155"/>
    <cellStyle name="Normal 8 18 3" xfId="1156"/>
    <cellStyle name="Normal 8 19" xfId="1157"/>
    <cellStyle name="Normal 8 19 2" xfId="1158"/>
    <cellStyle name="Normal 8 19 2 2" xfId="1159"/>
    <cellStyle name="Normal 8 19 3" xfId="1160"/>
    <cellStyle name="Normal 8 2" xfId="1161"/>
    <cellStyle name="Normal 8 2 2" xfId="1162"/>
    <cellStyle name="Normal 8 2 2 2" xfId="1163"/>
    <cellStyle name="Normal 8 2 3" xfId="1164"/>
    <cellStyle name="Normal 8 20" xfId="1165"/>
    <cellStyle name="Normal 8 20 2" xfId="1166"/>
    <cellStyle name="Normal 8 20 2 2" xfId="1167"/>
    <cellStyle name="Normal 8 20 3" xfId="1168"/>
    <cellStyle name="Normal 8 21" xfId="1169"/>
    <cellStyle name="Normal 8 21 2" xfId="1170"/>
    <cellStyle name="Normal 8 21 2 2" xfId="1171"/>
    <cellStyle name="Normal 8 21 3" xfId="1172"/>
    <cellStyle name="Normal 8 22" xfId="1173"/>
    <cellStyle name="Normal 8 22 2" xfId="1174"/>
    <cellStyle name="Normal 8 22 2 2" xfId="1175"/>
    <cellStyle name="Normal 8 22 3" xfId="1176"/>
    <cellStyle name="Normal 8 23" xfId="1177"/>
    <cellStyle name="Normal 8 23 2" xfId="1178"/>
    <cellStyle name="Normal 8 23 2 2" xfId="1179"/>
    <cellStyle name="Normal 8 23 3" xfId="1180"/>
    <cellStyle name="Normal 8 24" xfId="1181"/>
    <cellStyle name="Normal 8 24 2" xfId="1182"/>
    <cellStyle name="Normal 8 24 2 2" xfId="1183"/>
    <cellStyle name="Normal 8 24 3" xfId="1184"/>
    <cellStyle name="Normal 8 25" xfId="1185"/>
    <cellStyle name="Normal 8 25 2" xfId="1186"/>
    <cellStyle name="Normal 8 25 2 2" xfId="1187"/>
    <cellStyle name="Normal 8 25 3" xfId="1188"/>
    <cellStyle name="Normal 8 26" xfId="1189"/>
    <cellStyle name="Normal 8 26 2" xfId="1190"/>
    <cellStyle name="Normal 8 26 2 2" xfId="1191"/>
    <cellStyle name="Normal 8 26 3" xfId="1192"/>
    <cellStyle name="Normal 8 27" xfId="1193"/>
    <cellStyle name="Normal 8 27 2" xfId="1194"/>
    <cellStyle name="Normal 8 28" xfId="1195"/>
    <cellStyle name="Normal 8 3" xfId="1196"/>
    <cellStyle name="Normal 8 3 2" xfId="1197"/>
    <cellStyle name="Normal 8 3 2 2" xfId="1198"/>
    <cellStyle name="Normal 8 3 3" xfId="1199"/>
    <cellStyle name="Normal 8 4" xfId="1200"/>
    <cellStyle name="Normal 8 4 2" xfId="1201"/>
    <cellStyle name="Normal 8 4 2 2" xfId="1202"/>
    <cellStyle name="Normal 8 4 3" xfId="1203"/>
    <cellStyle name="Normal 8 5" xfId="1204"/>
    <cellStyle name="Normal 8 5 2" xfId="1205"/>
    <cellStyle name="Normal 8 5 2 2" xfId="1206"/>
    <cellStyle name="Normal 8 5 3" xfId="1207"/>
    <cellStyle name="Normal 8 6" xfId="1208"/>
    <cellStyle name="Normal 8 6 2" xfId="1209"/>
    <cellStyle name="Normal 8 6 2 2" xfId="1210"/>
    <cellStyle name="Normal 8 6 3" xfId="1211"/>
    <cellStyle name="Normal 8 7" xfId="1212"/>
    <cellStyle name="Normal 8 7 2" xfId="1213"/>
    <cellStyle name="Normal 8 7 2 2" xfId="1214"/>
    <cellStyle name="Normal 8 7 3" xfId="1215"/>
    <cellStyle name="Normal 8 8" xfId="1216"/>
    <cellStyle name="Normal 8 8 2" xfId="1217"/>
    <cellStyle name="Normal 8 8 2 2" xfId="1218"/>
    <cellStyle name="Normal 8 8 3" xfId="1219"/>
    <cellStyle name="Normal 8 9" xfId="1220"/>
    <cellStyle name="Normal 8 9 2" xfId="1221"/>
    <cellStyle name="Normal 8 9 2 2" xfId="1222"/>
    <cellStyle name="Normal 8 9 3" xfId="1223"/>
    <cellStyle name="Normal 9" xfId="1224"/>
    <cellStyle name="Normal 9 2" xfId="1225"/>
    <cellStyle name="Normal 9 2 2" xfId="1226"/>
    <cellStyle name="Normal 9 2 2 2" xfId="1227"/>
    <cellStyle name="Normal 9 2 3" xfId="1228"/>
    <cellStyle name="Normal 9 2 4" xfId="1229"/>
    <cellStyle name="Normal 9 2 5" xfId="1230"/>
    <cellStyle name="Normal 9 3" xfId="1231"/>
    <cellStyle name="Normal 9 3 2" xfId="1232"/>
    <cellStyle name="Normal 9 4" xfId="1233"/>
    <cellStyle name="Normal 9 5" xfId="1234"/>
    <cellStyle name="Normal 9 6" xfId="1235"/>
    <cellStyle name="Nota 10" xfId="1236"/>
    <cellStyle name="Nota 10 2" xfId="1237"/>
    <cellStyle name="Nota 10 2 2" xfId="1238"/>
    <cellStyle name="Nota 10 3" xfId="1239"/>
    <cellStyle name="Nota 11" xfId="1240"/>
    <cellStyle name="Nota 11 2" xfId="1241"/>
    <cellStyle name="Nota 11 2 2" xfId="1242"/>
    <cellStyle name="Nota 11 3" xfId="1243"/>
    <cellStyle name="Nota 2" xfId="1244"/>
    <cellStyle name="Nota 2 2" xfId="1245"/>
    <cellStyle name="Nota 2 2 2" xfId="1246"/>
    <cellStyle name="Nota 2 2 3" xfId="1355"/>
    <cellStyle name="Nota 2 3" xfId="1247"/>
    <cellStyle name="Nota 2 4" xfId="1356"/>
    <cellStyle name="Nota 3" xfId="1248"/>
    <cellStyle name="Nota 3 2" xfId="1249"/>
    <cellStyle name="Nota 3 2 2" xfId="1250"/>
    <cellStyle name="Nota 3 3" xfId="1251"/>
    <cellStyle name="Nota 4" xfId="1252"/>
    <cellStyle name="Nota 4 2" xfId="1253"/>
    <cellStyle name="Nota 4 2 2" xfId="1254"/>
    <cellStyle name="Nota 4 3" xfId="1255"/>
    <cellStyle name="Nota 5" xfId="1256"/>
    <cellStyle name="Nota 5 2" xfId="1257"/>
    <cellStyle name="Nota 5 2 2" xfId="1258"/>
    <cellStyle name="Nota 5 3" xfId="1259"/>
    <cellStyle name="Nota 6" xfId="1260"/>
    <cellStyle name="Nota 6 2" xfId="1261"/>
    <cellStyle name="Nota 6 2 2" xfId="1262"/>
    <cellStyle name="Nota 6 3" xfId="1263"/>
    <cellStyle name="Nota 7" xfId="1264"/>
    <cellStyle name="Nota 7 2" xfId="1265"/>
    <cellStyle name="Nota 7 2 2" xfId="1266"/>
    <cellStyle name="Nota 7 3" xfId="1267"/>
    <cellStyle name="Nota 8" xfId="1268"/>
    <cellStyle name="Nota 8 2" xfId="1269"/>
    <cellStyle name="Nota 8 2 2" xfId="1270"/>
    <cellStyle name="Nota 8 3" xfId="1271"/>
    <cellStyle name="Nota 9" xfId="1272"/>
    <cellStyle name="Nota 9 2" xfId="1273"/>
    <cellStyle name="Nota 9 2 2" xfId="1274"/>
    <cellStyle name="Nota 9 3" xfId="1275"/>
    <cellStyle name="Note 2" xfId="1276"/>
    <cellStyle name="Output 2" xfId="1277"/>
    <cellStyle name="Porcentagem" xfId="3" builtinId="5"/>
    <cellStyle name="Porcentagem 2" xfId="1278"/>
    <cellStyle name="Porcentagem 2 3" xfId="1279"/>
    <cellStyle name="Porcentagem 3" xfId="1280"/>
    <cellStyle name="Porcentagem 4" xfId="1281"/>
    <cellStyle name="Porcentagem 5" xfId="1282"/>
    <cellStyle name="Saída 2" xfId="1283"/>
    <cellStyle name="Saída 2 2" xfId="1357"/>
    <cellStyle name="Saída 3" xfId="1284"/>
    <cellStyle name="Separador de milhares 2" xfId="1285"/>
    <cellStyle name="Separador de milhares 2 2" xfId="1286"/>
    <cellStyle name="Separador de milhares 2 2 2" xfId="1287"/>
    <cellStyle name="Separador de milhares 2 2 3" xfId="1358"/>
    <cellStyle name="Separador de milhares 2 3" xfId="1288"/>
    <cellStyle name="Separador de milhares 2 3 2" xfId="1359"/>
    <cellStyle name="Separador de milhares 2 4" xfId="1289"/>
    <cellStyle name="Separador de milhares 3" xfId="1290"/>
    <cellStyle name="Separador de milhares 3 2" xfId="1291"/>
    <cellStyle name="Separador de milhares 3 3" xfId="1292"/>
    <cellStyle name="Separador de milhares 3 4" xfId="1293"/>
    <cellStyle name="Separador de milhares 3 5" xfId="1294"/>
    <cellStyle name="Separador de milhares 4" xfId="1295"/>
    <cellStyle name="Separador de milhares 4 2" xfId="1296"/>
    <cellStyle name="Separador de milhares 4 3" xfId="1297"/>
    <cellStyle name="Separador de milhares 5" xfId="1298"/>
    <cellStyle name="Separador de milhares 5 2" xfId="1299"/>
    <cellStyle name="Separador de milhares 5 3" xfId="1300"/>
    <cellStyle name="Separador de milhares 5 4" xfId="1360"/>
    <cellStyle name="Separador de milhares 6" xfId="1301"/>
    <cellStyle name="Texto de Aviso 2" xfId="1302"/>
    <cellStyle name="Texto Explicativo 2" xfId="1303"/>
    <cellStyle name="Title 2" xfId="1304"/>
    <cellStyle name="Título 1 1" xfId="1305"/>
    <cellStyle name="Título 1 2" xfId="1306"/>
    <cellStyle name="Título 1 3" xfId="1307"/>
    <cellStyle name="Título 2 2" xfId="1308"/>
    <cellStyle name="Título 2 3" xfId="1309"/>
    <cellStyle name="Título 3 2" xfId="1310"/>
    <cellStyle name="Título 3 3" xfId="1311"/>
    <cellStyle name="Título 4 2" xfId="1312"/>
    <cellStyle name="Título 4 3" xfId="1313"/>
    <cellStyle name="Título 5" xfId="1314"/>
    <cellStyle name="Título 6" xfId="1315"/>
    <cellStyle name="Total 2" xfId="1316"/>
    <cellStyle name="Total 2 2" xfId="1317"/>
    <cellStyle name="Total 3" xfId="1318"/>
    <cellStyle name="Vírgula" xfId="1" builtinId="3"/>
    <cellStyle name="Vírgula 2" xfId="1319"/>
    <cellStyle name="Warning Text 2" xfId="1320"/>
  </cellStyles>
  <dxfs count="7">
    <dxf>
      <font>
        <sz val="16"/>
      </font>
    </dxf>
    <dxf>
      <font>
        <sz val="16"/>
      </font>
    </dxf>
    <dxf>
      <font>
        <sz val="16"/>
      </font>
    </dxf>
    <dxf>
      <numFmt numFmtId="182" formatCode="[$-416]mmmm\-yy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 GERAL'!$C$11</c:f>
              <c:strCache>
                <c:ptCount val="1"/>
                <c:pt idx="0">
                  <c:v>MINAS GERAIS</c:v>
                </c:pt>
              </c:strCache>
            </c:strRef>
          </c:tx>
          <c:invertIfNegative val="0"/>
          <c:val>
            <c:numRef>
              <c:f>'ANALISE GERAL'!$F$11:$L$11</c:f>
              <c:numCache>
                <c:formatCode>_("R$"* #,##0.00_);_("R$"* \(#,##0.00\);_("R$"* "-"??_);_(@_)</c:formatCode>
                <c:ptCount val="7"/>
                <c:pt idx="0">
                  <c:v>412300.80000000005</c:v>
                </c:pt>
                <c:pt idx="1">
                  <c:v>421577.45999999996</c:v>
                </c:pt>
                <c:pt idx="2">
                  <c:v>388671.08000000007</c:v>
                </c:pt>
                <c:pt idx="3">
                  <c:v>452038.91</c:v>
                </c:pt>
                <c:pt idx="4">
                  <c:v>465815.55000000005</c:v>
                </c:pt>
                <c:pt idx="5">
                  <c:v>424228.55000000005</c:v>
                </c:pt>
                <c:pt idx="6">
                  <c:v>455966.16999999993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F0A-9B5D-9A9B91A47F0E}"/>
            </c:ext>
          </c:extLst>
        </c:ser>
        <c:ser>
          <c:idx val="1"/>
          <c:order val="1"/>
          <c:tx>
            <c:strRef>
              <c:f>'ANALISE GERAL'!$C$12</c:f>
              <c:strCache>
                <c:ptCount val="1"/>
                <c:pt idx="0">
                  <c:v>UBERLÂNDIA</c:v>
                </c:pt>
              </c:strCache>
            </c:strRef>
          </c:tx>
          <c:invertIfNegative val="0"/>
          <c:val>
            <c:numRef>
              <c:f>'ANALISE GERAL'!$F$12:$L$12</c:f>
              <c:numCache>
                <c:formatCode>_("R$"* #,##0.00_);_("R$"* \(#,##0.00\);_("R$"*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A-4F0A-9B5D-9A9B91A47F0E}"/>
            </c:ext>
          </c:extLst>
        </c:ser>
        <c:ser>
          <c:idx val="2"/>
          <c:order val="2"/>
          <c:tx>
            <c:strRef>
              <c:f>'ANALISE GERAL'!$C$13</c:f>
              <c:strCache>
                <c:ptCount val="1"/>
                <c:pt idx="0">
                  <c:v>SÃO PAULO </c:v>
                </c:pt>
              </c:strCache>
            </c:strRef>
          </c:tx>
          <c:invertIfNegative val="0"/>
          <c:val>
            <c:numRef>
              <c:f>'ANALISE GERAL'!$F$13:$L$13</c:f>
              <c:numCache>
                <c:formatCode>_("R$"* #,##0.00_);_("R$"* \(#,##0.00\);_("R$"* "-"??_);_(@_)</c:formatCode>
                <c:ptCount val="7"/>
                <c:pt idx="0">
                  <c:v>784478.24</c:v>
                </c:pt>
                <c:pt idx="1">
                  <c:v>115859.67</c:v>
                </c:pt>
                <c:pt idx="2">
                  <c:v>115859.67</c:v>
                </c:pt>
                <c:pt idx="3">
                  <c:v>568431.23</c:v>
                </c:pt>
                <c:pt idx="4">
                  <c:v>569996.72</c:v>
                </c:pt>
                <c:pt idx="5">
                  <c:v>772457.53</c:v>
                </c:pt>
                <c:pt idx="6">
                  <c:v>783492.53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4A-4F0A-9B5D-9A9B91A47F0E}"/>
            </c:ext>
          </c:extLst>
        </c:ser>
        <c:ser>
          <c:idx val="3"/>
          <c:order val="3"/>
          <c:tx>
            <c:strRef>
              <c:f>'ANALISE GERAL'!$C$15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'ANALISE GERAL'!$F$15:$L$15</c:f>
              <c:numCache>
                <c:formatCode>_("R$"* #,##0.00_);_("R$"* \(#,##0.00\);_("R$"* "-"??_);_(@_)</c:formatCode>
                <c:ptCount val="7"/>
                <c:pt idx="0">
                  <c:v>1201868.6400000001</c:v>
                </c:pt>
                <c:pt idx="1">
                  <c:v>541254.32999999996</c:v>
                </c:pt>
                <c:pt idx="2">
                  <c:v>508347.95000000007</c:v>
                </c:pt>
                <c:pt idx="3">
                  <c:v>1024287.3399999999</c:v>
                </c:pt>
                <c:pt idx="4">
                  <c:v>1039629.47</c:v>
                </c:pt>
                <c:pt idx="5">
                  <c:v>1200503.28</c:v>
                </c:pt>
                <c:pt idx="6">
                  <c:v>1243275.8999999999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4A-4F0A-9B5D-9A9B91A4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455936"/>
        <c:axId val="76457472"/>
        <c:axId val="0"/>
      </c:bar3DChart>
      <c:catAx>
        <c:axId val="76455936"/>
        <c:scaling>
          <c:orientation val="minMax"/>
        </c:scaling>
        <c:delete val="0"/>
        <c:axPos val="b"/>
        <c:majorTickMark val="out"/>
        <c:minorTickMark val="none"/>
        <c:tickLblPos val="nextTo"/>
        <c:crossAx val="76457472"/>
        <c:crosses val="autoZero"/>
        <c:auto val="1"/>
        <c:lblAlgn val="ctr"/>
        <c:lblOffset val="100"/>
        <c:noMultiLvlLbl val="0"/>
      </c:catAx>
      <c:valAx>
        <c:axId val="764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76455936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136" footer="0.3149606200000013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1066800</xdr:colOff>
      <xdr:row>0</xdr:row>
      <xdr:rowOff>19050</xdr:rowOff>
    </xdr:from>
    <xdr:to>
      <xdr:col>9</xdr:col>
      <xdr:colOff>123825</xdr:colOff>
      <xdr:row>3</xdr:row>
      <xdr:rowOff>114300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62725" y="19050"/>
          <a:ext cx="2047875" cy="6953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57151</xdr:colOff>
      <xdr:row>0</xdr:row>
      <xdr:rowOff>0</xdr:rowOff>
    </xdr:from>
    <xdr:to>
      <xdr:col>7</xdr:col>
      <xdr:colOff>876301</xdr:colOff>
      <xdr:row>3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86376" y="0"/>
          <a:ext cx="819150" cy="609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581025</xdr:colOff>
      <xdr:row>16</xdr:row>
      <xdr:rowOff>85725</xdr:rowOff>
    </xdr:from>
    <xdr:to>
      <xdr:col>13</xdr:col>
      <xdr:colOff>9525</xdr:colOff>
      <xdr:row>38</xdr:row>
      <xdr:rowOff>104775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137266</xdr:colOff>
      <xdr:row>0</xdr:row>
      <xdr:rowOff>238203</xdr:rowOff>
    </xdr:from>
    <xdr:to>
      <xdr:col>18</xdr:col>
      <xdr:colOff>1042541</xdr:colOff>
      <xdr:row>3</xdr:row>
      <xdr:rowOff>383707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97641" y="238203"/>
          <a:ext cx="2379383" cy="955129"/>
        </a:xfrm>
        <a:prstGeom prst="rect">
          <a:avLst/>
        </a:prstGeom>
        <a:noFill/>
      </xdr:spPr>
    </xdr:pic>
    <xdr:clientData/>
  </xdr:twoCellAnchor>
  <xdr:twoCellAnchor editAs="oneCell">
    <xdr:from>
      <xdr:col>15</xdr:col>
      <xdr:colOff>1158875</xdr:colOff>
      <xdr:row>0</xdr:row>
      <xdr:rowOff>165287</xdr:rowOff>
    </xdr:from>
    <xdr:to>
      <xdr:col>16</xdr:col>
      <xdr:colOff>1323129</xdr:colOff>
      <xdr:row>3</xdr:row>
      <xdr:rowOff>383635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509375" y="165287"/>
          <a:ext cx="1706397" cy="1027973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OM03" refreshedDate="43188.576411458336" createdVersion="3" refreshedVersion="3" minRefreshableVersion="3" recordCount="147">
  <cacheSource type="worksheet">
    <worksheetSource ref="E8:I155" sheet="Plan1"/>
  </cacheSource>
  <cacheFields count="5">
    <cacheField name="EMISSAO" numFmtId="14">
      <sharedItems containsSemiMixedTypes="0" containsNonDate="0" containsDate="1" containsString="0" minDate="2018-01-02T00:00:00" maxDate="2018-03-28T00:00:00"/>
    </cacheField>
    <cacheField name="CLIENTE" numFmtId="14">
      <sharedItems count="29">
        <s v="AVEIRO INCORPORACOES LTDA"/>
        <s v="CAPRI ADMINISTRADORA DE BENS LTDA"/>
        <s v="CONDOMINIO EDIFICIO AURELIANO CHAVES"/>
        <s v="CONDOMINIO EDIFICIO CITTA GIARDINO"/>
        <s v="CONDOMINIO EMPRESARIAL SERRA SUL"/>
        <s v="CONDOMINIO MINASCASA O SHOPPING DO LAR"/>
        <s v="DUFRY LOJAS FRANCAS LTDA"/>
        <s v="FL BRASIL HOLDING, LOGISTICA E TRANSPORTE LTDA."/>
        <s v="FEDEX BRASIL LOGISTICA E TRANSPORTE LTDA"/>
        <s v="FUNDACAO FIAT SAUDE E BEM ESTAR"/>
        <s v="GLOBO COMUNICACAO E PARTICIPACOES S/A"/>
        <s v="GROWN OPTICAL LTDA "/>
        <s v="INDUSTRIA &amp; COMERCIO DE EXPLOSIVOS NITROSUL LTDA - ME"/>
        <s v="LUFT TRANSPORTES RODOVIARIOS E ARMAZENS GERAIS LTDA"/>
        <s v="MAGAZINE LUIZA S/A"/>
        <s v="MATE COURO S A"/>
        <s v="MINAS ARENA - GESTAO DE INSTALACOES ESPORTIVAS S.A."/>
        <s v="MINAS TEXTEIS - FABRICACAO DE PECAS E PARTES AUTOMOTIVAS LTDA"/>
        <s v="MIX TUDO COMERCIO E SERVICOS EIRELI - ME"/>
        <s v="PROCOMP INDUSTRIA ELETRÔNICA"/>
        <s v="PUR - EQUIPAMENTOS INDUSTRIAIS KTDA"/>
        <s v="SPE INOVA BH S/A"/>
        <s v="TELEMONT ENGENHARIA E TELECOMUNCAÇOES LTDA"/>
        <s v="TNT MERCURIO CARGAS E ENCOMENDAS EXPRESSAS S/A"/>
        <s v="VIA VAREJO S/A"/>
        <s v="EMPRESA DE TRANSPORTES ATLAS LTDA" u="1"/>
        <s v="DUFRY DO BRASIL DUTY FREE SHOP LTDA." u="1"/>
        <s v="FL LOGISTICA BRASIL LTDA " u="1"/>
        <s v="EMPRESA DE TRANSPORTES ATLAS LTDA " u="1"/>
      </sharedItems>
    </cacheField>
    <cacheField name="COMPETENCIA" numFmtId="14">
      <sharedItems containsSemiMixedTypes="0" containsNonDate="0" containsDate="1" containsString="0" minDate="2017-11-01T00:00:00" maxDate="2018-03-26T00:00:00" count="20">
        <d v="2018-01-01T00:00:00"/>
        <d v="2018-02-01T00:00:00"/>
        <d v="2018-03-01T00:00:00"/>
        <d v="2017-11-01T00:00:00"/>
        <d v="2017-12-01T00:00:00"/>
        <d v="2018-01-04T00:00:00" u="1"/>
        <d v="2018-03-07T00:00:00" u="1"/>
        <d v="2018-01-02T00:00:00" u="1"/>
        <d v="2018-03-17T00:00:00" u="1"/>
        <d v="2018-02-24T00:00:00" u="1"/>
        <d v="2018-02-17T00:00:00" u="1"/>
        <d v="2018-01-05T00:00:00" u="1"/>
        <d v="2018-01-24T00:00:00" u="1"/>
        <d v="2018-01-17T00:00:00" u="1"/>
        <d v="2018-01-03T00:00:00" u="1"/>
        <d v="2018-03-25T00:00:00" u="1"/>
        <d v="2018-03-04T00:00:00" u="1"/>
        <d v="2017-12-11T00:00:00" u="1"/>
        <d v="2017-12-04T00:00:00" u="1"/>
        <d v="2018-02-04T00:00:00" u="1"/>
      </sharedItems>
    </cacheField>
    <cacheField name="SERVIÇO" numFmtId="44">
      <sharedItems/>
    </cacheField>
    <cacheField name="VR" numFmtId="44">
      <sharedItems containsSemiMixedTypes="0" containsString="0" containsNumber="1" minValue="219.74" maxValue="252094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IOM03" refreshedDate="43467.453837037036" createdVersion="3" refreshedVersion="3" minRefreshableVersion="3" recordCount="75">
  <cacheSource type="worksheet">
    <worksheetSource ref="H4:N79" sheet="Plan5"/>
  </cacheSource>
  <cacheFields count="7">
    <cacheField name="EMISSAO" numFmtId="14">
      <sharedItems containsSemiMixedTypes="0" containsNonDate="0" containsDate="1" containsString="0" minDate="2018-12-03T00:00:00" maxDate="2018-12-27T00:00:00"/>
    </cacheField>
    <cacheField name="FILIAL" numFmtId="0">
      <sharedItems containsSemiMixedTypes="0" containsString="0" containsNumber="1" containsInteger="1" minValue="1" maxValue="1"/>
    </cacheField>
    <cacheField name="CLIENTE" numFmtId="0">
      <sharedItems count="29">
        <s v="APERAM INOX AMERICA DO SUL S.A "/>
        <s v="CAPRI ADMINISTRADORA DE BENS LTDA"/>
        <s v="CONDOMINIO DO CENTRO COMERCIAL PORTAL NOVA LIMA "/>
        <s v="CONDOMINIO EDIFICIO AURELIANO CHAVES"/>
        <s v="CONDOMINIO EDIFICIO CITTA GIARDINO - Portaria"/>
        <s v="CONDOMÍNIO EMPRESARIAL SERRA SUL"/>
        <s v="CONDOMINIO MINASCASA O SHOPPING DO LAR - MG - Ipiranga - MG"/>
        <s v="DUFRY FREE - Aeroporto Guarulhos"/>
        <s v="GLOBO - BOMBEIRO CIVIL"/>
        <s v="GLOBOPAR, TV GLOBO, REDE GLOBO E GLOBO.COM"/>
        <s v="GPA - GRUPO PAO DE ACUCAR"/>
        <s v="GROWN OPTICAL LTDA "/>
        <s v="INDUSTRIA E COMERCIO DE EXPLOSIVOS NITROSUL - Portaria"/>
        <s v="MAGAZINE LUIZA"/>
        <s v="MATE COURO S A"/>
        <s v="MIX TUDO COMERCIO E SERVICOS EIRELI - ME"/>
        <s v="MRS LOGÍSTICA S.A."/>
        <s v="NATURA"/>
        <s v="PROCOMP INDUSTRIA ELETRÔNICA"/>
        <s v="PUR  EQUIPAMENTOS INDUSTRIAIS KTDA"/>
        <s v="SICOOB NOSSACOOP"/>
        <s v="SICOOB NOSSACOOP - Ibirite"/>
        <s v="SICOOB NOSSACOOP - Mariana"/>
        <s v="SICOOB NOSSACOOP - Sao Jose da Lapa"/>
        <s v="SICOOB NOSSACOOP - Sicoob"/>
        <s v="SPE INOVA BH S/A"/>
        <s v="STS BRASIL FABRICAÇÃO DE AUTOPEÇAS LTDA"/>
        <s v="VIA VAREJO S/A"/>
        <s v="VIA VAREJO S/A "/>
      </sharedItems>
    </cacheField>
    <cacheField name="VR B" numFmtId="0">
      <sharedItems containsSemiMixedTypes="0" containsString="0" containsNumber="1" minValue="133.59" maxValue="453458.92"/>
    </cacheField>
    <cacheField name="VR L" numFmtId="0">
      <sharedItems containsSemiMixedTypes="0" containsString="0" containsNumber="1" minValue="104.66" maxValue="368888.83"/>
    </cacheField>
    <cacheField name="SERVIÇO" numFmtId="0">
      <sharedItems/>
    </cacheField>
    <cacheField name="CENTRO DE CUS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">
  <r>
    <d v="2018-01-18T00:00:00"/>
    <x v="0"/>
    <x v="0"/>
    <s v="01.01.004"/>
    <n v="15665.76"/>
  </r>
  <r>
    <d v="2018-02-09T00:00:00"/>
    <x v="0"/>
    <x v="1"/>
    <s v="01.01.004"/>
    <n v="15665.76"/>
  </r>
  <r>
    <d v="2018-03-12T00:00:00"/>
    <x v="0"/>
    <x v="2"/>
    <s v="01.01.004"/>
    <n v="15665.76"/>
  </r>
  <r>
    <d v="2018-03-12T00:00:00"/>
    <x v="1"/>
    <x v="2"/>
    <s v="01.01.004"/>
    <n v="3995.39"/>
  </r>
  <r>
    <d v="2018-01-18T00:00:00"/>
    <x v="1"/>
    <x v="0"/>
    <s v="01.01.004"/>
    <n v="3995.39"/>
  </r>
  <r>
    <d v="2018-02-09T00:00:00"/>
    <x v="1"/>
    <x v="1"/>
    <s v="01.01.004"/>
    <n v="3995.39"/>
  </r>
  <r>
    <d v="2018-01-02T00:00:00"/>
    <x v="2"/>
    <x v="0"/>
    <s v="01.01.004"/>
    <n v="59319.43"/>
  </r>
  <r>
    <d v="2018-02-01T00:00:00"/>
    <x v="2"/>
    <x v="0"/>
    <s v="01.01.004"/>
    <n v="59319.43"/>
  </r>
  <r>
    <d v="2018-03-01T00:00:00"/>
    <x v="2"/>
    <x v="1"/>
    <s v="01.01.004"/>
    <n v="59319.43"/>
  </r>
  <r>
    <d v="2018-03-01T00:00:00"/>
    <x v="3"/>
    <x v="2"/>
    <s v="01.01.004"/>
    <n v="31080.240000000002"/>
  </r>
  <r>
    <d v="2018-01-02T00:00:00"/>
    <x v="3"/>
    <x v="0"/>
    <s v="01.01.004"/>
    <n v="31080.240000000002"/>
  </r>
  <r>
    <d v="2018-02-01T00:00:00"/>
    <x v="3"/>
    <x v="1"/>
    <s v="01.01.004"/>
    <n v="31080.240000000002"/>
  </r>
  <r>
    <d v="2018-03-01T00:00:00"/>
    <x v="4"/>
    <x v="2"/>
    <s v="01.01.004"/>
    <n v="40193.39"/>
  </r>
  <r>
    <d v="2018-01-02T00:00:00"/>
    <x v="4"/>
    <x v="0"/>
    <s v="01.01.004"/>
    <n v="40193.39"/>
  </r>
  <r>
    <d v="2018-02-01T00:00:00"/>
    <x v="4"/>
    <x v="1"/>
    <s v="01.01.004"/>
    <n v="40193.39"/>
  </r>
  <r>
    <d v="2018-03-20T00:00:00"/>
    <x v="5"/>
    <x v="2"/>
    <s v="01.01.004"/>
    <n v="34714.22"/>
  </r>
  <r>
    <d v="2018-01-16T00:00:00"/>
    <x v="5"/>
    <x v="0"/>
    <s v="01.01.004"/>
    <n v="34714.22"/>
  </r>
  <r>
    <d v="2018-02-16T00:00:00"/>
    <x v="5"/>
    <x v="1"/>
    <s v="01.01.004"/>
    <n v="34714.22"/>
  </r>
  <r>
    <d v="2018-03-01T00:00:00"/>
    <x v="6"/>
    <x v="2"/>
    <s v="01.01.004"/>
    <n v="6692.38"/>
  </r>
  <r>
    <d v="2018-03-20T00:00:00"/>
    <x v="6"/>
    <x v="0"/>
    <s v="01.01.004"/>
    <n v="219.74"/>
  </r>
  <r>
    <d v="2018-01-02T00:00:00"/>
    <x v="6"/>
    <x v="0"/>
    <s v="01.01.004"/>
    <n v="6692.38"/>
  </r>
  <r>
    <d v="2018-02-01T00:00:00"/>
    <x v="6"/>
    <x v="1"/>
    <s v="01.01.004"/>
    <n v="6692.38"/>
  </r>
  <r>
    <d v="2018-02-08T00:00:00"/>
    <x v="6"/>
    <x v="3"/>
    <s v="01.01.004"/>
    <n v="439.47"/>
  </r>
  <r>
    <d v="2018-03-01T00:00:00"/>
    <x v="6"/>
    <x v="2"/>
    <s v="01.01.004"/>
    <n v="6188.57"/>
  </r>
  <r>
    <d v="2018-01-02T00:00:00"/>
    <x v="6"/>
    <x v="0"/>
    <s v="01.01.004"/>
    <n v="6188.57"/>
  </r>
  <r>
    <d v="2018-02-01T00:00:00"/>
    <x v="6"/>
    <x v="1"/>
    <s v="01.01.004"/>
    <n v="6188.57"/>
  </r>
  <r>
    <d v="2018-01-02T00:00:00"/>
    <x v="7"/>
    <x v="0"/>
    <s v="01.01.004"/>
    <n v="17469.810000000001"/>
  </r>
  <r>
    <d v="2018-01-02T00:00:00"/>
    <x v="7"/>
    <x v="0"/>
    <s v="01.01.004"/>
    <n v="10906.42"/>
  </r>
  <r>
    <d v="2018-01-02T00:00:00"/>
    <x v="7"/>
    <x v="0"/>
    <s v="01.01.004"/>
    <n v="5483.9"/>
  </r>
  <r>
    <d v="2018-01-02T00:00:00"/>
    <x v="7"/>
    <x v="0"/>
    <s v="01.01.004"/>
    <n v="77265.73"/>
  </r>
  <r>
    <d v="2018-01-02T00:00:00"/>
    <x v="7"/>
    <x v="0"/>
    <s v="01.01.004"/>
    <n v="7373.45"/>
  </r>
  <r>
    <d v="2018-01-02T00:00:00"/>
    <x v="7"/>
    <x v="0"/>
    <s v="01.01.004"/>
    <n v="3313.8"/>
  </r>
  <r>
    <d v="2018-02-01T00:00:00"/>
    <x v="7"/>
    <x v="1"/>
    <s v="01.01.004"/>
    <n v="3019.39"/>
  </r>
  <r>
    <d v="2018-03-01T00:00:00"/>
    <x v="7"/>
    <x v="2"/>
    <s v="01.01.004"/>
    <n v="3019.39"/>
  </r>
  <r>
    <d v="2018-01-02T00:00:00"/>
    <x v="7"/>
    <x v="0"/>
    <s v="01.01.004"/>
    <n v="3019.39"/>
  </r>
  <r>
    <d v="2018-03-19T00:00:00"/>
    <x v="8"/>
    <x v="2"/>
    <s v="01.01.004"/>
    <n v="7122.86"/>
  </r>
  <r>
    <d v="2018-01-18T00:00:00"/>
    <x v="8"/>
    <x v="0"/>
    <s v="01.01.004"/>
    <n v="7122.86"/>
  </r>
  <r>
    <d v="2018-02-21T00:00:00"/>
    <x v="8"/>
    <x v="1"/>
    <s v="01.01.004"/>
    <n v="7122.86"/>
  </r>
  <r>
    <d v="2018-01-02T00:00:00"/>
    <x v="7"/>
    <x v="0"/>
    <s v="01.01.004"/>
    <n v="18898.150000000001"/>
  </r>
  <r>
    <d v="2018-01-02T00:00:00"/>
    <x v="7"/>
    <x v="0"/>
    <s v="01.01.004"/>
    <n v="7286.48"/>
  </r>
  <r>
    <d v="2018-01-02T00:00:00"/>
    <x v="7"/>
    <x v="0"/>
    <s v="01.01.004"/>
    <n v="17469.810000000001"/>
  </r>
  <r>
    <d v="2018-01-02T00:00:00"/>
    <x v="7"/>
    <x v="0"/>
    <s v="01.01.004"/>
    <n v="17469.810000000001"/>
  </r>
  <r>
    <d v="2018-01-02T00:00:00"/>
    <x v="7"/>
    <x v="0"/>
    <s v="01.01.004"/>
    <n v="6279.61"/>
  </r>
  <r>
    <d v="2018-01-02T00:00:00"/>
    <x v="7"/>
    <x v="0"/>
    <s v="01.01.004"/>
    <n v="11270.85"/>
  </r>
  <r>
    <d v="2018-01-02T00:00:00"/>
    <x v="7"/>
    <x v="4"/>
    <s v="01.01.004"/>
    <n v="11009.52"/>
  </r>
  <r>
    <d v="2018-01-02T00:00:00"/>
    <x v="7"/>
    <x v="0"/>
    <s v="01.01.004"/>
    <n v="3173.77"/>
  </r>
  <r>
    <d v="2018-01-02T00:00:00"/>
    <x v="7"/>
    <x v="0"/>
    <s v="01.01.004"/>
    <n v="3308.21"/>
  </r>
  <r>
    <d v="2018-01-02T00:00:00"/>
    <x v="7"/>
    <x v="0"/>
    <s v="01.01.004"/>
    <n v="3308.21"/>
  </r>
  <r>
    <d v="2018-01-02T00:00:00"/>
    <x v="7"/>
    <x v="0"/>
    <s v="01.01.004"/>
    <n v="3308.21"/>
  </r>
  <r>
    <d v="2018-01-02T00:00:00"/>
    <x v="7"/>
    <x v="0"/>
    <s v="01.01.004"/>
    <n v="3308.21"/>
  </r>
  <r>
    <d v="2018-01-02T00:00:00"/>
    <x v="7"/>
    <x v="0"/>
    <s v="01.01.004"/>
    <n v="3128.35"/>
  </r>
  <r>
    <d v="2018-01-02T00:00:00"/>
    <x v="7"/>
    <x v="0"/>
    <s v="01.01.004"/>
    <n v="2117.9299999999998"/>
  </r>
  <r>
    <d v="2018-01-12T00:00:00"/>
    <x v="7"/>
    <x v="0"/>
    <s v="01.01.004"/>
    <n v="12379.31"/>
  </r>
  <r>
    <d v="2018-01-02T00:00:00"/>
    <x v="9"/>
    <x v="0"/>
    <s v="01.01.004"/>
    <n v="6296.62"/>
  </r>
  <r>
    <d v="2018-03-26T00:00:00"/>
    <x v="10"/>
    <x v="2"/>
    <s v="01.01.004"/>
    <n v="252094.23"/>
  </r>
  <r>
    <d v="2018-03-26T00:00:00"/>
    <x v="10"/>
    <x v="2"/>
    <s v="01.01.004"/>
    <n v="182004.59"/>
  </r>
  <r>
    <d v="2018-03-26T00:00:00"/>
    <x v="10"/>
    <x v="2"/>
    <s v="01.01.004"/>
    <n v="252094.23"/>
  </r>
  <r>
    <d v="2018-03-19T00:00:00"/>
    <x v="11"/>
    <x v="2"/>
    <s v="01.01.004"/>
    <n v="27489.63"/>
  </r>
  <r>
    <d v="2018-03-19T00:00:00"/>
    <x v="11"/>
    <x v="2"/>
    <s v="01.01.004"/>
    <n v="17810.830000000002"/>
  </r>
  <r>
    <d v="2018-01-31T00:00:00"/>
    <x v="11"/>
    <x v="0"/>
    <s v="01.01.004"/>
    <n v="27489.63"/>
  </r>
  <r>
    <d v="2018-01-31T00:00:00"/>
    <x v="11"/>
    <x v="0"/>
    <s v="01.01.004"/>
    <n v="17810.830000000002"/>
  </r>
  <r>
    <d v="2018-02-28T00:00:00"/>
    <x v="11"/>
    <x v="1"/>
    <s v="01.01.004"/>
    <n v="27489.63"/>
  </r>
  <r>
    <d v="2018-02-28T00:00:00"/>
    <x v="11"/>
    <x v="1"/>
    <s v="01.01.004"/>
    <n v="17810.830000000002"/>
  </r>
  <r>
    <d v="2018-03-20T00:00:00"/>
    <x v="12"/>
    <x v="2"/>
    <s v="01.01.004"/>
    <n v="14215"/>
  </r>
  <r>
    <d v="2018-01-19T00:00:00"/>
    <x v="12"/>
    <x v="0"/>
    <s v="01.01.004"/>
    <n v="14796.27"/>
  </r>
  <r>
    <d v="2018-02-19T00:00:00"/>
    <x v="12"/>
    <x v="1"/>
    <s v="01.01.004"/>
    <n v="14215"/>
  </r>
  <r>
    <d v="2018-03-12T00:00:00"/>
    <x v="13"/>
    <x v="2"/>
    <s v="01.01.001"/>
    <n v="484.92"/>
  </r>
  <r>
    <d v="2018-01-12T00:00:00"/>
    <x v="13"/>
    <x v="0"/>
    <s v="01.01.001"/>
    <n v="14547.64"/>
  </r>
  <r>
    <d v="2018-02-14T00:00:00"/>
    <x v="13"/>
    <x v="1"/>
    <s v="01.01.001"/>
    <n v="14547.64"/>
  </r>
  <r>
    <d v="2018-01-04T00:00:00"/>
    <x v="14"/>
    <x v="0"/>
    <s v="01.01.004"/>
    <n v="7099.14"/>
  </r>
  <r>
    <d v="2018-01-04T00:00:00"/>
    <x v="14"/>
    <x v="0"/>
    <s v="01.01.004"/>
    <n v="7461.28"/>
  </r>
  <r>
    <d v="2018-01-04T00:00:00"/>
    <x v="14"/>
    <x v="4"/>
    <s v="01.01.004"/>
    <n v="6976.77"/>
  </r>
  <r>
    <d v="2018-01-04T00:00:00"/>
    <x v="14"/>
    <x v="0"/>
    <s v="01.01.004"/>
    <n v="7461.28"/>
  </r>
  <r>
    <d v="2018-01-04T00:00:00"/>
    <x v="14"/>
    <x v="0"/>
    <s v="01.01.004"/>
    <n v="6976.77"/>
  </r>
  <r>
    <d v="2018-01-04T00:00:00"/>
    <x v="14"/>
    <x v="0"/>
    <s v="01.01.004"/>
    <n v="7461.28"/>
  </r>
  <r>
    <d v="2018-01-04T00:00:00"/>
    <x v="14"/>
    <x v="0"/>
    <s v="01.01.004"/>
    <n v="6976.77"/>
  </r>
  <r>
    <d v="2018-01-04T00:00:00"/>
    <x v="14"/>
    <x v="0"/>
    <s v="01.01.004"/>
    <n v="7461.28"/>
  </r>
  <r>
    <d v="2018-01-04T00:00:00"/>
    <x v="14"/>
    <x v="0"/>
    <s v="01.01.004"/>
    <n v="7461.28"/>
  </r>
  <r>
    <d v="2018-01-04T00:00:00"/>
    <x v="14"/>
    <x v="0"/>
    <s v="01.01.004"/>
    <n v="6976.77"/>
  </r>
  <r>
    <d v="2018-01-04T00:00:00"/>
    <x v="14"/>
    <x v="0"/>
    <s v="01.01.004"/>
    <n v="6976.77"/>
  </r>
  <r>
    <d v="2018-01-04T00:00:00"/>
    <x v="14"/>
    <x v="0"/>
    <s v="01.01.004"/>
    <n v="6976.77"/>
  </r>
  <r>
    <d v="2018-01-04T00:00:00"/>
    <x v="14"/>
    <x v="0"/>
    <s v="01.01.004"/>
    <n v="2637.03"/>
  </r>
  <r>
    <d v="2018-01-04T00:00:00"/>
    <x v="14"/>
    <x v="0"/>
    <s v="01.01.004"/>
    <n v="1642.74"/>
  </r>
  <r>
    <d v="2018-02-05T00:00:00"/>
    <x v="14"/>
    <x v="0"/>
    <s v="01.01.004"/>
    <n v="7099.14"/>
  </r>
  <r>
    <d v="2018-02-05T00:00:00"/>
    <x v="14"/>
    <x v="0"/>
    <s v="01.01.004"/>
    <n v="7461.28"/>
  </r>
  <r>
    <d v="2018-02-05T00:00:00"/>
    <x v="14"/>
    <x v="0"/>
    <s v="01.01.004"/>
    <n v="6976.77"/>
  </r>
  <r>
    <d v="2018-02-05T00:00:00"/>
    <x v="14"/>
    <x v="0"/>
    <s v="01.01.004"/>
    <n v="7461.28"/>
  </r>
  <r>
    <d v="2018-02-05T00:00:00"/>
    <x v="14"/>
    <x v="0"/>
    <s v="01.01.004"/>
    <n v="6976.77"/>
  </r>
  <r>
    <d v="2018-02-05T00:00:00"/>
    <x v="14"/>
    <x v="0"/>
    <s v="01.01.004"/>
    <n v="7461.28"/>
  </r>
  <r>
    <d v="2018-02-05T00:00:00"/>
    <x v="14"/>
    <x v="0"/>
    <s v="01.01.004"/>
    <n v="6976.77"/>
  </r>
  <r>
    <d v="2018-02-05T00:00:00"/>
    <x v="14"/>
    <x v="0"/>
    <s v="01.01.004"/>
    <n v="7461.28"/>
  </r>
  <r>
    <d v="2018-02-05T00:00:00"/>
    <x v="14"/>
    <x v="0"/>
    <s v="01.01.004"/>
    <n v="7461.28"/>
  </r>
  <r>
    <d v="2018-02-05T00:00:00"/>
    <x v="14"/>
    <x v="0"/>
    <s v="01.01.004"/>
    <n v="6976.77"/>
  </r>
  <r>
    <d v="2018-02-05T00:00:00"/>
    <x v="14"/>
    <x v="0"/>
    <s v="01.01.004"/>
    <n v="6976.77"/>
  </r>
  <r>
    <d v="2018-02-05T00:00:00"/>
    <x v="14"/>
    <x v="0"/>
    <s v="01.01.004"/>
    <n v="6976.77"/>
  </r>
  <r>
    <d v="2018-02-05T00:00:00"/>
    <x v="14"/>
    <x v="4"/>
    <s v="01.01.004"/>
    <n v="3112.56"/>
  </r>
  <r>
    <d v="2018-03-02T00:00:00"/>
    <x v="14"/>
    <x v="1"/>
    <s v="01.01.004"/>
    <n v="7099.14"/>
  </r>
  <r>
    <d v="2018-03-02T00:00:00"/>
    <x v="14"/>
    <x v="1"/>
    <s v="01.01.004"/>
    <n v="7461.28"/>
  </r>
  <r>
    <d v="2018-03-02T00:00:00"/>
    <x v="14"/>
    <x v="1"/>
    <s v="01.01.004"/>
    <n v="6976.77"/>
  </r>
  <r>
    <d v="2018-03-02T00:00:00"/>
    <x v="14"/>
    <x v="1"/>
    <s v="01.01.004"/>
    <n v="7461.28"/>
  </r>
  <r>
    <d v="2018-03-02T00:00:00"/>
    <x v="14"/>
    <x v="1"/>
    <s v="01.01.004"/>
    <n v="7461.28"/>
  </r>
  <r>
    <d v="2018-03-02T00:00:00"/>
    <x v="14"/>
    <x v="1"/>
    <s v="01.01.004"/>
    <n v="6976.77"/>
  </r>
  <r>
    <d v="2018-03-02T00:00:00"/>
    <x v="14"/>
    <x v="1"/>
    <s v="01.01.004"/>
    <n v="7461.28"/>
  </r>
  <r>
    <d v="2018-03-01T00:00:00"/>
    <x v="15"/>
    <x v="2"/>
    <s v="01.01.004"/>
    <n v="8032.97"/>
  </r>
  <r>
    <d v="2018-01-02T00:00:00"/>
    <x v="15"/>
    <x v="0"/>
    <s v="01.01.004"/>
    <n v="8032.97"/>
  </r>
  <r>
    <d v="2018-02-01T00:00:00"/>
    <x v="15"/>
    <x v="1"/>
    <s v="01.01.004"/>
    <n v="8032.97"/>
  </r>
  <r>
    <d v="2018-02-07T00:00:00"/>
    <x v="16"/>
    <x v="1"/>
    <s v="01.01.004"/>
    <n v="9514.69"/>
  </r>
  <r>
    <d v="2018-02-27T00:00:00"/>
    <x v="16"/>
    <x v="1"/>
    <s v="01.01.004"/>
    <n v="7373.08"/>
  </r>
  <r>
    <d v="2018-03-07T00:00:00"/>
    <x v="16"/>
    <x v="2"/>
    <s v="01.01.004"/>
    <n v="234"/>
  </r>
  <r>
    <d v="2018-03-09T00:00:00"/>
    <x v="16"/>
    <x v="2"/>
    <s v="01.01.004"/>
    <n v="7395.13"/>
  </r>
  <r>
    <d v="2018-03-20T00:00:00"/>
    <x v="16"/>
    <x v="2"/>
    <s v="01.01.004"/>
    <n v="7482.98"/>
  </r>
  <r>
    <d v="2018-03-27T00:00:00"/>
    <x v="16"/>
    <x v="2"/>
    <s v="01.01.004"/>
    <n v="10032.75"/>
  </r>
  <r>
    <d v="2018-01-24T00:00:00"/>
    <x v="16"/>
    <x v="0"/>
    <s v="01.01.004"/>
    <n v="7599"/>
  </r>
  <r>
    <d v="2018-01-30T00:00:00"/>
    <x v="16"/>
    <x v="0"/>
    <s v="01.01.004"/>
    <n v="7481.15"/>
  </r>
  <r>
    <d v="2018-02-08T00:00:00"/>
    <x v="16"/>
    <x v="1"/>
    <s v="01.01.004"/>
    <n v="9576.68"/>
  </r>
  <r>
    <d v="2018-02-20T00:00:00"/>
    <x v="16"/>
    <x v="1"/>
    <s v="01.01.004"/>
    <n v="8009.38"/>
  </r>
  <r>
    <d v="2018-02-01T00:00:00"/>
    <x v="17"/>
    <x v="1"/>
    <s v="01.01.004"/>
    <n v="20748.38"/>
  </r>
  <r>
    <d v="2018-01-02T00:00:00"/>
    <x v="17"/>
    <x v="4"/>
    <s v="01.01.004"/>
    <n v="20748.38"/>
  </r>
  <r>
    <d v="2018-02-08T00:00:00"/>
    <x v="17"/>
    <x v="1"/>
    <s v="01.01.004"/>
    <n v="20748.38"/>
  </r>
  <r>
    <d v="2018-03-01T00:00:00"/>
    <x v="17"/>
    <x v="2"/>
    <s v="01.01.004"/>
    <n v="20748.38"/>
  </r>
  <r>
    <d v="2018-03-01T00:00:00"/>
    <x v="18"/>
    <x v="2"/>
    <s v="01.01.004"/>
    <n v="3817.2"/>
  </r>
  <r>
    <d v="2018-01-02T00:00:00"/>
    <x v="18"/>
    <x v="0"/>
    <s v="01.01.004"/>
    <n v="5089.6000000000004"/>
  </r>
  <r>
    <d v="2018-02-01T00:00:00"/>
    <x v="18"/>
    <x v="1"/>
    <s v="01.01.004"/>
    <n v="3817.2"/>
  </r>
  <r>
    <d v="2018-03-01T00:00:00"/>
    <x v="19"/>
    <x v="2"/>
    <s v="01.01.004"/>
    <n v="14889.15"/>
  </r>
  <r>
    <d v="2018-01-02T00:00:00"/>
    <x v="19"/>
    <x v="4"/>
    <s v="01.01.004"/>
    <n v="14889.15"/>
  </r>
  <r>
    <d v="2018-02-01T00:00:00"/>
    <x v="19"/>
    <x v="1"/>
    <s v="01.01.004"/>
    <n v="14889.15"/>
  </r>
  <r>
    <d v="2018-03-20T00:00:00"/>
    <x v="20"/>
    <x v="2"/>
    <s v="01.01.004"/>
    <n v="5060.18"/>
  </r>
  <r>
    <d v="2018-01-19T00:00:00"/>
    <x v="20"/>
    <x v="0"/>
    <s v="01.01.004"/>
    <n v="5060.18"/>
  </r>
  <r>
    <d v="2018-02-19T00:00:00"/>
    <x v="20"/>
    <x v="1"/>
    <s v="01.01.004"/>
    <n v="5060.18"/>
  </r>
  <r>
    <d v="2018-03-20T00:00:00"/>
    <x v="21"/>
    <x v="2"/>
    <s v="01.01.004"/>
    <n v="17526.05"/>
  </r>
  <r>
    <d v="2018-01-19T00:00:00"/>
    <x v="21"/>
    <x v="0"/>
    <s v="01.01.004"/>
    <n v="17526.05"/>
  </r>
  <r>
    <d v="2018-02-19T00:00:00"/>
    <x v="21"/>
    <x v="1"/>
    <s v="01.01.004"/>
    <n v="17526.05"/>
  </r>
  <r>
    <d v="2018-01-02T00:00:00"/>
    <x v="22"/>
    <x v="0"/>
    <s v="01.01.001"/>
    <n v="17581.75"/>
  </r>
  <r>
    <d v="2018-02-01T00:00:00"/>
    <x v="22"/>
    <x v="1"/>
    <s v="01.01.001"/>
    <n v="17581.75"/>
  </r>
  <r>
    <d v="2018-03-01T00:00:00"/>
    <x v="22"/>
    <x v="2"/>
    <s v="01.01.001"/>
    <n v="17581.75"/>
  </r>
  <r>
    <d v="2018-03-01T00:00:00"/>
    <x v="23"/>
    <x v="1"/>
    <s v="01.01.004"/>
    <n v="15977.6"/>
  </r>
  <r>
    <d v="2018-03-01T00:00:00"/>
    <x v="23"/>
    <x v="1"/>
    <s v="01.01.004"/>
    <n v="11423.6"/>
  </r>
  <r>
    <d v="2018-01-02T00:00:00"/>
    <x v="23"/>
    <x v="0"/>
    <s v="01.01.004"/>
    <n v="15977.6"/>
  </r>
  <r>
    <d v="2018-01-02T00:00:00"/>
    <x v="23"/>
    <x v="0"/>
    <s v="01.01.004"/>
    <n v="11423.6"/>
  </r>
  <r>
    <d v="2018-02-01T00:00:00"/>
    <x v="23"/>
    <x v="0"/>
    <s v="01.01.004"/>
    <n v="15977.6"/>
  </r>
  <r>
    <d v="2018-02-01T00:00:00"/>
    <x v="23"/>
    <x v="0"/>
    <s v="01.01.004"/>
    <n v="11423.6"/>
  </r>
  <r>
    <d v="2018-03-01T00:00:00"/>
    <x v="24"/>
    <x v="2"/>
    <s v="01.01.004"/>
    <n v="45284.76"/>
  </r>
  <r>
    <d v="2018-03-01T00:00:00"/>
    <x v="24"/>
    <x v="2"/>
    <s v="01.01.004"/>
    <n v="16559.46"/>
  </r>
  <r>
    <d v="2018-01-02T00:00:00"/>
    <x v="24"/>
    <x v="0"/>
    <s v="01.01.004"/>
    <n v="45284.76"/>
  </r>
  <r>
    <d v="2018-02-08T00:00:00"/>
    <x v="24"/>
    <x v="1"/>
    <s v="01.01.004"/>
    <n v="45284.76"/>
  </r>
  <r>
    <d v="2018-01-02T00:00:00"/>
    <x v="24"/>
    <x v="0"/>
    <s v="01.01.004"/>
    <n v="16559.46"/>
  </r>
  <r>
    <d v="2018-02-08T00:00:00"/>
    <x v="24"/>
    <x v="1"/>
    <s v="01.01.004"/>
    <n v="16559.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">
  <r>
    <d v="2018-12-21T00:00:00"/>
    <n v="1"/>
    <x v="0"/>
    <n v="91843.27"/>
    <n v="73796.070000000007"/>
    <s v="Portaria"/>
    <s v="ARCELOR MITTAL INOX DO BRASIL S/A"/>
  </r>
  <r>
    <d v="2018-12-21T00:00:00"/>
    <n v="1"/>
    <x v="0"/>
    <n v="3661.88"/>
    <n v="2942.31"/>
    <s v="Portaria"/>
    <s v="ARCELOR MITTAL INOX DO BRASIL S/A"/>
  </r>
  <r>
    <d v="2018-12-10T00:00:00"/>
    <n v="1"/>
    <x v="1"/>
    <n v="3995.39"/>
    <n v="3250.26"/>
    <s v="Portaria"/>
    <s v="CAPRI ADMINISTRADORA DE BENS LTDA - JHSF"/>
  </r>
  <r>
    <d v="2018-12-13T00:00:00"/>
    <n v="1"/>
    <x v="2"/>
    <n v="8773.41"/>
    <n v="7137.17"/>
    <s v="Portaria"/>
    <s v="PRIMORDIAL - Nova Lima"/>
  </r>
  <r>
    <d v="2018-12-13T00:00:00"/>
    <n v="1"/>
    <x v="2"/>
    <n v="7833.84"/>
    <n v="6372.82"/>
    <s v="Portaria"/>
    <s v="PRIMORDIAL - Nova Lima"/>
  </r>
  <r>
    <d v="2018-12-06T00:00:00"/>
    <n v="1"/>
    <x v="3"/>
    <n v="59410.82"/>
    <n v="47142.49"/>
    <s v="Portaria"/>
    <s v="CONDOMINIO EDIFICIO AURELIANO CHAVES"/>
  </r>
  <r>
    <d v="2018-12-03T00:00:00"/>
    <n v="1"/>
    <x v="4"/>
    <n v="32012.639999999999"/>
    <n v="25402.03"/>
    <s v="Portaria"/>
    <s v="CONDOMINIO EDIFICIO CITTA GIARDINO - Portaria"/>
  </r>
  <r>
    <d v="2018-12-06T00:00:00"/>
    <n v="1"/>
    <x v="5"/>
    <n v="47301.53"/>
    <n v="38952.800000000003"/>
    <s v="Portaria"/>
    <s v="CONDOMÍNIO EMPRESARIAL SERRA SUL"/>
  </r>
  <r>
    <d v="2018-12-13T00:00:00"/>
    <n v="1"/>
    <x v="6"/>
    <n v="36309.07"/>
    <n v="28811.25"/>
    <s v="Portaria"/>
    <s v="CONDOMINIO MINASCASA O SHOPPING DO LAR - MG - Ipiranga - MG"/>
  </r>
  <r>
    <d v="2018-12-03T00:00:00"/>
    <n v="1"/>
    <x v="7"/>
    <n v="3346.19"/>
    <n v="2621.74"/>
    <s v="Portaria"/>
    <s v="DUFRY FREE - Aeroporto Guarulhos"/>
  </r>
  <r>
    <d v="2018-12-21T00:00:00"/>
    <n v="1"/>
    <x v="8"/>
    <n v="251593.23"/>
    <n v="204671.09"/>
    <s v="Portaria"/>
    <s v="GLOBO - BOMBEIRO CIVIL"/>
  </r>
  <r>
    <d v="2018-12-26T00:00:00"/>
    <n v="1"/>
    <x v="9"/>
    <n v="192809.92"/>
    <n v="156850.87"/>
    <s v="Portaria"/>
    <s v="GLOBO - PORTARIA E RECEPCAO"/>
  </r>
  <r>
    <d v="2018-12-04T00:00:00"/>
    <n v="1"/>
    <x v="10"/>
    <n v="9340.84"/>
    <n v="7318.54"/>
    <s v="Portaria"/>
    <s v="GPA - GRUPO PAO DE ACUCAR - Unidade Galeao"/>
  </r>
  <r>
    <d v="2018-12-04T00:00:00"/>
    <n v="1"/>
    <x v="10"/>
    <n v="9340.7999999999993"/>
    <n v="7318.51"/>
    <s v="Portaria"/>
    <s v="GPA - GRUPO PAO DE ACUCAR - Unidade Galeao"/>
  </r>
  <r>
    <d v="2018-12-04T00:00:00"/>
    <n v="1"/>
    <x v="10"/>
    <n v="9528"/>
    <n v="7465.19"/>
    <s v="Portaria"/>
    <s v="GPA - GRUPO PAO DE ACUCAR - Unidade Campos dos Goytacazes"/>
  </r>
  <r>
    <d v="2018-12-04T00:00:00"/>
    <n v="1"/>
    <x v="10"/>
    <n v="18681.599999999999"/>
    <n v="14637.02"/>
    <s v="Portaria"/>
    <s v="GPA - GRUPO PAO DE ACUCAR - Unidade Galeao"/>
  </r>
  <r>
    <d v="2018-12-04T00:00:00"/>
    <n v="1"/>
    <x v="10"/>
    <n v="9733.36"/>
    <n v="7626.09"/>
    <s v="Portaria"/>
    <s v="GPA - GRUPO PAO DE ACUCAR - Unidade Galeao"/>
  </r>
  <r>
    <d v="2018-12-04T00:00:00"/>
    <n v="1"/>
    <x v="10"/>
    <n v="9340.84"/>
    <n v="7318.54"/>
    <s v="Portaria"/>
    <s v="GPA - GRUPO PAO DE ACUCAR - Unidade Galeao"/>
  </r>
  <r>
    <d v="2018-12-04T00:00:00"/>
    <n v="1"/>
    <x v="10"/>
    <n v="9340.7999999999993"/>
    <n v="7318.51"/>
    <s v="Portaria"/>
    <s v="GPA - GRUPO PAO DE ACUCAR - Unidade Galeao"/>
  </r>
  <r>
    <d v="2018-12-04T00:00:00"/>
    <n v="1"/>
    <x v="10"/>
    <n v="30543.599999999999"/>
    <n v="23930.9"/>
    <s v="Portaria"/>
    <s v="GPA - GRUPO PAO DE ACUCAR - Unidade Galeao"/>
  </r>
  <r>
    <d v="2018-12-04T00:00:00"/>
    <n v="1"/>
    <x v="10"/>
    <n v="11016"/>
    <n v="8961.52"/>
    <s v="Portaria"/>
    <s v="GPA - GRUPO PAO DE ACUCAR - Unidade Galeao"/>
  </r>
  <r>
    <d v="2018-12-04T00:00:00"/>
    <n v="1"/>
    <x v="10"/>
    <n v="9340.7999999999993"/>
    <n v="7318.51"/>
    <s v="Portaria"/>
    <s v="GPA - GRUPO PAO DE ACUCAR - Unidade Campos dos Goytacazes"/>
  </r>
  <r>
    <d v="2018-12-04T00:00:00"/>
    <n v="1"/>
    <x v="10"/>
    <n v="25380"/>
    <n v="19885.23"/>
    <s v="Portaria"/>
    <s v="GPA - GRUPO PAO DE ACUCAR - Unidade Campos dos Goytacazes"/>
  </r>
  <r>
    <d v="2018-12-04T00:00:00"/>
    <n v="1"/>
    <x v="10"/>
    <n v="9555"/>
    <n v="7486.34"/>
    <s v="Portaria"/>
    <s v="GPA - GRUPO PAO DE ACUCAR - Unidade Campos dos Goytacazes"/>
  </r>
  <r>
    <d v="2018-12-04T00:00:00"/>
    <n v="1"/>
    <x v="10"/>
    <n v="4910.3999999999996"/>
    <n v="3847.31"/>
    <s v="Portaria"/>
    <s v="GPA - GRUPO PAO DE ACUCAR - Unidade Campos dos Goytacazes"/>
  </r>
  <r>
    <d v="2018-12-04T00:00:00"/>
    <n v="1"/>
    <x v="10"/>
    <n v="7046.46"/>
    <n v="5520.92"/>
    <s v="Portaria"/>
    <s v="GPA - GRUPO PAO DE ACUCAR - Unidade Galeao"/>
  </r>
  <r>
    <d v="2018-12-04T00:00:00"/>
    <n v="1"/>
    <x v="10"/>
    <n v="7567.2"/>
    <n v="5928.9"/>
    <s v="Portaria"/>
    <s v="GPA - GRUPO PAO DE ACUCAR - Unidade Campos dos Goytacazes"/>
  </r>
  <r>
    <d v="2018-12-04T00:00:00"/>
    <n v="1"/>
    <x v="10"/>
    <n v="6480"/>
    <n v="5077.08"/>
    <s v="Portaria"/>
    <s v="GPA - GRUPO PAO DE ACUCAR - Unidade Iraja"/>
  </r>
  <r>
    <d v="2018-12-13T00:00:00"/>
    <n v="1"/>
    <x v="11"/>
    <n v="26140.6"/>
    <n v="21265.37"/>
    <s v="Portaria"/>
    <s v="GROWN OPTICAL LTDA - Jardim Jaragua - SP"/>
  </r>
  <r>
    <d v="2018-12-13T00:00:00"/>
    <n v="1"/>
    <x v="11"/>
    <n v="25421.27"/>
    <n v="20680.2"/>
    <s v="Portaria"/>
    <s v="GROWN OPTICAL LTDA"/>
  </r>
  <r>
    <d v="2018-12-13T00:00:00"/>
    <n v="1"/>
    <x v="12"/>
    <n v="14215"/>
    <n v="11492.82"/>
    <s v="Portaria"/>
    <s v="INDUSTRIA E COMERCIO DE EXPLOSIVOS NITROSUL - Portaria"/>
  </r>
  <r>
    <d v="2018-12-11T00:00:00"/>
    <n v="1"/>
    <x v="13"/>
    <n v="7685.12"/>
    <n v="6251.82"/>
    <s v="Portaria"/>
    <s v="MAGAZINE LUIZA S/A - CONTAGEM - JOAO CESAR DE OL, 3127"/>
  </r>
  <r>
    <d v="2018-12-11T00:00:00"/>
    <n v="1"/>
    <x v="13"/>
    <n v="7685.12"/>
    <n v="6251.86"/>
    <s v="Portaria"/>
    <s v="MAGAZINE LUIZA S/A - CONTAGEM - TIRADENTES, 2671"/>
  </r>
  <r>
    <d v="2018-12-11T00:00:00"/>
    <n v="1"/>
    <x v="13"/>
    <n v="7151.19"/>
    <n v="5745.98"/>
    <s v="Portaria"/>
    <s v="MAGAZINE LUIZA S/A - GUARATINGUETA - JOSE BONIFACIO, 34"/>
  </r>
  <r>
    <d v="2018-12-11T00:00:00"/>
    <n v="1"/>
    <x v="13"/>
    <n v="7151.19"/>
    <n v="5817.5"/>
    <s v="Portaria"/>
    <s v="MAGAZINE LUIZA S/A - JAGUARIUNA - ALFREDO ENGLER, 198"/>
  </r>
  <r>
    <d v="2018-12-11T00:00:00"/>
    <n v="1"/>
    <x v="13"/>
    <n v="7685.12"/>
    <n v="6251.86"/>
    <s v="Portaria"/>
    <s v="MAGAZINE LUIZA S/A - PEDRO LEOPOLDO - COM ANT ALVES, 507"/>
  </r>
  <r>
    <d v="2018-12-11T00:00:00"/>
    <n v="1"/>
    <x v="13"/>
    <n v="7685.12"/>
    <n v="6021.3"/>
    <s v="Portaria"/>
    <s v="MAGAZINE LUIZA S/A - BH - CURITIBA, 569"/>
  </r>
  <r>
    <d v="2018-12-11T00:00:00"/>
    <n v="1"/>
    <x v="13"/>
    <n v="667.95"/>
    <n v="562.04"/>
    <s v="Portaria"/>
    <s v="MAGAZINE LUIZA S/A - PEDRO LEOPOLDO - COM ANT ALVES, 507"/>
  </r>
  <r>
    <d v="2018-12-11T00:00:00"/>
    <n v="1"/>
    <x v="13"/>
    <n v="1358.17"/>
    <n v="1104.8699999999999"/>
    <s v="Portaria"/>
    <s v="MAGAZINE LUIZA S/A - PEDRO LEOPOLDO - COM ANT ALVES, 507"/>
  </r>
  <r>
    <d v="2018-12-11T00:00:00"/>
    <n v="1"/>
    <x v="13"/>
    <n v="578.89"/>
    <n v="462.24"/>
    <s v="Portaria"/>
    <s v="MAGAZINE LUIZA S/A - CONTAGEM - TIRADENTES, 2671"/>
  </r>
  <r>
    <d v="2018-12-11T00:00:00"/>
    <n v="1"/>
    <x v="13"/>
    <n v="133.59"/>
    <n v="104.66"/>
    <s v="Portaria"/>
    <s v="MAGAZINE LUIZA S/A - BH - CURITIBA, 569"/>
  </r>
  <r>
    <d v="2018-12-11T00:00:00"/>
    <n v="1"/>
    <x v="13"/>
    <n v="133.59"/>
    <n v="106.66"/>
    <s v="Portaria"/>
    <s v="MAGAZINE LUIZA S/A - CONTAGEM - TIRADENTES, 2671"/>
  </r>
  <r>
    <d v="2018-12-11T00:00:00"/>
    <n v="1"/>
    <x v="13"/>
    <n v="133.59"/>
    <n v="106.66"/>
    <s v="Portaria"/>
    <s v="MAGAZINE LUIZA S/A - CONTAGEM - TIRADENTES, 2671"/>
  </r>
  <r>
    <d v="2018-12-11T00:00:00"/>
    <n v="1"/>
    <x v="13"/>
    <n v="2449.15"/>
    <n v="1967.9"/>
    <s v="Portaria"/>
    <s v="MAGAZINE LUIZA S/A - BH - CURITIBA, 569"/>
  </r>
  <r>
    <d v="2018-12-11T00:00:00"/>
    <n v="1"/>
    <x v="13"/>
    <n v="7312.11"/>
    <n v="5948.41"/>
    <s v="Portaria"/>
    <s v="MAGAZINE LUIZA S/A - JUNDIAI - BARAO DE JUNDIAI, 847"/>
  </r>
  <r>
    <d v="2018-12-18T00:00:00"/>
    <n v="1"/>
    <x v="13"/>
    <n v="533.28"/>
    <n v="428.49"/>
    <s v="Portaria"/>
    <s v="MAGAZINE LUIZA S/A - GUARATINGUETA - JOSE BONIFACIO, 34"/>
  </r>
  <r>
    <d v="2018-12-18T00:00:00"/>
    <n v="1"/>
    <x v="13"/>
    <n v="534.36"/>
    <n v="434.71"/>
    <s v="Portaria"/>
    <s v="MAGAZINE LUIZA S/A - CONTAGEM - TIRADENTES, 2671"/>
  </r>
  <r>
    <d v="2018-12-18T00:00:00"/>
    <n v="1"/>
    <x v="13"/>
    <n v="311.70999999999998"/>
    <n v="253.57"/>
    <s v="Portaria"/>
    <s v="MAGAZINE LUIZA S/A - CONTAGEM - JOAO CESAR DE OL, 3127"/>
  </r>
  <r>
    <d v="2018-12-18T00:00:00"/>
    <n v="1"/>
    <x v="13"/>
    <n v="888.8"/>
    <n v="723.03"/>
    <s v="Portaria"/>
    <s v="MAGAZINE LUIZA S/A - SE / SAO PAULO - DIREITA, 231"/>
  </r>
  <r>
    <d v="2018-12-03T00:00:00"/>
    <n v="1"/>
    <x v="14"/>
    <n v="8394.81"/>
    <n v="6577.33"/>
    <s v="Portaria"/>
    <s v="MATE COURO S.A (PORTARIA)"/>
  </r>
  <r>
    <d v="2018-12-03T00:00:00"/>
    <n v="1"/>
    <x v="15"/>
    <n v="3817.2"/>
    <n v="2990.78"/>
    <s v="Portaria"/>
    <s v="MIX TUDO COMÉRCIO E SERVIÇOS EIRELI - ME"/>
  </r>
  <r>
    <d v="2018-12-04T00:00:00"/>
    <n v="1"/>
    <x v="16"/>
    <n v="7677.83"/>
    <n v="6169.14"/>
    <s v="Portaria"/>
    <s v="MRS LOGISTICA S/A - Antonio Carlos"/>
  </r>
  <r>
    <d v="2018-12-04T00:00:00"/>
    <n v="1"/>
    <x v="16"/>
    <n v="26087.32"/>
    <n v="20439.41"/>
    <s v="Portaria"/>
    <s v="MRS LOGISTICA S/A - Belo Horizonte"/>
  </r>
  <r>
    <d v="2018-12-04T00:00:00"/>
    <n v="1"/>
    <x v="16"/>
    <n v="45215.29"/>
    <n v="35426.19"/>
    <s v="Portaria"/>
    <s v="MRS LOGISTICA S/A - Conselheiro Lafaiete"/>
  </r>
  <r>
    <d v="2018-12-04T00:00:00"/>
    <n v="1"/>
    <x v="16"/>
    <n v="32892.54"/>
    <n v="26758.07"/>
    <s v="Portaria"/>
    <s v="MRS LOGISTICA S/A - Carandai"/>
  </r>
  <r>
    <d v="2018-12-04T00:00:00"/>
    <n v="1"/>
    <x v="16"/>
    <n v="5099.54"/>
    <n v="4148.46"/>
    <s v="Portaria"/>
    <s v="MRS LOGISTICA S/A - Antonio Carlos"/>
  </r>
  <r>
    <d v="2018-12-04T00:00:00"/>
    <n v="1"/>
    <x v="16"/>
    <n v="33477.839999999997"/>
    <n v="26899.43"/>
    <s v="Portaria"/>
    <s v="MRS LOGISTICA S/A - Antonio Carlos"/>
  </r>
  <r>
    <d v="2018-12-04T00:00:00"/>
    <n v="1"/>
    <x v="16"/>
    <n v="15941.88"/>
    <n v="12490.46"/>
    <s v="Portaria"/>
    <s v="MRS LOGISTICA S/A - Bom Jardim"/>
  </r>
  <r>
    <d v="2018-12-04T00:00:00"/>
    <n v="1"/>
    <x v="16"/>
    <n v="15390.57"/>
    <n v="12520.22"/>
    <s v="Portaria"/>
    <s v="MRS LOGISTICA S/A - Matias Barbosa"/>
  </r>
  <r>
    <d v="2018-12-04T00:00:00"/>
    <n v="1"/>
    <x v="16"/>
    <n v="164907.1"/>
    <n v="129204.71"/>
    <s v="Portaria"/>
    <s v="MRS LOGISTICA S/A - Juiz de Fora"/>
  </r>
  <r>
    <d v="2018-12-05T00:00:00"/>
    <n v="1"/>
    <x v="17"/>
    <n v="453458.92"/>
    <n v="368888.83"/>
    <s v="Portaria"/>
    <s v="NATURA COSMETICOS S/A - São Paulo"/>
  </r>
  <r>
    <d v="2018-12-21T00:00:00"/>
    <n v="1"/>
    <x v="17"/>
    <n v="330007.51"/>
    <n v="268461.09000000003"/>
    <s v="Portaria"/>
    <s v="NATURA COSMETICOS S/A - Rio de Janeiro"/>
  </r>
  <r>
    <d v="2018-12-03T00:00:00"/>
    <n v="1"/>
    <x v="18"/>
    <n v="14889.15"/>
    <n v="11665.65"/>
    <s v="Portaria"/>
    <s v="PROCOMP INDUSTRIA ELETRONICA"/>
  </r>
  <r>
    <d v="2018-12-13T00:00:00"/>
    <n v="1"/>
    <x v="19"/>
    <n v="5211.9799999999996"/>
    <n v="4187.82"/>
    <s v="Portaria"/>
    <s v="PUR EQUIPAMENTOS INDUSTRIAIS - MG - PUR EQUIP."/>
  </r>
  <r>
    <d v="2018-12-03T00:00:00"/>
    <n v="1"/>
    <x v="20"/>
    <n v="3713.9"/>
    <n v="2965.54"/>
    <s v="Portaria"/>
    <s v="SICOOB NOSSACOOP - Sicoob"/>
  </r>
  <r>
    <d v="2018-12-03T00:00:00"/>
    <n v="1"/>
    <x v="21"/>
    <n v="3713.9"/>
    <n v="3021.25"/>
    <s v="Portaria"/>
    <s v="SICOOB NOSSACOOP - Ibirite"/>
  </r>
  <r>
    <d v="2018-12-03T00:00:00"/>
    <n v="1"/>
    <x v="22"/>
    <n v="3713.9"/>
    <n v="2984.11"/>
    <s v="Portaria"/>
    <s v="SICOOB NOSSACOOP - Mariana"/>
  </r>
  <r>
    <d v="2018-12-03T00:00:00"/>
    <n v="1"/>
    <x v="23"/>
    <n v="3713.9"/>
    <n v="2984.11"/>
    <s v="Portaria"/>
    <s v="SICOOB NOSSACOOP - Sao Jose da Lapa"/>
  </r>
  <r>
    <d v="2018-12-03T00:00:00"/>
    <n v="1"/>
    <x v="24"/>
    <n v="3713.9"/>
    <n v="3021.25"/>
    <s v="Portaria"/>
    <s v="SICOOB NOSSACOOP - Sicoob"/>
  </r>
  <r>
    <d v="2018-12-03T00:00:00"/>
    <n v="1"/>
    <x v="24"/>
    <n v="3713.9"/>
    <n v="2909.83"/>
    <s v="Portaria"/>
    <s v="SICOOB NOSSACOOP - Sicoob"/>
  </r>
  <r>
    <d v="2018-12-13T00:00:00"/>
    <n v="1"/>
    <x v="25"/>
    <n v="18051.82"/>
    <n v="14143.6"/>
    <s v="Portaria"/>
    <s v=" SPE INOVA BH S.A. - MG"/>
  </r>
  <r>
    <d v="2018-12-03T00:00:00"/>
    <n v="1"/>
    <x v="26"/>
    <n v="22929.93"/>
    <n v="18309.55"/>
    <s v="Portaria"/>
    <s v="MINAS TEXTEIS"/>
  </r>
  <r>
    <d v="2018-12-05T00:00:00"/>
    <n v="1"/>
    <x v="27"/>
    <n v="16973.439999999999"/>
    <n v="13298.7"/>
    <s v="Portaria"/>
    <s v="VIA VAREJO - PA 01"/>
  </r>
  <r>
    <d v="2018-12-05T00:00:00"/>
    <n v="1"/>
    <x v="28"/>
    <n v="6438"/>
    <n v="5172.93"/>
    <s v="Portaria"/>
    <s v="VIA VAREJO - PA 01"/>
  </r>
  <r>
    <d v="2018-12-05T00:00:00"/>
    <n v="1"/>
    <x v="28"/>
    <n v="17868.82"/>
    <n v="14268.25"/>
    <s v="Portaria"/>
    <s v="VIA VAREJO - PA 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E6:K33" firstHeaderRow="1" firstDataRow="2" firstDataCol="1"/>
  <pivotFields count="5">
    <pivotField numFmtId="14" showAll="0" defaultSubtotal="0"/>
    <pivotField axis="axisRow" showAll="0">
      <items count="30">
        <item x="0"/>
        <item x="1"/>
        <item x="2"/>
        <item x="3"/>
        <item x="4"/>
        <item x="5"/>
        <item m="1" x="26"/>
        <item m="1" x="25"/>
        <item m="1" x="28"/>
        <item x="8"/>
        <item x="9"/>
        <item x="11"/>
        <item x="12"/>
        <item x="13"/>
        <item x="14"/>
        <item x="15"/>
        <item x="17"/>
        <item x="19"/>
        <item x="20"/>
        <item x="21"/>
        <item x="22"/>
        <item x="23"/>
        <item x="24"/>
        <item x="6"/>
        <item x="7"/>
        <item m="1" x="27"/>
        <item x="10"/>
        <item x="16"/>
        <item x="18"/>
        <item t="default"/>
      </items>
    </pivotField>
    <pivotField axis="axisCol" numFmtId="14" showAll="0">
      <items count="21">
        <item x="3"/>
        <item x="4"/>
        <item m="1" x="18"/>
        <item m="1" x="14"/>
        <item x="0"/>
        <item x="1"/>
        <item x="2"/>
        <item m="1" x="5"/>
        <item m="1" x="11"/>
        <item m="1" x="7"/>
        <item m="1" x="19"/>
        <item m="1" x="9"/>
        <item m="1" x="16"/>
        <item m="1" x="6"/>
        <item m="1" x="8"/>
        <item m="1" x="15"/>
        <item m="1" x="13"/>
        <item m="1" x="12"/>
        <item m="1" x="10"/>
        <item m="1" x="17"/>
        <item t="default"/>
      </items>
    </pivotField>
    <pivotField showAll="0"/>
    <pivotField dataFiel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 t="grand">
      <x/>
    </i>
  </rowItems>
  <colFields count="1">
    <field x="2"/>
  </colFields>
  <colItems count="6">
    <i>
      <x/>
    </i>
    <i>
      <x v="1"/>
    </i>
    <i>
      <x v="4"/>
    </i>
    <i>
      <x v="5"/>
    </i>
    <i>
      <x v="6"/>
    </i>
    <i t="grand">
      <x/>
    </i>
  </colItems>
  <dataFields count="1">
    <dataField name="Soma de VR" fld="4" baseField="0" baseItem="0"/>
  </dataFields>
  <formats count="7">
    <format dxfId="6">
      <pivotArea outline="0" collapsedLevelsAreSubtotals="1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D5:E35" firstHeaderRow="1" firstDataRow="1" firstDataCol="1"/>
  <pivotFields count="7">
    <pivotField numFmtId="14" showAll="0"/>
    <pivotField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oma de VR B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zoomScaleNormal="100" workbookViewId="0">
      <selection activeCell="E10" sqref="E10"/>
    </sheetView>
  </sheetViews>
  <sheetFormatPr defaultRowHeight="15"/>
  <cols>
    <col min="1" max="1" width="2.7109375" customWidth="1"/>
    <col min="2" max="2" width="3.42578125" customWidth="1"/>
    <col min="5" max="5" width="13.140625" customWidth="1"/>
    <col min="6" max="12" width="22.42578125" customWidth="1"/>
    <col min="13" max="13" width="25.28515625" customWidth="1"/>
  </cols>
  <sheetData>
    <row r="1" spans="2:13">
      <c r="B1" s="66" t="s">
        <v>40</v>
      </c>
    </row>
    <row r="2" spans="2:13">
      <c r="B2" s="66" t="s">
        <v>0</v>
      </c>
    </row>
    <row r="3" spans="2:13">
      <c r="B3" s="66" t="s">
        <v>16</v>
      </c>
    </row>
    <row r="7" spans="2:13" ht="19.5" customHeight="1">
      <c r="C7" s="177" t="s">
        <v>20</v>
      </c>
      <c r="D7" s="177"/>
      <c r="E7" s="177"/>
      <c r="F7" s="39" t="s">
        <v>6</v>
      </c>
      <c r="G7" s="39" t="s">
        <v>17</v>
      </c>
      <c r="H7" s="39" t="s">
        <v>18</v>
      </c>
      <c r="I7" s="39" t="s">
        <v>70</v>
      </c>
      <c r="J7" s="39" t="s">
        <v>71</v>
      </c>
      <c r="K7" s="39" t="s">
        <v>72</v>
      </c>
      <c r="L7" s="39" t="s">
        <v>73</v>
      </c>
      <c r="M7" s="39" t="s">
        <v>7</v>
      </c>
    </row>
    <row r="8" spans="2:13" ht="19.5" customHeight="1">
      <c r="C8" s="178" t="s">
        <v>11</v>
      </c>
      <c r="D8" s="178"/>
      <c r="E8" s="178"/>
      <c r="F8" s="40">
        <f>'FATURAMENTO GERAL 2018'!I48</f>
        <v>1201868.6400000001</v>
      </c>
      <c r="G8" s="40">
        <f>'FATURAMENTO GERAL 2018'!J48</f>
        <v>541254.33000000007</v>
      </c>
      <c r="H8" s="40">
        <f>'FATURAMENTO GERAL 2018'!K48</f>
        <v>508347.94999999995</v>
      </c>
      <c r="I8" s="40">
        <f>'FATURAMENTO GERAL 2018'!L48</f>
        <v>1024287.3400000001</v>
      </c>
      <c r="J8" s="40">
        <f>'FATURAMENTO GERAL 2018'!M48</f>
        <v>1091517.8299999998</v>
      </c>
      <c r="K8" s="40">
        <f>'FATURAMENTO GERAL 2018'!N48</f>
        <v>1395528.0499999998</v>
      </c>
      <c r="L8" s="40">
        <f>'FATURAMENTO GERAL 2018'!O48</f>
        <v>1385682.4</v>
      </c>
      <c r="M8" s="17">
        <f>SUM(F8:H8)</f>
        <v>2251470.92</v>
      </c>
    </row>
    <row r="9" spans="2:13" ht="19.5" customHeight="1">
      <c r="C9" s="178" t="s">
        <v>7</v>
      </c>
      <c r="D9" s="178"/>
      <c r="E9" s="178"/>
      <c r="F9" s="18">
        <f t="shared" ref="F9:H9" si="0">SUM(F8:F8)</f>
        <v>1201868.6400000001</v>
      </c>
      <c r="G9" s="18">
        <f t="shared" si="0"/>
        <v>541254.33000000007</v>
      </c>
      <c r="H9" s="18">
        <f t="shared" si="0"/>
        <v>508347.94999999995</v>
      </c>
      <c r="I9" s="18">
        <f t="shared" ref="I9:L9" si="1">SUM(I8:I8)</f>
        <v>1024287.3400000001</v>
      </c>
      <c r="J9" s="18">
        <f t="shared" si="1"/>
        <v>1091517.8299999998</v>
      </c>
      <c r="K9" s="18">
        <f t="shared" si="1"/>
        <v>1395528.0499999998</v>
      </c>
      <c r="L9" s="18">
        <f t="shared" si="1"/>
        <v>1385682.4</v>
      </c>
      <c r="M9" s="17">
        <f>SUM(F9:H9)</f>
        <v>2251470.92</v>
      </c>
    </row>
    <row r="10" spans="2:13" ht="19.5" customHeight="1">
      <c r="C10" s="42"/>
      <c r="D10" s="42"/>
      <c r="E10" s="42"/>
      <c r="F10" s="41"/>
      <c r="G10" s="41"/>
      <c r="H10" s="41"/>
      <c r="I10" s="41"/>
      <c r="J10" s="41"/>
      <c r="K10" s="41"/>
      <c r="L10" s="41"/>
      <c r="M10" s="41"/>
    </row>
    <row r="11" spans="2:13" ht="19.5" customHeight="1">
      <c r="C11" s="174" t="s">
        <v>12</v>
      </c>
      <c r="D11" s="175"/>
      <c r="E11" s="176"/>
      <c r="F11" s="40">
        <f>'FATURAMENTO GERAL 2018'!I57</f>
        <v>412300.80000000005</v>
      </c>
      <c r="G11" s="40">
        <f>'FATURAMENTO GERAL 2018'!J57</f>
        <v>421577.45999999996</v>
      </c>
      <c r="H11" s="40">
        <f>'FATURAMENTO GERAL 2018'!K57</f>
        <v>388671.08000000007</v>
      </c>
      <c r="I11" s="40">
        <f>'FATURAMENTO GERAL 2018'!L57</f>
        <v>452038.91</v>
      </c>
      <c r="J11" s="40">
        <f>'FATURAMENTO GERAL 2018'!M57</f>
        <v>465815.55000000005</v>
      </c>
      <c r="K11" s="40">
        <f>'FATURAMENTO GERAL 2018'!N57</f>
        <v>424228.55000000005</v>
      </c>
      <c r="L11" s="40">
        <f>'FATURAMENTO GERAL 2018'!O57</f>
        <v>455966.16999999993</v>
      </c>
      <c r="M11" s="17">
        <f>SUM(F11:H11)</f>
        <v>1222549.3400000001</v>
      </c>
    </row>
    <row r="12" spans="2:13" ht="19.5" customHeight="1">
      <c r="C12" s="174" t="s">
        <v>13</v>
      </c>
      <c r="D12" s="175"/>
      <c r="E12" s="176"/>
      <c r="F12" s="40">
        <f>'FATURAMENTO GERAL 2018'!I58</f>
        <v>0</v>
      </c>
      <c r="G12" s="40">
        <f>'FATURAMENTO GERAL 2018'!J58</f>
        <v>0</v>
      </c>
      <c r="H12" s="40">
        <f>'FATURAMENTO GERAL 2018'!K58</f>
        <v>0</v>
      </c>
      <c r="I12" s="40">
        <f>'FATURAMENTO GERAL 2018'!L58</f>
        <v>0</v>
      </c>
      <c r="J12" s="40">
        <f>'FATURAMENTO GERAL 2018'!M58</f>
        <v>0</v>
      </c>
      <c r="K12" s="40">
        <f>'FATURAMENTO GERAL 2018'!N58</f>
        <v>0</v>
      </c>
      <c r="L12" s="40">
        <f>'FATURAMENTO GERAL 2018'!O58</f>
        <v>0</v>
      </c>
      <c r="M12" s="17">
        <f t="shared" ref="M12:M14" si="2">SUM(F12:H12)</f>
        <v>0</v>
      </c>
    </row>
    <row r="13" spans="2:13" ht="19.5" customHeight="1">
      <c r="C13" s="174" t="s">
        <v>14</v>
      </c>
      <c r="D13" s="175"/>
      <c r="E13" s="176"/>
      <c r="F13" s="40">
        <f>'FATURAMENTO GERAL 2018'!I59</f>
        <v>784478.24</v>
      </c>
      <c r="G13" s="40">
        <f>'FATURAMENTO GERAL 2018'!J59</f>
        <v>115859.67</v>
      </c>
      <c r="H13" s="40">
        <f>'FATURAMENTO GERAL 2018'!K59</f>
        <v>115859.67</v>
      </c>
      <c r="I13" s="40">
        <f>'FATURAMENTO GERAL 2018'!L59</f>
        <v>568431.23</v>
      </c>
      <c r="J13" s="40">
        <f>'FATURAMENTO GERAL 2018'!M59</f>
        <v>569996.72</v>
      </c>
      <c r="K13" s="40">
        <f>'FATURAMENTO GERAL 2018'!N59</f>
        <v>772457.53</v>
      </c>
      <c r="L13" s="40">
        <f>'FATURAMENTO GERAL 2018'!O59</f>
        <v>783492.53</v>
      </c>
      <c r="M13" s="17">
        <f t="shared" si="2"/>
        <v>1016197.5800000001</v>
      </c>
    </row>
    <row r="14" spans="2:13" ht="19.5" customHeight="1">
      <c r="C14" s="174" t="s">
        <v>69</v>
      </c>
      <c r="D14" s="175"/>
      <c r="E14" s="176"/>
      <c r="F14" s="40">
        <f>'FATURAMENTO GERAL 2018'!I60</f>
        <v>5089.6000000000004</v>
      </c>
      <c r="G14" s="40">
        <f>'FATURAMENTO GERAL 2018'!J60</f>
        <v>3817.2</v>
      </c>
      <c r="H14" s="40">
        <f>'FATURAMENTO GERAL 2018'!K60</f>
        <v>3817.2</v>
      </c>
      <c r="I14" s="40">
        <f>'FATURAMENTO GERAL 2018'!L60</f>
        <v>3817.2</v>
      </c>
      <c r="J14" s="40">
        <f>'FATURAMENTO GERAL 2018'!M60</f>
        <v>3817.2</v>
      </c>
      <c r="K14" s="40">
        <f>'FATURAMENTO GERAL 2018'!N60</f>
        <v>3817.2</v>
      </c>
      <c r="L14" s="40">
        <f>'FATURAMENTO GERAL 2018'!O60</f>
        <v>3817.2</v>
      </c>
      <c r="M14" s="17">
        <f t="shared" si="2"/>
        <v>12724</v>
      </c>
    </row>
    <row r="15" spans="2:13" ht="19.5" customHeight="1">
      <c r="C15" s="174" t="s">
        <v>7</v>
      </c>
      <c r="D15" s="175"/>
      <c r="E15" s="176"/>
      <c r="F15" s="17">
        <f>SUM(F11:F14)</f>
        <v>1201868.6400000001</v>
      </c>
      <c r="G15" s="17">
        <f>SUM(G11:G14)</f>
        <v>541254.32999999996</v>
      </c>
      <c r="H15" s="17">
        <f>SUM(H11:H14)</f>
        <v>508347.95000000007</v>
      </c>
      <c r="I15" s="17">
        <f t="shared" ref="I15:L15" si="3">SUM(I11:I14)</f>
        <v>1024287.3399999999</v>
      </c>
      <c r="J15" s="17">
        <f t="shared" si="3"/>
        <v>1039629.47</v>
      </c>
      <c r="K15" s="17">
        <f t="shared" si="3"/>
        <v>1200503.28</v>
      </c>
      <c r="L15" s="17">
        <f t="shared" si="3"/>
        <v>1243275.8999999999</v>
      </c>
      <c r="M15" s="17">
        <f>SUM(F15:H15)</f>
        <v>2251470.9200000004</v>
      </c>
    </row>
  </sheetData>
  <mergeCells count="8">
    <mergeCell ref="C15:E15"/>
    <mergeCell ref="C7:E7"/>
    <mergeCell ref="C8:E8"/>
    <mergeCell ref="C9:E9"/>
    <mergeCell ref="C11:E11"/>
    <mergeCell ref="C12:E12"/>
    <mergeCell ref="C13:E13"/>
    <mergeCell ref="C14:E14"/>
  </mergeCells>
  <pageMargins left="0.511811024" right="0.511811024" top="0.78740157499999996" bottom="0.78740157499999996" header="0.31496062000000002" footer="0.31496062000000002"/>
  <pageSetup paperSize="9" scale="3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pageSetUpPr fitToPage="1"/>
  </sheetPr>
  <dimension ref="A1:AX77"/>
  <sheetViews>
    <sheetView showGridLines="0" tabSelected="1" zoomScale="70" zoomScaleNormal="70" workbookViewId="0">
      <pane ySplit="7" topLeftCell="A8" activePane="bottomLeft" state="frozen"/>
      <selection pane="bottomLeft" activeCell="A8" sqref="A8"/>
    </sheetView>
  </sheetViews>
  <sheetFormatPr defaultColWidth="9.140625" defaultRowHeight="0" customHeight="1" zeroHeight="1"/>
  <cols>
    <col min="1" max="1" width="4.28515625" style="33" customWidth="1"/>
    <col min="2" max="2" width="8.7109375" style="3" customWidth="1"/>
    <col min="3" max="3" width="56.140625" style="92" customWidth="1"/>
    <col min="4" max="4" width="19.28515625" style="4" customWidth="1"/>
    <col min="5" max="5" width="21.7109375" style="4" customWidth="1"/>
    <col min="6" max="6" width="21.7109375" style="5" customWidth="1"/>
    <col min="7" max="7" width="10.7109375" style="5" customWidth="1"/>
    <col min="8" max="8" width="21.140625" style="5" customWidth="1"/>
    <col min="9" max="15" width="22.140625" style="98" customWidth="1"/>
    <col min="16" max="16" width="23.140625" style="98" customWidth="1"/>
    <col min="17" max="17" width="23.140625" style="98" bestFit="1" customWidth="1"/>
    <col min="18" max="20" width="22.140625" style="98" customWidth="1"/>
    <col min="21" max="21" width="26.42578125" style="114" customWidth="1"/>
    <col min="22" max="22" width="16.85546875" style="38" customWidth="1"/>
    <col min="23" max="23" width="17.140625" style="32" customWidth="1"/>
    <col min="24" max="24" width="41" style="33" customWidth="1"/>
    <col min="25" max="25" width="13" style="2" bestFit="1" customWidth="1"/>
    <col min="26" max="26" width="14.42578125" style="2" bestFit="1" customWidth="1"/>
    <col min="27" max="16384" width="9.140625" style="2"/>
  </cols>
  <sheetData>
    <row r="1" spans="1:50" s="1" customFormat="1" ht="21.75" customHeight="1">
      <c r="A1" s="70" t="s">
        <v>40</v>
      </c>
      <c r="B1" s="43"/>
      <c r="C1" s="91"/>
      <c r="D1" s="46"/>
      <c r="E1" s="46"/>
      <c r="F1" s="44"/>
      <c r="G1" s="44"/>
      <c r="H1" s="44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36"/>
      <c r="W1" s="28"/>
      <c r="X1" s="29"/>
    </row>
    <row r="2" spans="1:50" s="1" customFormat="1" ht="21.75" customHeight="1">
      <c r="A2" s="70" t="s">
        <v>0</v>
      </c>
      <c r="B2" s="43"/>
      <c r="C2" s="91"/>
      <c r="D2" s="47"/>
      <c r="E2" s="47"/>
      <c r="F2" s="48"/>
      <c r="G2" s="44"/>
      <c r="H2" s="44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36"/>
      <c r="W2" s="28"/>
      <c r="X2" s="29"/>
    </row>
    <row r="3" spans="1:50" s="1" customFormat="1" ht="21.75" customHeight="1">
      <c r="A3" s="70" t="s">
        <v>16</v>
      </c>
      <c r="B3" s="43"/>
      <c r="C3" s="91"/>
      <c r="D3" s="46"/>
      <c r="E3" s="46"/>
      <c r="F3" s="44"/>
      <c r="G3" s="44"/>
      <c r="H3" s="44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36"/>
      <c r="W3" s="28"/>
      <c r="X3" s="29"/>
    </row>
    <row r="4" spans="1:50" s="1" customFormat="1" ht="37.5" customHeight="1">
      <c r="A4" s="70"/>
      <c r="B4" s="43"/>
      <c r="C4" s="91"/>
      <c r="D4" s="46"/>
      <c r="E4" s="46"/>
      <c r="F4" s="45"/>
      <c r="G4" s="45"/>
      <c r="H4" s="45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37"/>
      <c r="W4" s="30"/>
      <c r="X4" s="31"/>
    </row>
    <row r="5" spans="1:50" ht="12" customHeight="1">
      <c r="U5" s="99"/>
    </row>
    <row r="6" spans="1:50" ht="12" customHeight="1" thickBot="1">
      <c r="B6" s="6"/>
      <c r="C6" s="93"/>
      <c r="D6" s="7"/>
      <c r="E6" s="7"/>
      <c r="F6" s="6"/>
      <c r="G6" s="6"/>
      <c r="H6" s="6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21"/>
      <c r="W6" s="21"/>
    </row>
    <row r="7" spans="1:50" s="8" customFormat="1" ht="42" customHeight="1">
      <c r="A7" s="34"/>
      <c r="B7" s="9" t="s">
        <v>1</v>
      </c>
      <c r="C7" s="164" t="s">
        <v>2</v>
      </c>
      <c r="D7" s="10" t="s">
        <v>3</v>
      </c>
      <c r="E7" s="119" t="s">
        <v>93</v>
      </c>
      <c r="F7" s="11" t="s">
        <v>4</v>
      </c>
      <c r="G7" s="11" t="s">
        <v>5</v>
      </c>
      <c r="H7" s="10" t="s">
        <v>20</v>
      </c>
      <c r="I7" s="101" t="s">
        <v>6</v>
      </c>
      <c r="J7" s="101" t="s">
        <v>17</v>
      </c>
      <c r="K7" s="101" t="s">
        <v>18</v>
      </c>
      <c r="L7" s="101" t="s">
        <v>70</v>
      </c>
      <c r="M7" s="101" t="s">
        <v>71</v>
      </c>
      <c r="N7" s="101" t="s">
        <v>72</v>
      </c>
      <c r="O7" s="101" t="s">
        <v>73</v>
      </c>
      <c r="P7" s="101" t="s">
        <v>77</v>
      </c>
      <c r="Q7" s="101" t="s">
        <v>83</v>
      </c>
      <c r="R7" s="101" t="s">
        <v>91</v>
      </c>
      <c r="S7" s="101" t="s">
        <v>124</v>
      </c>
      <c r="T7" s="101" t="s">
        <v>125</v>
      </c>
      <c r="U7" s="102" t="s">
        <v>7</v>
      </c>
      <c r="V7" s="22"/>
      <c r="W7" s="22"/>
      <c r="X7" s="34"/>
    </row>
    <row r="8" spans="1:50" s="67" customFormat="1" ht="18.75" customHeight="1">
      <c r="A8" s="68"/>
      <c r="B8" s="19">
        <v>1</v>
      </c>
      <c r="C8" s="79" t="s">
        <v>76</v>
      </c>
      <c r="D8" s="12" t="s">
        <v>8</v>
      </c>
      <c r="E8" s="12" t="s">
        <v>111</v>
      </c>
      <c r="F8" s="13" t="s">
        <v>65</v>
      </c>
      <c r="G8" s="13" t="s">
        <v>9</v>
      </c>
      <c r="H8" s="13" t="str">
        <f>CONCATENATE(F8," ",G8)</f>
        <v>BRIGADISTA MG</v>
      </c>
      <c r="I8" s="105"/>
      <c r="J8" s="105"/>
      <c r="K8" s="105"/>
      <c r="L8" s="72">
        <v>45308.82</v>
      </c>
      <c r="M8" s="72">
        <v>48694.95</v>
      </c>
      <c r="N8" s="72">
        <v>48867.02</v>
      </c>
      <c r="O8" s="72">
        <v>48867.02</v>
      </c>
      <c r="P8" s="103">
        <v>48867.02</v>
      </c>
      <c r="Q8" s="103">
        <v>48867.02</v>
      </c>
      <c r="R8" s="165">
        <v>63969.96</v>
      </c>
      <c r="S8" s="165">
        <v>73727.13</v>
      </c>
      <c r="T8" s="172">
        <v>95505.150000000009</v>
      </c>
      <c r="U8" s="104">
        <f>SUM(I8:T8)</f>
        <v>522674.09</v>
      </c>
      <c r="V8" s="23"/>
      <c r="W8" s="23"/>
      <c r="X8" s="68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0" s="67" customFormat="1" ht="18.75" customHeight="1">
      <c r="A9" s="68"/>
      <c r="B9" s="19">
        <f t="shared" ref="B9:B39" si="0">B8+1</f>
        <v>2</v>
      </c>
      <c r="C9" s="80" t="s">
        <v>38</v>
      </c>
      <c r="D9" s="12" t="s">
        <v>8</v>
      </c>
      <c r="E9" s="12" t="s">
        <v>102</v>
      </c>
      <c r="F9" s="13" t="s">
        <v>39</v>
      </c>
      <c r="G9" s="13" t="s">
        <v>9</v>
      </c>
      <c r="H9" s="13" t="str">
        <f>CONCATENATE(F9," ",G9)</f>
        <v>PORTARIA MG</v>
      </c>
      <c r="I9" s="105">
        <v>59319.43</v>
      </c>
      <c r="J9" s="105">
        <v>59319.43</v>
      </c>
      <c r="K9" s="105">
        <v>59319.43</v>
      </c>
      <c r="L9" s="72">
        <v>59319.43</v>
      </c>
      <c r="M9" s="72">
        <v>66429.98</v>
      </c>
      <c r="N9" s="72">
        <v>62681.93</v>
      </c>
      <c r="O9" s="72">
        <v>63338.25</v>
      </c>
      <c r="P9" s="72">
        <v>59515</v>
      </c>
      <c r="Q9" s="72">
        <v>59515</v>
      </c>
      <c r="R9" s="165">
        <v>59515</v>
      </c>
      <c r="S9" s="165">
        <v>59515</v>
      </c>
      <c r="T9" s="165">
        <v>59410.82</v>
      </c>
      <c r="U9" s="104">
        <f t="shared" ref="U9:U46" si="1">SUM(I9:T9)</f>
        <v>727198.7</v>
      </c>
      <c r="V9" s="23"/>
      <c r="W9" s="23"/>
      <c r="X9" s="68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</row>
    <row r="10" spans="1:50" s="67" customFormat="1" ht="18.75" customHeight="1">
      <c r="A10" s="68"/>
      <c r="B10" s="19">
        <f t="shared" si="0"/>
        <v>3</v>
      </c>
      <c r="C10" s="80" t="s">
        <v>171</v>
      </c>
      <c r="D10" s="12" t="s">
        <v>8</v>
      </c>
      <c r="E10" s="12" t="s">
        <v>102</v>
      </c>
      <c r="F10" s="13" t="s">
        <v>39</v>
      </c>
      <c r="G10" s="13" t="s">
        <v>68</v>
      </c>
      <c r="H10" s="13" t="str">
        <f t="shared" ref="H10:H46" si="2">CONCATENATE(F10," ",G10)</f>
        <v>PORTARIA ES</v>
      </c>
      <c r="I10" s="105">
        <v>5089.6000000000004</v>
      </c>
      <c r="J10" s="105">
        <v>3817.2</v>
      </c>
      <c r="K10" s="105">
        <v>3817.2</v>
      </c>
      <c r="L10" s="72">
        <v>3817.2</v>
      </c>
      <c r="M10" s="72">
        <v>3817.2</v>
      </c>
      <c r="N10" s="72">
        <v>3817.2</v>
      </c>
      <c r="O10" s="72">
        <v>3817.2</v>
      </c>
      <c r="P10" s="72">
        <v>3817.2</v>
      </c>
      <c r="Q10" s="72">
        <v>3817.2</v>
      </c>
      <c r="R10" s="165">
        <v>3817.2</v>
      </c>
      <c r="S10" s="165">
        <v>3817.2</v>
      </c>
      <c r="T10" s="165">
        <v>3817.2</v>
      </c>
      <c r="U10" s="104">
        <f t="shared" si="1"/>
        <v>47078.799999999996</v>
      </c>
      <c r="V10" s="23"/>
      <c r="W10" s="23"/>
      <c r="X10" s="68"/>
    </row>
    <row r="11" spans="1:50" s="67" customFormat="1" ht="18.75" customHeight="1">
      <c r="A11" s="68"/>
      <c r="B11" s="19">
        <f t="shared" si="0"/>
        <v>4</v>
      </c>
      <c r="C11" s="79" t="s">
        <v>75</v>
      </c>
      <c r="D11" s="12" t="s">
        <v>8</v>
      </c>
      <c r="E11" s="12" t="s">
        <v>102</v>
      </c>
      <c r="F11" s="13" t="s">
        <v>39</v>
      </c>
      <c r="G11" s="13" t="s">
        <v>9</v>
      </c>
      <c r="H11" s="13" t="str">
        <f t="shared" si="2"/>
        <v>PORTARIA MG</v>
      </c>
      <c r="I11" s="105"/>
      <c r="J11" s="105"/>
      <c r="K11" s="105"/>
      <c r="L11" s="72"/>
      <c r="M11" s="72"/>
      <c r="N11" s="72"/>
      <c r="O11" s="72">
        <v>6433.83</v>
      </c>
      <c r="P11" s="103">
        <v>8773.41</v>
      </c>
      <c r="Q11" s="103">
        <v>16607.25</v>
      </c>
      <c r="R11" s="165">
        <v>16607.25</v>
      </c>
      <c r="S11" s="165">
        <v>16607.25</v>
      </c>
      <c r="T11" s="165">
        <v>16607.25</v>
      </c>
      <c r="U11" s="104">
        <f t="shared" si="1"/>
        <v>81636.239999999991</v>
      </c>
      <c r="V11" s="23"/>
      <c r="W11" s="23"/>
      <c r="X11" s="68"/>
    </row>
    <row r="12" spans="1:50" s="67" customFormat="1" ht="18.75" customHeight="1">
      <c r="A12" s="68"/>
      <c r="B12" s="19">
        <f t="shared" si="0"/>
        <v>5</v>
      </c>
      <c r="C12" s="80" t="s">
        <v>21</v>
      </c>
      <c r="D12" s="12" t="s">
        <v>8</v>
      </c>
      <c r="E12" s="12" t="s">
        <v>102</v>
      </c>
      <c r="F12" s="13" t="s">
        <v>39</v>
      </c>
      <c r="G12" s="13" t="s">
        <v>9</v>
      </c>
      <c r="H12" s="13" t="str">
        <f t="shared" si="2"/>
        <v>PORTARIA MG</v>
      </c>
      <c r="I12" s="105">
        <v>31080.240000000002</v>
      </c>
      <c r="J12" s="105">
        <v>31080.240000000002</v>
      </c>
      <c r="K12" s="105">
        <v>31080.240000000002</v>
      </c>
      <c r="L12" s="72">
        <v>31080.240000000002</v>
      </c>
      <c r="M12" s="72">
        <v>31080.240000000002</v>
      </c>
      <c r="N12" s="72">
        <v>31080.240000000002</v>
      </c>
      <c r="O12" s="72">
        <v>31080.240000000002</v>
      </c>
      <c r="P12" s="103">
        <v>38539.49</v>
      </c>
      <c r="Q12" s="103">
        <v>32012.639999999999</v>
      </c>
      <c r="R12" s="165">
        <v>32012.639999999999</v>
      </c>
      <c r="S12" s="165">
        <v>32012.639999999999</v>
      </c>
      <c r="T12" s="165">
        <v>32012.639999999999</v>
      </c>
      <c r="U12" s="104">
        <f t="shared" si="1"/>
        <v>384151.73000000004</v>
      </c>
      <c r="V12" s="23"/>
      <c r="W12" s="23"/>
      <c r="X12" s="68"/>
    </row>
    <row r="13" spans="1:50" s="67" customFormat="1" ht="18.75" customHeight="1">
      <c r="A13" s="68"/>
      <c r="B13" s="19">
        <f t="shared" si="0"/>
        <v>6</v>
      </c>
      <c r="C13" s="80" t="s">
        <v>22</v>
      </c>
      <c r="D13" s="12" t="s">
        <v>8</v>
      </c>
      <c r="E13" s="12" t="s">
        <v>102</v>
      </c>
      <c r="F13" s="13" t="s">
        <v>39</v>
      </c>
      <c r="G13" s="13" t="s">
        <v>9</v>
      </c>
      <c r="H13" s="13" t="str">
        <f t="shared" si="2"/>
        <v>PORTARIA MG</v>
      </c>
      <c r="I13" s="105">
        <v>40139.39</v>
      </c>
      <c r="J13" s="105">
        <v>40139.39</v>
      </c>
      <c r="K13" s="105">
        <v>40139.39</v>
      </c>
      <c r="L13" s="72">
        <v>32460.400000000001</v>
      </c>
      <c r="M13" s="72">
        <v>34030.99</v>
      </c>
      <c r="N13" s="72">
        <v>33287.03</v>
      </c>
      <c r="O13" s="72">
        <v>33287.03</v>
      </c>
      <c r="P13" s="103">
        <v>33287.03</v>
      </c>
      <c r="Q13" s="103">
        <v>33287.03</v>
      </c>
      <c r="R13" s="165">
        <v>47222.400000000001</v>
      </c>
      <c r="S13" s="165">
        <v>34539.97</v>
      </c>
      <c r="T13" s="165">
        <v>47301.53</v>
      </c>
      <c r="U13" s="104">
        <f t="shared" si="1"/>
        <v>449121.58000000007</v>
      </c>
      <c r="V13" s="23"/>
      <c r="W13" s="23"/>
      <c r="X13" s="68"/>
    </row>
    <row r="14" spans="1:50" s="67" customFormat="1" ht="18.75" customHeight="1">
      <c r="A14" s="68"/>
      <c r="B14" s="19">
        <f t="shared" si="0"/>
        <v>7</v>
      </c>
      <c r="C14" s="80" t="s">
        <v>23</v>
      </c>
      <c r="D14" s="12" t="s">
        <v>8</v>
      </c>
      <c r="E14" s="12" t="s">
        <v>102</v>
      </c>
      <c r="F14" s="13" t="s">
        <v>39</v>
      </c>
      <c r="G14" s="13" t="s">
        <v>9</v>
      </c>
      <c r="H14" s="13" t="str">
        <f t="shared" si="2"/>
        <v>PORTARIA MG</v>
      </c>
      <c r="I14" s="105">
        <v>34714.22</v>
      </c>
      <c r="J14" s="105">
        <v>34714.22</v>
      </c>
      <c r="K14" s="105">
        <v>34714.22</v>
      </c>
      <c r="L14" s="72">
        <v>41093.61</v>
      </c>
      <c r="M14" s="72">
        <v>36309.07</v>
      </c>
      <c r="N14" s="72">
        <v>36309.07</v>
      </c>
      <c r="O14" s="72">
        <v>36309.07</v>
      </c>
      <c r="P14" s="103">
        <v>36309.07</v>
      </c>
      <c r="Q14" s="103">
        <v>36309.07</v>
      </c>
      <c r="R14" s="165">
        <v>36309.07</v>
      </c>
      <c r="S14" s="165">
        <v>36309.07</v>
      </c>
      <c r="T14" s="165">
        <v>36309.07</v>
      </c>
      <c r="U14" s="104">
        <f t="shared" si="1"/>
        <v>435708.83000000007</v>
      </c>
      <c r="V14" s="23"/>
      <c r="W14" s="23"/>
      <c r="X14" s="68"/>
    </row>
    <row r="15" spans="1:50" s="67" customFormat="1" ht="18.75" customHeight="1">
      <c r="A15" s="68"/>
      <c r="B15" s="19">
        <f t="shared" si="0"/>
        <v>8</v>
      </c>
      <c r="C15" s="79" t="s">
        <v>74</v>
      </c>
      <c r="D15" s="12" t="s">
        <v>8</v>
      </c>
      <c r="E15" s="12" t="s">
        <v>102</v>
      </c>
      <c r="F15" s="13" t="s">
        <v>39</v>
      </c>
      <c r="G15" s="13" t="s">
        <v>9</v>
      </c>
      <c r="H15" s="13" t="str">
        <f t="shared" si="2"/>
        <v>PORTARIA MG</v>
      </c>
      <c r="I15" s="105"/>
      <c r="J15" s="105"/>
      <c r="K15" s="105"/>
      <c r="L15" s="72"/>
      <c r="M15" s="72"/>
      <c r="N15" s="72"/>
      <c r="O15" s="72">
        <v>15341.25</v>
      </c>
      <c r="P15" s="72"/>
      <c r="Q15" s="72"/>
      <c r="R15" s="118"/>
      <c r="S15" s="118"/>
      <c r="T15" s="118"/>
      <c r="U15" s="104">
        <f t="shared" si="1"/>
        <v>15341.25</v>
      </c>
      <c r="V15" s="23"/>
      <c r="W15" s="23"/>
      <c r="X15" s="68"/>
    </row>
    <row r="16" spans="1:50" s="67" customFormat="1" ht="18.75" customHeight="1">
      <c r="A16" s="68"/>
      <c r="B16" s="19">
        <f t="shared" si="0"/>
        <v>9</v>
      </c>
      <c r="C16" s="80" t="s">
        <v>19</v>
      </c>
      <c r="D16" s="12" t="s">
        <v>8</v>
      </c>
      <c r="E16" s="12" t="s">
        <v>111</v>
      </c>
      <c r="F16" s="13" t="s">
        <v>39</v>
      </c>
      <c r="G16" s="13" t="s">
        <v>9</v>
      </c>
      <c r="H16" s="13" t="str">
        <f t="shared" si="2"/>
        <v>PORTARIA MG</v>
      </c>
      <c r="I16" s="105">
        <v>13100.69</v>
      </c>
      <c r="J16" s="105">
        <v>12880.95</v>
      </c>
      <c r="K16" s="105">
        <v>12880.95</v>
      </c>
      <c r="L16" s="72">
        <v>13017.81</v>
      </c>
      <c r="M16" s="72">
        <v>14463.83</v>
      </c>
      <c r="N16" s="72">
        <v>13133.66</v>
      </c>
      <c r="O16" s="72">
        <v>13133.66</v>
      </c>
      <c r="P16" s="103">
        <v>6692.38</v>
      </c>
      <c r="Q16" s="103">
        <v>6764.61</v>
      </c>
      <c r="R16" s="165">
        <v>3346.19</v>
      </c>
      <c r="S16" s="165">
        <v>3731.3</v>
      </c>
      <c r="T16" s="165">
        <v>3346.19</v>
      </c>
      <c r="U16" s="104">
        <f t="shared" si="1"/>
        <v>116492.22000000002</v>
      </c>
      <c r="V16" s="23"/>
      <c r="W16" s="23"/>
      <c r="X16" s="68"/>
    </row>
    <row r="17" spans="1:24" s="67" customFormat="1" ht="18.75" customHeight="1">
      <c r="A17" s="68"/>
      <c r="B17" s="19">
        <f t="shared" si="0"/>
        <v>10</v>
      </c>
      <c r="C17" s="80" t="s">
        <v>24</v>
      </c>
      <c r="D17" s="12" t="s">
        <v>8</v>
      </c>
      <c r="E17" s="12" t="s">
        <v>102</v>
      </c>
      <c r="F17" s="13" t="s">
        <v>39</v>
      </c>
      <c r="G17" s="13" t="s">
        <v>9</v>
      </c>
      <c r="H17" s="13" t="str">
        <f t="shared" si="2"/>
        <v>PORTARIA MG</v>
      </c>
      <c r="I17" s="105">
        <v>3019.39</v>
      </c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4">
        <f t="shared" si="1"/>
        <v>3019.39</v>
      </c>
      <c r="V17" s="23"/>
      <c r="W17" s="23"/>
      <c r="X17" s="68"/>
    </row>
    <row r="18" spans="1:24" s="67" customFormat="1" ht="18.75" customHeight="1">
      <c r="A18" s="68"/>
      <c r="B18" s="19">
        <f t="shared" si="0"/>
        <v>11</v>
      </c>
      <c r="C18" s="80" t="s">
        <v>25</v>
      </c>
      <c r="D18" s="12" t="s">
        <v>8</v>
      </c>
      <c r="E18" s="12" t="s">
        <v>102</v>
      </c>
      <c r="F18" s="13" t="s">
        <v>39</v>
      </c>
      <c r="G18" s="13" t="s">
        <v>9</v>
      </c>
      <c r="H18" s="13" t="str">
        <f t="shared" si="2"/>
        <v>PORTARIA MG</v>
      </c>
      <c r="I18" s="105">
        <v>7122.86</v>
      </c>
      <c r="J18" s="105">
        <v>7122.86</v>
      </c>
      <c r="K18" s="105">
        <v>7122.86</v>
      </c>
      <c r="L18" s="72">
        <v>7122.86</v>
      </c>
      <c r="M18" s="72">
        <v>7122.86</v>
      </c>
      <c r="N18" s="72">
        <v>7122.86</v>
      </c>
      <c r="O18" s="72">
        <v>7122.86</v>
      </c>
      <c r="P18" s="72"/>
      <c r="Q18" s="72"/>
      <c r="R18" s="118"/>
      <c r="S18" s="118"/>
      <c r="T18" s="118"/>
      <c r="U18" s="104">
        <f t="shared" si="1"/>
        <v>49860.02</v>
      </c>
      <c r="V18" s="23"/>
      <c r="W18" s="23"/>
      <c r="X18" s="68"/>
    </row>
    <row r="19" spans="1:24" s="67" customFormat="1" ht="18.75" customHeight="1">
      <c r="A19" s="68"/>
      <c r="B19" s="19">
        <f t="shared" si="0"/>
        <v>12</v>
      </c>
      <c r="C19" s="80" t="s">
        <v>26</v>
      </c>
      <c r="D19" s="12" t="s">
        <v>8</v>
      </c>
      <c r="E19" s="12" t="s">
        <v>102</v>
      </c>
      <c r="F19" s="13" t="s">
        <v>39</v>
      </c>
      <c r="G19" s="13" t="s">
        <v>10</v>
      </c>
      <c r="H19" s="13" t="str">
        <f t="shared" si="2"/>
        <v>PORTARIA SP</v>
      </c>
      <c r="I19" s="105">
        <v>234520.02</v>
      </c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4">
        <f t="shared" si="1"/>
        <v>234520.02</v>
      </c>
      <c r="V19" s="23"/>
      <c r="W19" s="23"/>
      <c r="X19" s="68"/>
    </row>
    <row r="20" spans="1:24" s="67" customFormat="1" ht="18.75" customHeight="1">
      <c r="A20" s="68"/>
      <c r="B20" s="19">
        <f t="shared" si="0"/>
        <v>13</v>
      </c>
      <c r="C20" s="80" t="s">
        <v>27</v>
      </c>
      <c r="D20" s="12" t="s">
        <v>8</v>
      </c>
      <c r="E20" s="12" t="s">
        <v>102</v>
      </c>
      <c r="F20" s="13" t="s">
        <v>39</v>
      </c>
      <c r="G20" s="13" t="s">
        <v>9</v>
      </c>
      <c r="H20" s="13" t="str">
        <f t="shared" si="2"/>
        <v>PORTARIA MG</v>
      </c>
      <c r="I20" s="105">
        <v>6296.62</v>
      </c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4">
        <f t="shared" si="1"/>
        <v>6296.62</v>
      </c>
      <c r="V20" s="23"/>
      <c r="W20" s="23"/>
      <c r="X20" s="68"/>
    </row>
    <row r="21" spans="1:24" s="67" customFormat="1" ht="18.75" customHeight="1">
      <c r="A21" s="68"/>
      <c r="B21" s="19">
        <f t="shared" si="0"/>
        <v>14</v>
      </c>
      <c r="C21" s="80" t="s">
        <v>80</v>
      </c>
      <c r="D21" s="12" t="s">
        <v>8</v>
      </c>
      <c r="E21" s="12" t="s">
        <v>111</v>
      </c>
      <c r="F21" s="13" t="s">
        <v>39</v>
      </c>
      <c r="G21" s="13" t="s">
        <v>81</v>
      </c>
      <c r="H21" s="13" t="str">
        <f t="shared" si="2"/>
        <v>PORTARIA RJ</v>
      </c>
      <c r="I21" s="105"/>
      <c r="J21" s="105"/>
      <c r="K21" s="105"/>
      <c r="L21" s="105"/>
      <c r="M21" s="105"/>
      <c r="N21" s="105"/>
      <c r="O21" s="105"/>
      <c r="P21" s="72">
        <v>29820.84</v>
      </c>
      <c r="Q21" s="72">
        <v>217145.09</v>
      </c>
      <c r="R21" s="165">
        <v>197331.26</v>
      </c>
      <c r="S21" s="165">
        <v>187145.7</v>
      </c>
      <c r="T21" s="165">
        <v>185145.7</v>
      </c>
      <c r="U21" s="104">
        <f t="shared" si="1"/>
        <v>816588.59000000008</v>
      </c>
      <c r="V21" s="23"/>
      <c r="W21" s="23"/>
      <c r="X21" s="68"/>
    </row>
    <row r="22" spans="1:24" s="67" customFormat="1" ht="18.75" customHeight="1">
      <c r="A22" s="68"/>
      <c r="B22" s="19">
        <f t="shared" si="0"/>
        <v>15</v>
      </c>
      <c r="C22" s="80" t="s">
        <v>28</v>
      </c>
      <c r="D22" s="12" t="s">
        <v>8</v>
      </c>
      <c r="E22" s="12" t="s">
        <v>111</v>
      </c>
      <c r="F22" s="13" t="s">
        <v>39</v>
      </c>
      <c r="G22" s="13" t="s">
        <v>10</v>
      </c>
      <c r="H22" s="13" t="str">
        <f t="shared" si="2"/>
        <v>PORTARIA SP</v>
      </c>
      <c r="I22" s="105">
        <v>45300.46</v>
      </c>
      <c r="J22" s="105">
        <v>45300.46</v>
      </c>
      <c r="K22" s="105">
        <v>45300.46</v>
      </c>
      <c r="L22" s="72">
        <v>45300.460000000006</v>
      </c>
      <c r="M22" s="72">
        <v>45300.460000000006</v>
      </c>
      <c r="N22" s="72">
        <v>45300.460000000006</v>
      </c>
      <c r="O22" s="72">
        <v>45300.460000000006</v>
      </c>
      <c r="P22" s="72">
        <v>45300.460000000006</v>
      </c>
      <c r="Q22" s="72">
        <v>45300.460000000006</v>
      </c>
      <c r="R22" s="165">
        <v>45300.460000000006</v>
      </c>
      <c r="S22" s="165">
        <v>45300.460000000006</v>
      </c>
      <c r="T22" s="165">
        <v>51561.87</v>
      </c>
      <c r="U22" s="104">
        <f t="shared" si="1"/>
        <v>549866.93000000017</v>
      </c>
      <c r="V22" s="23"/>
      <c r="W22" s="23"/>
      <c r="X22" s="68"/>
    </row>
    <row r="23" spans="1:24" s="67" customFormat="1" ht="18.75" customHeight="1">
      <c r="A23" s="68"/>
      <c r="B23" s="19">
        <f t="shared" si="0"/>
        <v>16</v>
      </c>
      <c r="C23" s="80" t="s">
        <v>29</v>
      </c>
      <c r="D23" s="12" t="s">
        <v>8</v>
      </c>
      <c r="E23" s="12" t="s">
        <v>102</v>
      </c>
      <c r="F23" s="13" t="s">
        <v>39</v>
      </c>
      <c r="G23" s="13" t="s">
        <v>9</v>
      </c>
      <c r="H23" s="13" t="str">
        <f t="shared" si="2"/>
        <v>PORTARIA MG</v>
      </c>
      <c r="I23" s="105">
        <v>14796.27</v>
      </c>
      <c r="J23" s="105">
        <v>14215</v>
      </c>
      <c r="K23" s="105">
        <v>14215</v>
      </c>
      <c r="L23" s="72">
        <v>14215</v>
      </c>
      <c r="M23" s="72">
        <v>14215</v>
      </c>
      <c r="N23" s="72">
        <v>14215</v>
      </c>
      <c r="O23" s="72">
        <v>14215</v>
      </c>
      <c r="P23" s="72">
        <v>14215</v>
      </c>
      <c r="Q23" s="72">
        <v>14215</v>
      </c>
      <c r="R23" s="165">
        <v>14215</v>
      </c>
      <c r="S23" s="165">
        <v>14215</v>
      </c>
      <c r="T23" s="165">
        <v>14215</v>
      </c>
      <c r="U23" s="104">
        <f t="shared" si="1"/>
        <v>171161.27000000002</v>
      </c>
      <c r="V23" s="23"/>
      <c r="W23" s="23"/>
      <c r="X23" s="68"/>
    </row>
    <row r="24" spans="1:24" s="67" customFormat="1" ht="18.75" customHeight="1">
      <c r="A24" s="68"/>
      <c r="B24" s="19">
        <f t="shared" si="0"/>
        <v>17</v>
      </c>
      <c r="C24" s="80" t="s">
        <v>89</v>
      </c>
      <c r="D24" s="12" t="s">
        <v>8</v>
      </c>
      <c r="E24" s="12" t="s">
        <v>102</v>
      </c>
      <c r="F24" s="13" t="s">
        <v>39</v>
      </c>
      <c r="G24" s="13" t="s">
        <v>10</v>
      </c>
      <c r="H24" s="13" t="str">
        <f t="shared" si="2"/>
        <v>PORTARIA SP</v>
      </c>
      <c r="I24" s="105">
        <v>15665.76</v>
      </c>
      <c r="J24" s="105">
        <v>15665.76</v>
      </c>
      <c r="K24" s="105">
        <v>15665.76</v>
      </c>
      <c r="L24" s="72">
        <v>15665.76</v>
      </c>
      <c r="M24" s="72">
        <v>15665.76</v>
      </c>
      <c r="N24" s="72">
        <v>15665.76</v>
      </c>
      <c r="O24" s="72">
        <v>15665.76</v>
      </c>
      <c r="P24" s="72">
        <v>15665.76</v>
      </c>
      <c r="Q24" s="72">
        <v>15665.76</v>
      </c>
      <c r="R24" s="165">
        <v>7310.69</v>
      </c>
      <c r="S24" s="165"/>
      <c r="T24" s="165"/>
      <c r="U24" s="104">
        <f t="shared" si="1"/>
        <v>148302.53</v>
      </c>
      <c r="V24" s="23"/>
      <c r="W24" s="23"/>
      <c r="X24" s="68"/>
    </row>
    <row r="25" spans="1:24" s="67" customFormat="1" ht="18.75" customHeight="1">
      <c r="A25" s="71"/>
      <c r="B25" s="19">
        <f t="shared" si="0"/>
        <v>18</v>
      </c>
      <c r="C25" s="80" t="s">
        <v>37</v>
      </c>
      <c r="D25" s="12" t="s">
        <v>8</v>
      </c>
      <c r="E25" s="12" t="s">
        <v>102</v>
      </c>
      <c r="F25" s="13" t="s">
        <v>39</v>
      </c>
      <c r="G25" s="13" t="s">
        <v>10</v>
      </c>
      <c r="H25" s="13" t="str">
        <f t="shared" si="2"/>
        <v>PORTARIA SP</v>
      </c>
      <c r="I25" s="105">
        <v>3995.39</v>
      </c>
      <c r="J25" s="105">
        <v>3995.39</v>
      </c>
      <c r="K25" s="105">
        <v>3995.39</v>
      </c>
      <c r="L25" s="72">
        <v>3995.39</v>
      </c>
      <c r="M25" s="72">
        <v>3995.39</v>
      </c>
      <c r="N25" s="72">
        <v>3995.39</v>
      </c>
      <c r="O25" s="72">
        <v>3995.39</v>
      </c>
      <c r="P25" s="72">
        <v>3995.39</v>
      </c>
      <c r="Q25" s="72">
        <v>3995.39</v>
      </c>
      <c r="R25" s="165">
        <v>3995.39</v>
      </c>
      <c r="S25" s="165">
        <v>3995.39</v>
      </c>
      <c r="T25" s="165">
        <v>3995.39</v>
      </c>
      <c r="U25" s="104">
        <f t="shared" si="1"/>
        <v>47944.68</v>
      </c>
      <c r="V25" s="23"/>
      <c r="W25" s="23"/>
      <c r="X25" s="68"/>
    </row>
    <row r="26" spans="1:24" s="67" customFormat="1" ht="18.75" customHeight="1">
      <c r="A26" s="68"/>
      <c r="B26" s="19">
        <f t="shared" si="0"/>
        <v>19</v>
      </c>
      <c r="C26" s="80" t="s">
        <v>62</v>
      </c>
      <c r="D26" s="12" t="s">
        <v>8</v>
      </c>
      <c r="E26" s="12" t="s">
        <v>102</v>
      </c>
      <c r="F26" s="13" t="s">
        <v>39</v>
      </c>
      <c r="G26" s="13" t="s">
        <v>9</v>
      </c>
      <c r="H26" s="13" t="str">
        <f t="shared" si="2"/>
        <v>PORTARIA MG</v>
      </c>
      <c r="I26" s="105">
        <v>14547.64</v>
      </c>
      <c r="J26" s="105">
        <v>14547.64</v>
      </c>
      <c r="K26" s="105">
        <v>484.92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4">
        <f t="shared" si="1"/>
        <v>29580.199999999997</v>
      </c>
      <c r="V26" s="23"/>
      <c r="W26" s="23"/>
      <c r="X26" s="68"/>
    </row>
    <row r="27" spans="1:24" s="67" customFormat="1" ht="18.75" customHeight="1">
      <c r="A27" s="68"/>
      <c r="B27" s="19">
        <f t="shared" si="0"/>
        <v>20</v>
      </c>
      <c r="C27" s="80" t="s">
        <v>15</v>
      </c>
      <c r="D27" s="12" t="s">
        <v>8</v>
      </c>
      <c r="E27" s="12" t="s">
        <v>111</v>
      </c>
      <c r="F27" s="13" t="s">
        <v>39</v>
      </c>
      <c r="G27" s="13" t="s">
        <v>10</v>
      </c>
      <c r="H27" s="13" t="str">
        <f t="shared" si="2"/>
        <v>PORTARIA SP</v>
      </c>
      <c r="I27" s="105">
        <v>50897.8</v>
      </c>
      <c r="J27" s="105">
        <v>50898.06</v>
      </c>
      <c r="K27" s="105">
        <v>50898.06</v>
      </c>
      <c r="L27" s="72">
        <v>50897.8</v>
      </c>
      <c r="M27" s="72">
        <v>52142</v>
      </c>
      <c r="N27" s="72">
        <v>52354.97</v>
      </c>
      <c r="O27" s="72">
        <v>55694.720000000001</v>
      </c>
      <c r="P27" s="72">
        <v>52354.97</v>
      </c>
      <c r="Q27" s="72">
        <v>52354.97</v>
      </c>
      <c r="R27" s="165">
        <v>52354.97</v>
      </c>
      <c r="S27" s="165">
        <v>52354.97</v>
      </c>
      <c r="T27" s="165">
        <v>60078.05</v>
      </c>
      <c r="U27" s="104">
        <f t="shared" si="1"/>
        <v>633281.33999999985</v>
      </c>
      <c r="V27" s="23"/>
      <c r="W27" s="23"/>
      <c r="X27" s="68"/>
    </row>
    <row r="28" spans="1:24" s="67" customFormat="1" ht="18.75" customHeight="1">
      <c r="A28" s="68"/>
      <c r="B28" s="19">
        <f t="shared" si="0"/>
        <v>21</v>
      </c>
      <c r="C28" s="80" t="s">
        <v>30</v>
      </c>
      <c r="D28" s="12" t="s">
        <v>8</v>
      </c>
      <c r="E28" s="12" t="s">
        <v>102</v>
      </c>
      <c r="F28" s="13" t="s">
        <v>39</v>
      </c>
      <c r="G28" s="13" t="s">
        <v>9</v>
      </c>
      <c r="H28" s="13" t="str">
        <f t="shared" si="2"/>
        <v>PORTARIA MG</v>
      </c>
      <c r="I28" s="105">
        <v>8032.97</v>
      </c>
      <c r="J28" s="105">
        <v>8032.97</v>
      </c>
      <c r="K28" s="105">
        <v>8032.97</v>
      </c>
      <c r="L28" s="72">
        <v>8032.97</v>
      </c>
      <c r="M28" s="72">
        <v>8032.97</v>
      </c>
      <c r="N28" s="72">
        <v>8032.97</v>
      </c>
      <c r="O28" s="72">
        <v>8032.97</v>
      </c>
      <c r="P28" s="72">
        <v>10927.72</v>
      </c>
      <c r="Q28" s="72">
        <v>8394.81</v>
      </c>
      <c r="R28" s="165">
        <v>8394.81</v>
      </c>
      <c r="S28" s="165">
        <v>8394.81</v>
      </c>
      <c r="T28" s="165">
        <v>8394.81</v>
      </c>
      <c r="U28" s="104">
        <f t="shared" si="1"/>
        <v>100737.74999999999</v>
      </c>
      <c r="V28" s="23"/>
      <c r="W28" s="23"/>
      <c r="X28" s="68"/>
    </row>
    <row r="29" spans="1:24" s="67" customFormat="1" ht="18.75" customHeight="1">
      <c r="A29" s="68"/>
      <c r="B29" s="19">
        <f t="shared" si="0"/>
        <v>22</v>
      </c>
      <c r="C29" s="80" t="s">
        <v>66</v>
      </c>
      <c r="D29" s="12" t="s">
        <v>8</v>
      </c>
      <c r="E29" s="12" t="s">
        <v>111</v>
      </c>
      <c r="F29" s="13" t="s">
        <v>39</v>
      </c>
      <c r="G29" s="13" t="s">
        <v>9</v>
      </c>
      <c r="H29" s="13" t="str">
        <f t="shared" si="2"/>
        <v>PORTARIA MG</v>
      </c>
      <c r="I29" s="105">
        <v>15080.15</v>
      </c>
      <c r="J29" s="105">
        <v>34473.83</v>
      </c>
      <c r="K29" s="105">
        <v>15630.17</v>
      </c>
      <c r="L29" s="72">
        <v>26853.519999999997</v>
      </c>
      <c r="M29" s="72">
        <v>34441.589999999997</v>
      </c>
      <c r="N29" s="72">
        <v>13809.57</v>
      </c>
      <c r="O29" s="72">
        <v>23979.54</v>
      </c>
      <c r="P29" s="72">
        <v>32646.620000000003</v>
      </c>
      <c r="Q29" s="72">
        <v>32284.13</v>
      </c>
      <c r="R29" s="165">
        <v>32501.91</v>
      </c>
      <c r="S29" s="165">
        <v>25561.53</v>
      </c>
      <c r="T29" s="165">
        <v>0</v>
      </c>
      <c r="U29" s="104">
        <f t="shared" si="1"/>
        <v>287262.56</v>
      </c>
      <c r="V29" s="23"/>
      <c r="W29" s="23"/>
      <c r="X29" s="68"/>
    </row>
    <row r="30" spans="1:24" s="67" customFormat="1" ht="18.75" customHeight="1">
      <c r="A30" s="68"/>
      <c r="B30" s="19">
        <f t="shared" si="0"/>
        <v>23</v>
      </c>
      <c r="C30" s="80" t="s">
        <v>92</v>
      </c>
      <c r="D30" s="12" t="s">
        <v>8</v>
      </c>
      <c r="E30" s="12" t="s">
        <v>111</v>
      </c>
      <c r="F30" s="13" t="s">
        <v>39</v>
      </c>
      <c r="G30" s="13" t="s">
        <v>9</v>
      </c>
      <c r="H30" s="13" t="str">
        <f t="shared" si="2"/>
        <v>PORTARIA MG</v>
      </c>
      <c r="I30" s="105"/>
      <c r="J30" s="105"/>
      <c r="K30" s="105"/>
      <c r="L30" s="72"/>
      <c r="M30" s="72"/>
      <c r="N30" s="72"/>
      <c r="O30" s="72"/>
      <c r="P30" s="72"/>
      <c r="Q30" s="165">
        <v>325435.51</v>
      </c>
      <c r="R30" s="165">
        <v>327560.95</v>
      </c>
      <c r="S30" s="165">
        <v>346689.91000000003</v>
      </c>
      <c r="T30" s="165">
        <v>333317.34999999998</v>
      </c>
      <c r="U30" s="104">
        <f t="shared" si="1"/>
        <v>1333003.72</v>
      </c>
      <c r="V30" s="23"/>
      <c r="W30" s="23"/>
      <c r="X30" s="68"/>
    </row>
    <row r="31" spans="1:24" s="67" customFormat="1" ht="18.75" customHeight="1">
      <c r="A31" s="68"/>
      <c r="B31" s="19">
        <f t="shared" si="0"/>
        <v>24</v>
      </c>
      <c r="C31" s="80" t="s">
        <v>63</v>
      </c>
      <c r="D31" s="12" t="s">
        <v>8</v>
      </c>
      <c r="E31" s="12" t="s">
        <v>102</v>
      </c>
      <c r="F31" s="13" t="s">
        <v>39</v>
      </c>
      <c r="G31" s="13" t="s">
        <v>9</v>
      </c>
      <c r="H31" s="13" t="str">
        <f t="shared" si="2"/>
        <v>PORTARIA MG</v>
      </c>
      <c r="I31" s="105">
        <v>20748.38</v>
      </c>
      <c r="J31" s="105">
        <v>20748.38</v>
      </c>
      <c r="K31" s="105">
        <v>20748.38</v>
      </c>
      <c r="L31" s="72">
        <v>24036.38</v>
      </c>
      <c r="M31" s="72">
        <v>23860.63</v>
      </c>
      <c r="N31" s="72">
        <v>21370.83</v>
      </c>
      <c r="O31" s="72">
        <v>21783.25</v>
      </c>
      <c r="P31" s="72">
        <v>21370.83</v>
      </c>
      <c r="Q31" s="72">
        <v>25845.37</v>
      </c>
      <c r="R31" s="166">
        <v>22929.93</v>
      </c>
      <c r="S31" s="166">
        <v>22929.93</v>
      </c>
      <c r="T31" s="166">
        <v>22929.93</v>
      </c>
      <c r="U31" s="104">
        <f t="shared" si="1"/>
        <v>269302.21999999997</v>
      </c>
      <c r="V31" s="23"/>
      <c r="W31" s="23"/>
      <c r="X31" s="68"/>
    </row>
    <row r="32" spans="1:24" s="67" customFormat="1" ht="18.75" customHeight="1">
      <c r="A32" s="68"/>
      <c r="B32" s="19">
        <f t="shared" si="0"/>
        <v>25</v>
      </c>
      <c r="C32" s="79" t="s">
        <v>78</v>
      </c>
      <c r="D32" s="12" t="s">
        <v>8</v>
      </c>
      <c r="E32" s="12" t="s">
        <v>111</v>
      </c>
      <c r="F32" s="13" t="s">
        <v>79</v>
      </c>
      <c r="G32" s="13" t="s">
        <v>81</v>
      </c>
      <c r="H32" s="13" t="str">
        <f t="shared" si="2"/>
        <v>MOTOLINK RJ</v>
      </c>
      <c r="I32" s="105"/>
      <c r="J32" s="105"/>
      <c r="K32" s="105"/>
      <c r="L32" s="72"/>
      <c r="M32" s="72">
        <f>45916.68+5971.68</f>
        <v>51888.36</v>
      </c>
      <c r="N32" s="72">
        <f>117872.1+77152.67</f>
        <v>195024.77000000002</v>
      </c>
      <c r="O32" s="72">
        <v>142406.5</v>
      </c>
      <c r="P32" s="72">
        <v>153703.98000000001</v>
      </c>
      <c r="Q32" s="72">
        <v>140020.68</v>
      </c>
      <c r="R32" s="118">
        <v>140010.32999999999</v>
      </c>
      <c r="S32" s="118">
        <v>92083</v>
      </c>
      <c r="T32" s="118">
        <v>8384</v>
      </c>
      <c r="U32" s="104">
        <f t="shared" si="1"/>
        <v>923521.62</v>
      </c>
      <c r="V32" s="23"/>
      <c r="W32" s="23"/>
      <c r="X32" s="68"/>
    </row>
    <row r="33" spans="1:50" s="67" customFormat="1" ht="18.75" customHeight="1">
      <c r="A33" s="68"/>
      <c r="B33" s="19">
        <f t="shared" si="0"/>
        <v>26</v>
      </c>
      <c r="C33" s="79" t="s">
        <v>78</v>
      </c>
      <c r="D33" s="12" t="s">
        <v>8</v>
      </c>
      <c r="E33" s="12" t="s">
        <v>111</v>
      </c>
      <c r="F33" s="13" t="s">
        <v>79</v>
      </c>
      <c r="G33" s="13" t="s">
        <v>10</v>
      </c>
      <c r="H33" s="13" t="str">
        <f t="shared" si="2"/>
        <v>MOTOLINK SP</v>
      </c>
      <c r="I33" s="105"/>
      <c r="J33" s="105"/>
      <c r="K33" s="105"/>
      <c r="L33" s="72"/>
      <c r="M33" s="72"/>
      <c r="N33" s="72">
        <f>192432+8887.1</f>
        <v>201319.1</v>
      </c>
      <c r="O33" s="72">
        <v>214070.84</v>
      </c>
      <c r="P33" s="72">
        <v>233328.57</v>
      </c>
      <c r="Q33" s="72">
        <v>199978.63</v>
      </c>
      <c r="R33" s="118">
        <v>141350</v>
      </c>
      <c r="S33" s="118">
        <v>72921</v>
      </c>
      <c r="T33" s="118">
        <v>2821</v>
      </c>
      <c r="U33" s="104">
        <f t="shared" si="1"/>
        <v>1065789.1400000001</v>
      </c>
      <c r="V33" s="23"/>
      <c r="W33" s="23"/>
      <c r="X33" s="68"/>
    </row>
    <row r="34" spans="1:50" s="67" customFormat="1" ht="18.75" customHeight="1">
      <c r="A34" s="68"/>
      <c r="B34" s="19">
        <f t="shared" si="0"/>
        <v>27</v>
      </c>
      <c r="C34" s="80" t="s">
        <v>31</v>
      </c>
      <c r="D34" s="12" t="s">
        <v>8</v>
      </c>
      <c r="E34" s="12" t="s">
        <v>102</v>
      </c>
      <c r="F34" s="13" t="s">
        <v>39</v>
      </c>
      <c r="G34" s="13" t="s">
        <v>9</v>
      </c>
      <c r="H34" s="13" t="str">
        <f t="shared" si="2"/>
        <v>PORTARIA MG</v>
      </c>
      <c r="I34" s="105">
        <v>14889.15</v>
      </c>
      <c r="J34" s="105">
        <v>14889.15</v>
      </c>
      <c r="K34" s="105">
        <v>14889.15</v>
      </c>
      <c r="L34" s="72">
        <v>14889.15</v>
      </c>
      <c r="M34" s="72">
        <v>14889.15</v>
      </c>
      <c r="N34" s="72">
        <v>14889.15</v>
      </c>
      <c r="O34" s="72">
        <v>14889.15</v>
      </c>
      <c r="P34" s="72">
        <v>14889.15</v>
      </c>
      <c r="Q34" s="72">
        <v>14889.15</v>
      </c>
      <c r="R34" s="166">
        <v>14889.15</v>
      </c>
      <c r="S34" s="166">
        <v>14889.15</v>
      </c>
      <c r="T34" s="166">
        <v>14889.15</v>
      </c>
      <c r="U34" s="104">
        <f t="shared" si="1"/>
        <v>178669.79999999996</v>
      </c>
      <c r="V34" s="23"/>
      <c r="W34" s="23"/>
      <c r="X34" s="68"/>
    </row>
    <row r="35" spans="1:50" s="67" customFormat="1" ht="18.75" customHeight="1">
      <c r="A35" s="68"/>
      <c r="B35" s="19">
        <f t="shared" si="0"/>
        <v>28</v>
      </c>
      <c r="C35" s="80" t="s">
        <v>32</v>
      </c>
      <c r="D35" s="12" t="s">
        <v>8</v>
      </c>
      <c r="E35" s="12" t="s">
        <v>102</v>
      </c>
      <c r="F35" s="13" t="s">
        <v>39</v>
      </c>
      <c r="G35" s="13" t="s">
        <v>9</v>
      </c>
      <c r="H35" s="13" t="str">
        <f t="shared" si="2"/>
        <v>PORTARIA MG</v>
      </c>
      <c r="I35" s="105">
        <v>5060.18</v>
      </c>
      <c r="J35" s="105">
        <v>5060.18</v>
      </c>
      <c r="K35" s="105">
        <v>5060.18</v>
      </c>
      <c r="L35" s="72">
        <v>5060.18</v>
      </c>
      <c r="M35" s="72">
        <v>5819.2</v>
      </c>
      <c r="N35" s="72">
        <v>5211.9799999999996</v>
      </c>
      <c r="O35" s="72">
        <v>5211.9799999999996</v>
      </c>
      <c r="P35" s="72">
        <v>5211.9799999999996</v>
      </c>
      <c r="Q35" s="72">
        <v>5211.9799999999996</v>
      </c>
      <c r="R35" s="166">
        <v>5211.9799999999996</v>
      </c>
      <c r="S35" s="166">
        <v>5211.9799999999996</v>
      </c>
      <c r="T35" s="166">
        <v>5211.9799999999996</v>
      </c>
      <c r="U35" s="104">
        <f t="shared" si="1"/>
        <v>62543.779999999984</v>
      </c>
      <c r="V35" s="23"/>
      <c r="W35" s="23"/>
      <c r="X35" s="68"/>
    </row>
    <row r="36" spans="1:50" s="67" customFormat="1" ht="18.75" customHeight="1">
      <c r="A36" s="68"/>
      <c r="B36" s="19">
        <f t="shared" si="0"/>
        <v>29</v>
      </c>
      <c r="C36" s="79" t="s">
        <v>87</v>
      </c>
      <c r="D36" s="12" t="s">
        <v>8</v>
      </c>
      <c r="E36" s="12" t="s">
        <v>102</v>
      </c>
      <c r="F36" s="13" t="s">
        <v>39</v>
      </c>
      <c r="G36" s="13" t="s">
        <v>9</v>
      </c>
      <c r="H36" s="13" t="str">
        <f t="shared" si="2"/>
        <v>PORTARIA MG</v>
      </c>
      <c r="I36" s="105"/>
      <c r="J36" s="105"/>
      <c r="K36" s="105"/>
      <c r="L36" s="72"/>
      <c r="M36" s="72"/>
      <c r="N36" s="72"/>
      <c r="O36" s="72"/>
      <c r="P36" s="72"/>
      <c r="Q36" s="72">
        <v>5075.66</v>
      </c>
      <c r="R36" s="72">
        <v>3713.9</v>
      </c>
      <c r="S36" s="72">
        <v>3713.9</v>
      </c>
      <c r="T36" s="72">
        <v>3713.9</v>
      </c>
      <c r="U36" s="104">
        <f t="shared" si="1"/>
        <v>16217.359999999999</v>
      </c>
      <c r="V36" s="23"/>
      <c r="W36" s="23"/>
      <c r="X36" s="68"/>
    </row>
    <row r="37" spans="1:50" s="67" customFormat="1" ht="18.75" customHeight="1">
      <c r="A37" s="68"/>
      <c r="B37" s="19">
        <f t="shared" si="0"/>
        <v>30</v>
      </c>
      <c r="C37" s="79" t="s">
        <v>85</v>
      </c>
      <c r="D37" s="12" t="s">
        <v>8</v>
      </c>
      <c r="E37" s="12" t="s">
        <v>102</v>
      </c>
      <c r="F37" s="13" t="s">
        <v>39</v>
      </c>
      <c r="G37" s="13" t="s">
        <v>9</v>
      </c>
      <c r="H37" s="13" t="str">
        <f t="shared" si="2"/>
        <v>PORTARIA MG</v>
      </c>
      <c r="I37" s="105"/>
      <c r="J37" s="105"/>
      <c r="K37" s="105"/>
      <c r="L37" s="72"/>
      <c r="M37" s="72"/>
      <c r="N37" s="72"/>
      <c r="O37" s="72">
        <v>4951.87</v>
      </c>
      <c r="P37" s="72">
        <v>3713.9</v>
      </c>
      <c r="Q37" s="72">
        <v>3713.9</v>
      </c>
      <c r="R37" s="72">
        <v>3713.9</v>
      </c>
      <c r="S37" s="72">
        <v>3713.9</v>
      </c>
      <c r="T37" s="72">
        <v>3713.9</v>
      </c>
      <c r="U37" s="104">
        <f t="shared" si="1"/>
        <v>23521.370000000003</v>
      </c>
      <c r="V37" s="23"/>
      <c r="W37" s="23"/>
      <c r="X37" s="68"/>
    </row>
    <row r="38" spans="1:50" s="67" customFormat="1" ht="18.75" customHeight="1">
      <c r="A38" s="68"/>
      <c r="B38" s="19">
        <f t="shared" si="0"/>
        <v>31</v>
      </c>
      <c r="C38" s="94" t="s">
        <v>84</v>
      </c>
      <c r="D38" s="12" t="s">
        <v>8</v>
      </c>
      <c r="E38" s="12" t="s">
        <v>102</v>
      </c>
      <c r="F38" s="13" t="s">
        <v>39</v>
      </c>
      <c r="G38" s="13" t="s">
        <v>9</v>
      </c>
      <c r="H38" s="13" t="str">
        <f t="shared" si="2"/>
        <v>PORTARIA MG</v>
      </c>
      <c r="I38" s="105"/>
      <c r="J38" s="105"/>
      <c r="K38" s="105"/>
      <c r="L38" s="72"/>
      <c r="M38" s="72"/>
      <c r="N38" s="72"/>
      <c r="O38" s="72">
        <v>4951.87</v>
      </c>
      <c r="P38" s="72">
        <v>3713.9</v>
      </c>
      <c r="Q38" s="72">
        <v>3713.9</v>
      </c>
      <c r="R38" s="72">
        <v>3713.9</v>
      </c>
      <c r="S38" s="72">
        <v>3713.9</v>
      </c>
      <c r="T38" s="72">
        <v>3713.9</v>
      </c>
      <c r="U38" s="104">
        <f t="shared" si="1"/>
        <v>23521.370000000003</v>
      </c>
      <c r="V38" s="23"/>
      <c r="W38" s="23"/>
      <c r="X38" s="68"/>
    </row>
    <row r="39" spans="1:50" s="67" customFormat="1" ht="18.75" customHeight="1">
      <c r="A39" s="68"/>
      <c r="B39" s="19">
        <f t="shared" si="0"/>
        <v>32</v>
      </c>
      <c r="C39" s="79" t="s">
        <v>86</v>
      </c>
      <c r="D39" s="12" t="s">
        <v>8</v>
      </c>
      <c r="E39" s="12" t="s">
        <v>102</v>
      </c>
      <c r="F39" s="13" t="s">
        <v>39</v>
      </c>
      <c r="G39" s="13" t="s">
        <v>9</v>
      </c>
      <c r="H39" s="13" t="str">
        <f t="shared" si="2"/>
        <v>PORTARIA MG</v>
      </c>
      <c r="I39" s="105"/>
      <c r="J39" s="105"/>
      <c r="K39" s="105"/>
      <c r="L39" s="72"/>
      <c r="M39" s="72"/>
      <c r="N39" s="72"/>
      <c r="O39" s="72">
        <v>3218.71</v>
      </c>
      <c r="P39" s="72">
        <v>3713.9</v>
      </c>
      <c r="Q39" s="72">
        <v>3713.9</v>
      </c>
      <c r="R39" s="72">
        <v>3713.9</v>
      </c>
      <c r="S39" s="72">
        <v>3713.9</v>
      </c>
      <c r="T39" s="72">
        <v>3713.9</v>
      </c>
      <c r="U39" s="104">
        <f t="shared" si="1"/>
        <v>21788.210000000003</v>
      </c>
      <c r="V39" s="23"/>
      <c r="W39" s="23"/>
      <c r="X39" s="68"/>
    </row>
    <row r="40" spans="1:50" s="67" customFormat="1" ht="18.75" customHeight="1">
      <c r="A40" s="68"/>
      <c r="B40" s="19">
        <f t="shared" ref="B40:B47" si="3">B39+1</f>
        <v>33</v>
      </c>
      <c r="C40" s="79" t="s">
        <v>88</v>
      </c>
      <c r="D40" s="12" t="s">
        <v>8</v>
      </c>
      <c r="E40" s="12" t="s">
        <v>102</v>
      </c>
      <c r="F40" s="13" t="s">
        <v>39</v>
      </c>
      <c r="G40" s="13" t="s">
        <v>9</v>
      </c>
      <c r="H40" s="13" t="str">
        <f t="shared" si="2"/>
        <v>PORTARIA MG</v>
      </c>
      <c r="I40" s="105"/>
      <c r="J40" s="105"/>
      <c r="K40" s="105"/>
      <c r="L40" s="72"/>
      <c r="M40" s="72"/>
      <c r="N40" s="72"/>
      <c r="O40" s="72"/>
      <c r="P40" s="72"/>
      <c r="Q40" s="72">
        <v>4951.87</v>
      </c>
      <c r="R40" s="72">
        <v>3713.9</v>
      </c>
      <c r="S40" s="72">
        <v>3713.9</v>
      </c>
      <c r="T40" s="72">
        <v>3713.9</v>
      </c>
      <c r="U40" s="104">
        <f t="shared" si="1"/>
        <v>16093.57</v>
      </c>
      <c r="V40" s="23"/>
      <c r="W40" s="23"/>
      <c r="X40" s="68"/>
    </row>
    <row r="41" spans="1:50" s="67" customFormat="1" ht="18.75" customHeight="1">
      <c r="A41" s="68"/>
      <c r="B41" s="19">
        <f t="shared" si="3"/>
        <v>34</v>
      </c>
      <c r="C41" s="79" t="s">
        <v>90</v>
      </c>
      <c r="D41" s="12" t="s">
        <v>8</v>
      </c>
      <c r="E41" s="12" t="s">
        <v>102</v>
      </c>
      <c r="F41" s="13" t="s">
        <v>39</v>
      </c>
      <c r="G41" s="13" t="s">
        <v>9</v>
      </c>
      <c r="H41" s="13" t="str">
        <f t="shared" si="2"/>
        <v>PORTARIA MG</v>
      </c>
      <c r="I41" s="105"/>
      <c r="J41" s="105"/>
      <c r="K41" s="105"/>
      <c r="L41" s="72"/>
      <c r="M41" s="72"/>
      <c r="N41" s="72"/>
      <c r="O41" s="72">
        <v>7056.41</v>
      </c>
      <c r="P41" s="72">
        <v>3713.9</v>
      </c>
      <c r="Q41" s="72">
        <v>3713.9</v>
      </c>
      <c r="R41" s="72">
        <v>3713.9</v>
      </c>
      <c r="S41" s="72">
        <v>3713.9</v>
      </c>
      <c r="T41" s="72">
        <v>3713.9</v>
      </c>
      <c r="U41" s="104">
        <f t="shared" si="1"/>
        <v>25625.910000000003</v>
      </c>
      <c r="V41" s="23"/>
      <c r="W41" s="23"/>
      <c r="X41" s="68"/>
    </row>
    <row r="42" spans="1:50" s="67" customFormat="1" ht="18.75" customHeight="1">
      <c r="A42" s="68"/>
      <c r="B42" s="19">
        <f t="shared" si="3"/>
        <v>35</v>
      </c>
      <c r="C42" s="80" t="s">
        <v>33</v>
      </c>
      <c r="D42" s="12" t="s">
        <v>8</v>
      </c>
      <c r="E42" s="12" t="s">
        <v>102</v>
      </c>
      <c r="F42" s="13" t="s">
        <v>39</v>
      </c>
      <c r="G42" s="13" t="s">
        <v>9</v>
      </c>
      <c r="H42" s="13" t="str">
        <f t="shared" si="2"/>
        <v>PORTARIA MG</v>
      </c>
      <c r="I42" s="105">
        <v>17526.05</v>
      </c>
      <c r="J42" s="105">
        <v>17526.05</v>
      </c>
      <c r="K42" s="105">
        <v>17526.05</v>
      </c>
      <c r="L42" s="72">
        <v>19629.16</v>
      </c>
      <c r="M42" s="72">
        <v>18051.82</v>
      </c>
      <c r="N42" s="72">
        <v>18051.82</v>
      </c>
      <c r="O42" s="72">
        <v>18051.82</v>
      </c>
      <c r="P42" s="72">
        <v>18051.82</v>
      </c>
      <c r="Q42" s="72">
        <v>18051.82</v>
      </c>
      <c r="R42" s="166">
        <v>18051.82</v>
      </c>
      <c r="S42" s="166">
        <v>18051.82</v>
      </c>
      <c r="T42" s="166">
        <v>18051.82</v>
      </c>
      <c r="U42" s="104">
        <f t="shared" si="1"/>
        <v>216621.87000000005</v>
      </c>
      <c r="V42" s="23"/>
      <c r="W42" s="23"/>
      <c r="X42" s="68"/>
    </row>
    <row r="43" spans="1:50" s="67" customFormat="1" ht="18.75" customHeight="1">
      <c r="A43" s="68"/>
      <c r="B43" s="19">
        <f t="shared" si="3"/>
        <v>36</v>
      </c>
      <c r="C43" s="80" t="s">
        <v>34</v>
      </c>
      <c r="D43" s="12" t="s">
        <v>8</v>
      </c>
      <c r="E43" s="12" t="s">
        <v>102</v>
      </c>
      <c r="F43" s="13" t="s">
        <v>39</v>
      </c>
      <c r="G43" s="13" t="s">
        <v>9</v>
      </c>
      <c r="H43" s="13" t="str">
        <f t="shared" si="2"/>
        <v>PORTARIA MG</v>
      </c>
      <c r="I43" s="105">
        <v>17581.75</v>
      </c>
      <c r="J43" s="105">
        <v>17581.75</v>
      </c>
      <c r="K43" s="105">
        <v>17581.75</v>
      </c>
      <c r="L43" s="72">
        <v>17581.75</v>
      </c>
      <c r="M43" s="72">
        <v>17581.75</v>
      </c>
      <c r="N43" s="72">
        <v>17581.75</v>
      </c>
      <c r="O43" s="72">
        <v>7618.76</v>
      </c>
      <c r="P43" s="72"/>
      <c r="Q43" s="72"/>
      <c r="R43" s="72"/>
      <c r="S43" s="72"/>
      <c r="T43" s="72"/>
      <c r="U43" s="104">
        <f>SUM(I43:T43)</f>
        <v>113109.26</v>
      </c>
      <c r="V43" s="23"/>
      <c r="W43" s="23"/>
      <c r="X43" s="68"/>
    </row>
    <row r="44" spans="1:50" s="67" customFormat="1" ht="18.75" customHeight="1">
      <c r="A44" s="68"/>
      <c r="B44" s="19">
        <f t="shared" si="3"/>
        <v>37</v>
      </c>
      <c r="C44" s="80" t="s">
        <v>35</v>
      </c>
      <c r="D44" s="12" t="s">
        <v>8</v>
      </c>
      <c r="E44" s="12" t="s">
        <v>111</v>
      </c>
      <c r="F44" s="13" t="s">
        <v>39</v>
      </c>
      <c r="G44" s="13" t="s">
        <v>9</v>
      </c>
      <c r="H44" s="13" t="str">
        <f t="shared" si="2"/>
        <v>PORTARIA MG</v>
      </c>
      <c r="I44" s="105">
        <v>27401.200000000001</v>
      </c>
      <c r="J44" s="105">
        <v>27401.200000000001</v>
      </c>
      <c r="K44" s="105">
        <v>27401.200000000001</v>
      </c>
      <c r="L44" s="72">
        <v>27401.200000000001</v>
      </c>
      <c r="M44" s="72">
        <v>27401.200000000001</v>
      </c>
      <c r="N44" s="72">
        <v>27401.200000000001</v>
      </c>
      <c r="O44" s="72">
        <v>28117</v>
      </c>
      <c r="P44" s="72">
        <v>27750.99</v>
      </c>
      <c r="Q44" s="72">
        <v>913.38</v>
      </c>
      <c r="R44" s="72"/>
      <c r="S44" s="72"/>
      <c r="T44" s="72"/>
      <c r="U44" s="104">
        <f t="shared" si="1"/>
        <v>221188.57</v>
      </c>
      <c r="V44" s="23"/>
      <c r="W44" s="23"/>
      <c r="X44" s="68"/>
    </row>
    <row r="45" spans="1:50" s="67" customFormat="1" ht="18.75" customHeight="1">
      <c r="A45" s="68"/>
      <c r="B45" s="19">
        <f t="shared" si="3"/>
        <v>38</v>
      </c>
      <c r="C45" s="80" t="s">
        <v>64</v>
      </c>
      <c r="D45" s="12" t="s">
        <v>8</v>
      </c>
      <c r="E45" s="12" t="s">
        <v>111</v>
      </c>
      <c r="F45" s="13" t="s">
        <v>39</v>
      </c>
      <c r="G45" s="13" t="s">
        <v>10</v>
      </c>
      <c r="H45" s="13" t="str">
        <f t="shared" si="2"/>
        <v>PORTARIA SP</v>
      </c>
      <c r="I45" s="105">
        <v>182004.58</v>
      </c>
      <c r="J45" s="105"/>
      <c r="K45" s="105"/>
      <c r="L45" s="72">
        <v>196005.59</v>
      </c>
      <c r="M45" s="72">
        <v>196039.49</v>
      </c>
      <c r="N45" s="72">
        <v>193047.6</v>
      </c>
      <c r="O45" s="72">
        <v>194850.79</v>
      </c>
      <c r="P45" s="72">
        <v>196115.41</v>
      </c>
      <c r="Q45" s="72">
        <v>193043.21</v>
      </c>
      <c r="R45" s="165">
        <v>192654.54</v>
      </c>
      <c r="S45" s="165">
        <v>201095.02</v>
      </c>
      <c r="T45" s="165">
        <f>251593.23+1262.33</f>
        <v>252855.56</v>
      </c>
      <c r="U45" s="104">
        <f t="shared" si="1"/>
        <v>1997711.79</v>
      </c>
      <c r="V45" s="23"/>
      <c r="W45" s="23"/>
      <c r="X45" s="68"/>
    </row>
    <row r="46" spans="1:50" s="67" customFormat="1" ht="18.75" customHeight="1">
      <c r="A46" s="68"/>
      <c r="B46" s="19">
        <f t="shared" si="3"/>
        <v>39</v>
      </c>
      <c r="C46" s="80" t="s">
        <v>64</v>
      </c>
      <c r="D46" s="12" t="s">
        <v>8</v>
      </c>
      <c r="E46" s="12" t="s">
        <v>111</v>
      </c>
      <c r="F46" s="13" t="s">
        <v>65</v>
      </c>
      <c r="G46" s="13" t="s">
        <v>10</v>
      </c>
      <c r="H46" s="13" t="str">
        <f t="shared" si="2"/>
        <v>BRIGADISTA SP</v>
      </c>
      <c r="I46" s="105">
        <v>252094.23</v>
      </c>
      <c r="J46" s="105"/>
      <c r="K46" s="105"/>
      <c r="L46" s="72">
        <v>256566.23</v>
      </c>
      <c r="M46" s="72">
        <v>256853.62</v>
      </c>
      <c r="N46" s="72">
        <v>260774.25</v>
      </c>
      <c r="O46" s="72">
        <v>253914.57</v>
      </c>
      <c r="P46" s="72">
        <v>263596.02</v>
      </c>
      <c r="Q46" s="72">
        <v>250635.5</v>
      </c>
      <c r="R46" s="165">
        <v>252463.26</v>
      </c>
      <c r="S46" s="165">
        <v>256549.7</v>
      </c>
      <c r="T46" s="165">
        <f>192809.92+1445.85</f>
        <v>194255.77000000002</v>
      </c>
      <c r="U46" s="104">
        <f t="shared" si="1"/>
        <v>2497703.1500000004</v>
      </c>
      <c r="V46" s="23"/>
      <c r="W46" s="23"/>
      <c r="X46" s="68"/>
    </row>
    <row r="47" spans="1:50" s="67" customFormat="1" ht="18.75" customHeight="1">
      <c r="A47" s="68"/>
      <c r="B47" s="19">
        <f t="shared" si="3"/>
        <v>40</v>
      </c>
      <c r="C47" s="80" t="s">
        <v>36</v>
      </c>
      <c r="D47" s="12" t="s">
        <v>8</v>
      </c>
      <c r="E47" s="12" t="s">
        <v>111</v>
      </c>
      <c r="F47" s="13" t="s">
        <v>39</v>
      </c>
      <c r="G47" s="13" t="s">
        <v>9</v>
      </c>
      <c r="H47" s="13" t="str">
        <f>CONCATENATE(F47," ",G47)</f>
        <v>PORTARIA MG</v>
      </c>
      <c r="I47" s="105">
        <v>61844.22</v>
      </c>
      <c r="J47" s="105">
        <v>61844.22</v>
      </c>
      <c r="K47" s="105">
        <v>61844.22</v>
      </c>
      <c r="L47" s="72">
        <v>64936.43</v>
      </c>
      <c r="M47" s="72">
        <v>63390.319999999992</v>
      </c>
      <c r="N47" s="72">
        <v>51182.47</v>
      </c>
      <c r="O47" s="72">
        <v>38974.629999999997</v>
      </c>
      <c r="P47" s="72">
        <v>38974.629999999997</v>
      </c>
      <c r="Q47" s="72">
        <v>44198.28</v>
      </c>
      <c r="R47" s="166">
        <v>38974.629999999997</v>
      </c>
      <c r="S47" s="166">
        <v>38974.629999999997</v>
      </c>
      <c r="T47" s="166">
        <f>34842.26+6438</f>
        <v>41280.26</v>
      </c>
      <c r="U47" s="104">
        <f>SUM(I47:T47)</f>
        <v>606418.94000000006</v>
      </c>
      <c r="V47" s="23"/>
      <c r="W47" s="23"/>
      <c r="X47" s="68"/>
    </row>
    <row r="48" spans="1:50" s="87" customFormat="1" ht="20.25" customHeight="1" thickBot="1">
      <c r="A48" s="25"/>
      <c r="B48" s="159" t="s">
        <v>7</v>
      </c>
      <c r="C48" s="160"/>
      <c r="D48" s="161"/>
      <c r="E48" s="161"/>
      <c r="F48" s="161"/>
      <c r="G48" s="161"/>
      <c r="H48" s="161"/>
      <c r="I48" s="106">
        <f>SUM(I8:I47)</f>
        <v>1201868.6400000001</v>
      </c>
      <c r="J48" s="106">
        <f t="shared" ref="J48:T48" si="4">SUM(J8:J47)</f>
        <v>541254.33000000007</v>
      </c>
      <c r="K48" s="106">
        <f t="shared" si="4"/>
        <v>508347.94999999995</v>
      </c>
      <c r="L48" s="106">
        <f t="shared" si="4"/>
        <v>1024287.3400000001</v>
      </c>
      <c r="M48" s="106">
        <f t="shared" si="4"/>
        <v>1091517.8299999998</v>
      </c>
      <c r="N48" s="106">
        <f t="shared" si="4"/>
        <v>1395528.0499999998</v>
      </c>
      <c r="O48" s="106">
        <f t="shared" si="4"/>
        <v>1385682.4</v>
      </c>
      <c r="P48" s="106">
        <f t="shared" si="4"/>
        <v>1428576.3399999999</v>
      </c>
      <c r="Q48" s="106">
        <f t="shared" si="4"/>
        <v>1869642.0699999996</v>
      </c>
      <c r="R48" s="106">
        <f t="shared" si="4"/>
        <v>1800584.1899999995</v>
      </c>
      <c r="S48" s="106">
        <f t="shared" si="4"/>
        <v>1688906.9599999995</v>
      </c>
      <c r="T48" s="106">
        <f t="shared" si="4"/>
        <v>1533980.8900000004</v>
      </c>
      <c r="U48" s="162">
        <f>SUM(U8:U47)</f>
        <v>15470176.989999998</v>
      </c>
      <c r="V48" s="23"/>
      <c r="W48" s="23"/>
      <c r="X48" s="25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</row>
    <row r="49" spans="1:50" s="87" customFormat="1" ht="15">
      <c r="A49" s="25"/>
      <c r="B49" s="15"/>
      <c r="C49" s="82"/>
      <c r="D49" s="26"/>
      <c r="E49" s="26"/>
      <c r="F49" s="27"/>
      <c r="G49" s="27"/>
      <c r="H49" s="2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8"/>
      <c r="V49" s="23"/>
      <c r="W49" s="23"/>
      <c r="X49" s="25"/>
      <c r="Y49" s="25"/>
      <c r="Z49" s="25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</row>
    <row r="50" spans="1:50" s="87" customFormat="1" ht="15">
      <c r="A50" s="25"/>
      <c r="B50" s="15"/>
      <c r="C50" s="82"/>
      <c r="D50" s="26"/>
      <c r="E50" s="26"/>
      <c r="F50" s="27"/>
      <c r="G50" s="27"/>
      <c r="H50" s="2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8"/>
      <c r="V50" s="23"/>
      <c r="W50" s="23"/>
      <c r="X50" s="25"/>
      <c r="Y50" s="25"/>
      <c r="Z50" s="25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</row>
    <row r="51" spans="1:50" s="25" customFormat="1" ht="18.75" customHeight="1">
      <c r="B51" s="15"/>
      <c r="C51" s="81"/>
      <c r="D51" s="15"/>
      <c r="E51" s="15"/>
      <c r="F51" s="179" t="s">
        <v>20</v>
      </c>
      <c r="G51" s="179"/>
      <c r="H51" s="179"/>
      <c r="I51" s="109" t="s">
        <v>6</v>
      </c>
      <c r="J51" s="109" t="s">
        <v>17</v>
      </c>
      <c r="K51" s="109" t="s">
        <v>18</v>
      </c>
      <c r="L51" s="109" t="s">
        <v>70</v>
      </c>
      <c r="M51" s="109" t="s">
        <v>71</v>
      </c>
      <c r="N51" s="109" t="s">
        <v>72</v>
      </c>
      <c r="O51" s="109" t="s">
        <v>73</v>
      </c>
      <c r="P51" s="109" t="s">
        <v>77</v>
      </c>
      <c r="Q51" s="109" t="s">
        <v>83</v>
      </c>
      <c r="R51" s="109" t="s">
        <v>91</v>
      </c>
      <c r="S51" s="109" t="s">
        <v>124</v>
      </c>
      <c r="T51" s="109" t="s">
        <v>125</v>
      </c>
      <c r="U51" s="109" t="s">
        <v>7</v>
      </c>
      <c r="V51" s="23"/>
      <c r="W51" s="23"/>
      <c r="X51" s="88"/>
      <c r="Z51" s="89"/>
    </row>
    <row r="52" spans="1:50" s="67" customFormat="1" ht="18.75" customHeight="1">
      <c r="A52" s="68"/>
      <c r="B52" s="74"/>
      <c r="C52" s="84"/>
      <c r="D52" s="16"/>
      <c r="E52" s="16"/>
      <c r="F52" s="183" t="s">
        <v>11</v>
      </c>
      <c r="G52" s="183"/>
      <c r="H52" s="183"/>
      <c r="I52" s="110">
        <f t="shared" ref="I52:P52" si="5">SUMIF($F$8:$F$47,"PORTARIA",I8:I47)</f>
        <v>949774.41</v>
      </c>
      <c r="J52" s="110">
        <f t="shared" si="5"/>
        <v>541254.33000000007</v>
      </c>
      <c r="K52" s="110">
        <f t="shared" si="5"/>
        <v>508347.94999999995</v>
      </c>
      <c r="L52" s="110">
        <f t="shared" si="5"/>
        <v>722412.29</v>
      </c>
      <c r="M52" s="110">
        <f t="shared" si="5"/>
        <v>734080.9</v>
      </c>
      <c r="N52" s="110">
        <f t="shared" si="5"/>
        <v>689542.91</v>
      </c>
      <c r="O52" s="110">
        <f t="shared" si="5"/>
        <v>726423.47</v>
      </c>
      <c r="P52" s="110">
        <f t="shared" si="5"/>
        <v>729080.75000000012</v>
      </c>
      <c r="Q52" s="110">
        <f t="shared" ref="Q52:R52" si="6">SUMIF($F$8:$F$47,"PORTARIA",Q8:Q47)</f>
        <v>1230140.2400000002</v>
      </c>
      <c r="R52" s="110">
        <f t="shared" si="6"/>
        <v>1202790.6400000001</v>
      </c>
      <c r="S52" s="110">
        <f t="shared" ref="S52:T52" si="7">SUMIF($F$8:$F$47,"PORTARIA",S8:S47)</f>
        <v>1193626.1300000001</v>
      </c>
      <c r="T52" s="110">
        <f t="shared" si="7"/>
        <v>1233014.9700000002</v>
      </c>
      <c r="U52" s="111">
        <f>SUM(I52:T52)</f>
        <v>10460488.990000002</v>
      </c>
      <c r="V52" s="75"/>
      <c r="W52" s="90"/>
      <c r="X52" s="88"/>
      <c r="Y52" s="25"/>
      <c r="Z52" s="89"/>
    </row>
    <row r="53" spans="1:50" s="67" customFormat="1" ht="18.75" customHeight="1">
      <c r="A53" s="68"/>
      <c r="B53" s="74"/>
      <c r="C53" s="84"/>
      <c r="D53" s="16"/>
      <c r="E53" s="16"/>
      <c r="F53" s="183" t="s">
        <v>65</v>
      </c>
      <c r="G53" s="183"/>
      <c r="H53" s="183"/>
      <c r="I53" s="110">
        <f t="shared" ref="I53:O53" si="8">SUMIF($F$8:$F$47,"BRIGADISTA",I8:I48)</f>
        <v>252094.23</v>
      </c>
      <c r="J53" s="110">
        <f t="shared" si="8"/>
        <v>0</v>
      </c>
      <c r="K53" s="110">
        <f t="shared" si="8"/>
        <v>0</v>
      </c>
      <c r="L53" s="110">
        <f t="shared" si="8"/>
        <v>301875.05</v>
      </c>
      <c r="M53" s="110">
        <f t="shared" si="8"/>
        <v>305548.57</v>
      </c>
      <c r="N53" s="110">
        <f t="shared" si="8"/>
        <v>309641.27</v>
      </c>
      <c r="O53" s="110">
        <f t="shared" si="8"/>
        <v>302781.59000000003</v>
      </c>
      <c r="P53" s="110">
        <f>SUMIF($F$8:$F$47,"BRIGADISTA",P8:P47)</f>
        <v>312463.04000000004</v>
      </c>
      <c r="Q53" s="110">
        <f t="shared" ref="Q53:R53" si="9">SUMIF($F$8:$F$47,"BRIGADISTA",Q8:Q47)</f>
        <v>299502.52</v>
      </c>
      <c r="R53" s="110">
        <f t="shared" si="9"/>
        <v>316433.22000000003</v>
      </c>
      <c r="S53" s="110">
        <f t="shared" ref="S53:T53" si="10">SUMIF($F$8:$F$47,"BRIGADISTA",S8:S47)</f>
        <v>330276.83</v>
      </c>
      <c r="T53" s="110">
        <f t="shared" si="10"/>
        <v>289760.92000000004</v>
      </c>
      <c r="U53" s="111">
        <f>SUM(I53:T53)</f>
        <v>3020377.24</v>
      </c>
      <c r="V53" s="75"/>
      <c r="W53" s="90"/>
      <c r="X53" s="88"/>
      <c r="Y53" s="25"/>
      <c r="Z53" s="89"/>
    </row>
    <row r="54" spans="1:50" s="67" customFormat="1" ht="18.75" customHeight="1">
      <c r="A54" s="68"/>
      <c r="B54" s="74"/>
      <c r="C54" s="84"/>
      <c r="D54" s="16"/>
      <c r="E54" s="16"/>
      <c r="F54" s="183" t="s">
        <v>79</v>
      </c>
      <c r="G54" s="183"/>
      <c r="H54" s="183"/>
      <c r="I54" s="110">
        <f>SUMIF($F$8:$F$47,"MOTOLINK",I8:I48)</f>
        <v>0</v>
      </c>
      <c r="J54" s="110">
        <f t="shared" ref="J54:T54" si="11">SUMIF($F$8:$F$47,"MOTOLINK",J8:J48)</f>
        <v>0</v>
      </c>
      <c r="K54" s="110">
        <f t="shared" si="11"/>
        <v>0</v>
      </c>
      <c r="L54" s="110">
        <f t="shared" si="11"/>
        <v>0</v>
      </c>
      <c r="M54" s="110">
        <f>SUMIF($F$8:$F$47,"MOTOLINK",M8:M48)</f>
        <v>51888.36</v>
      </c>
      <c r="N54" s="110">
        <f t="shared" si="11"/>
        <v>396343.87</v>
      </c>
      <c r="O54" s="110">
        <f t="shared" si="11"/>
        <v>356477.33999999997</v>
      </c>
      <c r="P54" s="110">
        <f t="shared" si="11"/>
        <v>387032.55000000005</v>
      </c>
      <c r="Q54" s="110">
        <f t="shared" si="11"/>
        <v>339999.31</v>
      </c>
      <c r="R54" s="110">
        <f t="shared" si="11"/>
        <v>281360.32999999996</v>
      </c>
      <c r="S54" s="110">
        <f t="shared" si="11"/>
        <v>165004</v>
      </c>
      <c r="T54" s="110">
        <f t="shared" si="11"/>
        <v>11205</v>
      </c>
      <c r="U54" s="111">
        <f>SUM(I54:T54)</f>
        <v>1989310.7600000002</v>
      </c>
      <c r="V54" s="75"/>
      <c r="W54" s="90"/>
      <c r="X54" s="88"/>
      <c r="Y54" s="25"/>
      <c r="Z54" s="89"/>
    </row>
    <row r="55" spans="1:50" s="67" customFormat="1" ht="18.75" customHeight="1">
      <c r="A55" s="68"/>
      <c r="B55" s="74"/>
      <c r="C55" s="84"/>
      <c r="D55" s="16"/>
      <c r="E55" s="16"/>
      <c r="F55" s="183" t="s">
        <v>7</v>
      </c>
      <c r="G55" s="183"/>
      <c r="H55" s="183"/>
      <c r="I55" s="173">
        <f>SUM(I52:I53)</f>
        <v>1201868.6400000001</v>
      </c>
      <c r="J55" s="173">
        <f t="shared" ref="J55:L55" si="12">SUM(J52:J53)</f>
        <v>541254.33000000007</v>
      </c>
      <c r="K55" s="173">
        <f t="shared" si="12"/>
        <v>508347.94999999995</v>
      </c>
      <c r="L55" s="173">
        <f t="shared" si="12"/>
        <v>1024287.3400000001</v>
      </c>
      <c r="M55" s="173">
        <f>SUM(M52:M54)</f>
        <v>1091517.83</v>
      </c>
      <c r="N55" s="173">
        <f t="shared" ref="N55:T55" si="13">SUM(N52:N54)</f>
        <v>1395528.05</v>
      </c>
      <c r="O55" s="173">
        <f t="shared" si="13"/>
        <v>1385682.4</v>
      </c>
      <c r="P55" s="173">
        <f t="shared" si="13"/>
        <v>1428576.3400000003</v>
      </c>
      <c r="Q55" s="173">
        <f t="shared" si="13"/>
        <v>1869642.0700000003</v>
      </c>
      <c r="R55" s="173">
        <f t="shared" si="13"/>
        <v>1800584.19</v>
      </c>
      <c r="S55" s="173">
        <f t="shared" si="13"/>
        <v>1688906.9600000002</v>
      </c>
      <c r="T55" s="173">
        <f t="shared" si="13"/>
        <v>1533980.8900000001</v>
      </c>
      <c r="U55" s="111">
        <f>SUM(I55:T55)</f>
        <v>15470176.99</v>
      </c>
      <c r="V55" s="35"/>
      <c r="W55" s="35"/>
      <c r="X55" s="88"/>
      <c r="Y55" s="25"/>
      <c r="Z55" s="89"/>
    </row>
    <row r="56" spans="1:50" s="67" customFormat="1" ht="14.25" customHeight="1">
      <c r="A56" s="68"/>
      <c r="B56" s="74"/>
      <c r="C56" s="85"/>
      <c r="D56" s="24"/>
      <c r="E56" s="24"/>
      <c r="F56" s="73"/>
      <c r="G56" s="73"/>
      <c r="H56" s="73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76"/>
      <c r="W56" s="76"/>
      <c r="X56" s="88"/>
      <c r="Y56" s="25"/>
      <c r="Z56" s="89"/>
    </row>
    <row r="57" spans="1:50" s="67" customFormat="1" ht="18.75" customHeight="1">
      <c r="A57" s="68"/>
      <c r="B57" s="74"/>
      <c r="C57" s="95"/>
      <c r="D57" s="16"/>
      <c r="E57" s="16"/>
      <c r="F57" s="180" t="s">
        <v>12</v>
      </c>
      <c r="G57" s="181"/>
      <c r="H57" s="182"/>
      <c r="I57" s="110">
        <f t="shared" ref="I57:P57" si="14">SUMIF($G$8:$G$47,"MG",I8:I47)</f>
        <v>412300.80000000005</v>
      </c>
      <c r="J57" s="110">
        <f t="shared" si="14"/>
        <v>421577.45999999996</v>
      </c>
      <c r="K57" s="110">
        <f t="shared" si="14"/>
        <v>388671.08000000007</v>
      </c>
      <c r="L57" s="110">
        <f t="shared" si="14"/>
        <v>452038.91</v>
      </c>
      <c r="M57" s="110">
        <f t="shared" si="14"/>
        <v>465815.55000000005</v>
      </c>
      <c r="N57" s="110">
        <f t="shared" si="14"/>
        <v>424228.55000000005</v>
      </c>
      <c r="O57" s="110">
        <f t="shared" si="14"/>
        <v>455966.16999999993</v>
      </c>
      <c r="P57" s="110">
        <f t="shared" si="14"/>
        <v>430877.74000000011</v>
      </c>
      <c r="Q57" s="110">
        <f t="shared" ref="Q57:R57" si="15">SUMIF($G$8:$G$47,"MG",Q8:Q47)</f>
        <v>747685.18</v>
      </c>
      <c r="R57" s="110">
        <f t="shared" si="15"/>
        <v>763996.09000000008</v>
      </c>
      <c r="S57" s="110">
        <f t="shared" ref="S57:T57" si="16">SUMIF($G$8:$G$47,"MG",S8:S47)</f>
        <v>773644.52000000014</v>
      </c>
      <c r="T57" s="110">
        <f t="shared" si="16"/>
        <v>771066.35000000009</v>
      </c>
      <c r="U57" s="111">
        <f t="shared" ref="U57:U62" si="17">SUM(I57:T57)</f>
        <v>6507868.4000000004</v>
      </c>
      <c r="V57" s="77"/>
      <c r="W57" s="78"/>
      <c r="X57" s="88"/>
      <c r="Y57" s="25"/>
      <c r="Z57" s="89"/>
    </row>
    <row r="58" spans="1:50" s="67" customFormat="1" ht="18.75" customHeight="1">
      <c r="A58" s="68"/>
      <c r="B58" s="74"/>
      <c r="C58" s="84"/>
      <c r="D58" s="16"/>
      <c r="E58" s="16"/>
      <c r="F58" s="180" t="s">
        <v>13</v>
      </c>
      <c r="G58" s="181"/>
      <c r="H58" s="182"/>
      <c r="I58" s="110">
        <f t="shared" ref="I58:P58" si="18">SUMIF($G$8:$G$47,"UDIA",I8:I47)</f>
        <v>0</v>
      </c>
      <c r="J58" s="110">
        <f t="shared" si="18"/>
        <v>0</v>
      </c>
      <c r="K58" s="110">
        <f t="shared" si="18"/>
        <v>0</v>
      </c>
      <c r="L58" s="110">
        <f t="shared" si="18"/>
        <v>0</v>
      </c>
      <c r="M58" s="110">
        <f t="shared" si="18"/>
        <v>0</v>
      </c>
      <c r="N58" s="110">
        <f t="shared" si="18"/>
        <v>0</v>
      </c>
      <c r="O58" s="110">
        <f t="shared" si="18"/>
        <v>0</v>
      </c>
      <c r="P58" s="110">
        <f t="shared" si="18"/>
        <v>0</v>
      </c>
      <c r="Q58" s="110">
        <f t="shared" ref="Q58:R58" si="19">SUMIF($G$8:$G$47,"UDIA",Q8:Q47)</f>
        <v>0</v>
      </c>
      <c r="R58" s="110">
        <f t="shared" si="19"/>
        <v>0</v>
      </c>
      <c r="S58" s="110">
        <f t="shared" ref="S58:T58" si="20">SUMIF($G$8:$G$47,"UDIA",S8:S47)</f>
        <v>0</v>
      </c>
      <c r="T58" s="110">
        <f t="shared" si="20"/>
        <v>0</v>
      </c>
      <c r="U58" s="111">
        <f t="shared" si="17"/>
        <v>0</v>
      </c>
      <c r="V58" s="77"/>
      <c r="W58" s="78"/>
      <c r="X58" s="88"/>
      <c r="Y58" s="25"/>
      <c r="Z58" s="89"/>
    </row>
    <row r="59" spans="1:50" s="67" customFormat="1" ht="18.75" customHeight="1">
      <c r="A59" s="68"/>
      <c r="B59" s="74"/>
      <c r="C59" s="84"/>
      <c r="D59" s="16"/>
      <c r="E59" s="16"/>
      <c r="F59" s="180" t="s">
        <v>14</v>
      </c>
      <c r="G59" s="181"/>
      <c r="H59" s="182"/>
      <c r="I59" s="110">
        <f t="shared" ref="I59:P59" si="21">SUMIF($G$8:$G$47,"SP",I8:I47)</f>
        <v>784478.24</v>
      </c>
      <c r="J59" s="110">
        <f t="shared" si="21"/>
        <v>115859.67</v>
      </c>
      <c r="K59" s="110">
        <f t="shared" si="21"/>
        <v>115859.67</v>
      </c>
      <c r="L59" s="110">
        <f t="shared" si="21"/>
        <v>568431.23</v>
      </c>
      <c r="M59" s="110">
        <f t="shared" si="21"/>
        <v>569996.72</v>
      </c>
      <c r="N59" s="110">
        <f t="shared" si="21"/>
        <v>772457.53</v>
      </c>
      <c r="O59" s="110">
        <f t="shared" si="21"/>
        <v>783492.53</v>
      </c>
      <c r="P59" s="110">
        <f t="shared" si="21"/>
        <v>810356.58000000007</v>
      </c>
      <c r="Q59" s="110">
        <f t="shared" ref="Q59:R59" si="22">SUMIF($G$8:$G$47,"SP",Q8:Q47)</f>
        <v>760973.92</v>
      </c>
      <c r="R59" s="110">
        <f t="shared" si="22"/>
        <v>695429.31</v>
      </c>
      <c r="S59" s="110">
        <f t="shared" ref="S59:T59" si="23">SUMIF($G$8:$G$47,"SP",S8:S47)</f>
        <v>632216.54</v>
      </c>
      <c r="T59" s="110">
        <f t="shared" si="23"/>
        <v>565567.64</v>
      </c>
      <c r="U59" s="111">
        <f t="shared" si="17"/>
        <v>7175119.5800000001</v>
      </c>
      <c r="V59" s="77"/>
      <c r="W59" s="78"/>
      <c r="X59" s="88"/>
      <c r="Y59" s="25"/>
      <c r="Z59" s="89"/>
    </row>
    <row r="60" spans="1:50" s="67" customFormat="1" ht="18.75" customHeight="1">
      <c r="A60" s="68"/>
      <c r="B60" s="74"/>
      <c r="C60" s="84"/>
      <c r="D60" s="16"/>
      <c r="E60" s="16"/>
      <c r="F60" s="180" t="s">
        <v>69</v>
      </c>
      <c r="G60" s="181"/>
      <c r="H60" s="182"/>
      <c r="I60" s="110">
        <f t="shared" ref="I60:P60" si="24">SUMIF($G$8:$G$47,"ES",I8:I47)</f>
        <v>5089.6000000000004</v>
      </c>
      <c r="J60" s="110">
        <f t="shared" si="24"/>
        <v>3817.2</v>
      </c>
      <c r="K60" s="110">
        <f t="shared" si="24"/>
        <v>3817.2</v>
      </c>
      <c r="L60" s="110">
        <f t="shared" si="24"/>
        <v>3817.2</v>
      </c>
      <c r="M60" s="110">
        <f t="shared" si="24"/>
        <v>3817.2</v>
      </c>
      <c r="N60" s="110">
        <f t="shared" si="24"/>
        <v>3817.2</v>
      </c>
      <c r="O60" s="110">
        <f t="shared" si="24"/>
        <v>3817.2</v>
      </c>
      <c r="P60" s="110">
        <f t="shared" si="24"/>
        <v>3817.2</v>
      </c>
      <c r="Q60" s="110">
        <f t="shared" ref="Q60:R60" si="25">SUMIF($G$8:$G$47,"ES",Q8:Q47)</f>
        <v>3817.2</v>
      </c>
      <c r="R60" s="110">
        <f t="shared" si="25"/>
        <v>3817.2</v>
      </c>
      <c r="S60" s="110">
        <f t="shared" ref="S60:T60" si="26">SUMIF($G$8:$G$47,"ES",S8:S47)</f>
        <v>3817.2</v>
      </c>
      <c r="T60" s="110">
        <f t="shared" si="26"/>
        <v>3817.2</v>
      </c>
      <c r="U60" s="111">
        <f t="shared" si="17"/>
        <v>47078.799999999996</v>
      </c>
      <c r="V60" s="77"/>
      <c r="W60" s="78"/>
      <c r="X60" s="88"/>
      <c r="Y60" s="25"/>
      <c r="Z60" s="89"/>
    </row>
    <row r="61" spans="1:50" s="67" customFormat="1" ht="18.75" customHeight="1">
      <c r="A61" s="68"/>
      <c r="B61" s="74"/>
      <c r="C61" s="84"/>
      <c r="D61" s="16"/>
      <c r="E61" s="16"/>
      <c r="F61" s="180" t="s">
        <v>82</v>
      </c>
      <c r="G61" s="181"/>
      <c r="H61" s="182"/>
      <c r="I61" s="110">
        <f t="shared" ref="I61:N61" si="27">SUMIF($G$8:$G$47,"RJ",I8:I47)</f>
        <v>0</v>
      </c>
      <c r="J61" s="110">
        <f t="shared" si="27"/>
        <v>0</v>
      </c>
      <c r="K61" s="110">
        <f t="shared" si="27"/>
        <v>0</v>
      </c>
      <c r="L61" s="110">
        <f t="shared" si="27"/>
        <v>0</v>
      </c>
      <c r="M61" s="110">
        <f t="shared" si="27"/>
        <v>51888.36</v>
      </c>
      <c r="N61" s="110">
        <f t="shared" si="27"/>
        <v>195024.77000000002</v>
      </c>
      <c r="O61" s="110">
        <f>SUMIF($G$8:$G$47,"RJ",O8:O47)</f>
        <v>142406.5</v>
      </c>
      <c r="P61" s="110">
        <f>SUMIF($G$8:$G$47,"RJ",P8:P47)</f>
        <v>183524.82</v>
      </c>
      <c r="Q61" s="110">
        <f t="shared" ref="Q61:R61" si="28">SUMIF($G$8:$G$47,"RJ",Q8:Q47)</f>
        <v>357165.77</v>
      </c>
      <c r="R61" s="110">
        <f t="shared" si="28"/>
        <v>337341.58999999997</v>
      </c>
      <c r="S61" s="110">
        <f t="shared" ref="S61:T61" si="29">SUMIF($G$8:$G$47,"RJ",S8:S47)</f>
        <v>279228.7</v>
      </c>
      <c r="T61" s="110">
        <f t="shared" si="29"/>
        <v>193529.7</v>
      </c>
      <c r="U61" s="111">
        <f t="shared" si="17"/>
        <v>1740110.21</v>
      </c>
      <c r="V61" s="77"/>
      <c r="W61" s="78"/>
      <c r="X61" s="88"/>
      <c r="Y61" s="25"/>
      <c r="Z61" s="89"/>
    </row>
    <row r="62" spans="1:50" s="67" customFormat="1" ht="18.75" customHeight="1">
      <c r="A62" s="68"/>
      <c r="B62" s="74"/>
      <c r="C62" s="84"/>
      <c r="D62" s="16"/>
      <c r="E62" s="16"/>
      <c r="F62" s="180" t="s">
        <v>7</v>
      </c>
      <c r="G62" s="181"/>
      <c r="H62" s="182"/>
      <c r="I62" s="111">
        <f>SUM(I57:I60)</f>
        <v>1201868.6400000001</v>
      </c>
      <c r="J62" s="111">
        <f>SUM(J57:J60)</f>
        <v>541254.32999999996</v>
      </c>
      <c r="K62" s="111">
        <f>SUM(K57:K60)</f>
        <v>508347.95000000007</v>
      </c>
      <c r="L62" s="111">
        <f t="shared" ref="L62" si="30">SUM(L57:L60)</f>
        <v>1024287.3399999999</v>
      </c>
      <c r="M62" s="111">
        <f>SUM(M57:M61)</f>
        <v>1091517.83</v>
      </c>
      <c r="N62" s="111">
        <f t="shared" ref="N62:T62" si="31">SUM(N57:N61)</f>
        <v>1395528.05</v>
      </c>
      <c r="O62" s="111">
        <f t="shared" si="31"/>
        <v>1385682.4</v>
      </c>
      <c r="P62" s="111">
        <f t="shared" si="31"/>
        <v>1428576.3400000003</v>
      </c>
      <c r="Q62" s="111">
        <f t="shared" si="31"/>
        <v>1869642.07</v>
      </c>
      <c r="R62" s="111">
        <f t="shared" si="31"/>
        <v>1800584.19</v>
      </c>
      <c r="S62" s="111">
        <f t="shared" si="31"/>
        <v>1688906.96</v>
      </c>
      <c r="T62" s="111">
        <f t="shared" si="31"/>
        <v>1533980.8900000001</v>
      </c>
      <c r="U62" s="111">
        <f t="shared" si="17"/>
        <v>15470176.989999998</v>
      </c>
      <c r="V62" s="78"/>
      <c r="W62" s="78"/>
      <c r="X62" s="68"/>
    </row>
    <row r="63" spans="1:50" s="67" customFormat="1" ht="14.25" customHeight="1">
      <c r="A63" s="68"/>
      <c r="B63" s="74"/>
      <c r="C63" s="82"/>
      <c r="D63" s="24"/>
      <c r="E63" s="24"/>
      <c r="F63" s="25"/>
      <c r="G63" s="25"/>
      <c r="H63" s="25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2"/>
      <c r="V63" s="76"/>
      <c r="W63" s="76"/>
      <c r="X63" s="68"/>
    </row>
    <row r="64" spans="1:50" s="171" customFormat="1" ht="18" customHeight="1">
      <c r="A64" s="167"/>
      <c r="B64" s="74"/>
      <c r="C64" s="82"/>
      <c r="D64" s="24"/>
      <c r="E64" s="24"/>
      <c r="F64" s="25"/>
      <c r="G64" s="25"/>
      <c r="H64" s="25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9"/>
      <c r="V64" s="76"/>
      <c r="W64" s="170"/>
      <c r="X64" s="167"/>
    </row>
    <row r="65" spans="1:24" s="171" customFormat="1" ht="18" customHeight="1">
      <c r="A65" s="167"/>
      <c r="B65" s="74"/>
      <c r="C65" s="82"/>
      <c r="D65" s="24"/>
      <c r="E65" s="24"/>
      <c r="F65" s="25"/>
      <c r="G65" s="25"/>
      <c r="H65" s="25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9"/>
      <c r="V65" s="76"/>
      <c r="W65" s="170"/>
      <c r="X65" s="167"/>
    </row>
    <row r="66" spans="1:24" s="171" customFormat="1" ht="18" customHeight="1">
      <c r="A66" s="167"/>
      <c r="B66" s="74"/>
      <c r="C66" s="82"/>
      <c r="D66" s="24"/>
      <c r="E66" s="24"/>
      <c r="F66" s="25"/>
      <c r="G66" s="25"/>
      <c r="H66" s="25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9"/>
      <c r="V66" s="76"/>
      <c r="W66" s="170"/>
      <c r="X66" s="167"/>
    </row>
    <row r="67" spans="1:24" s="171" customFormat="1" ht="18" customHeight="1">
      <c r="A67" s="167"/>
      <c r="B67" s="74"/>
      <c r="C67" s="82"/>
      <c r="D67" s="24"/>
      <c r="E67" s="24"/>
      <c r="F67" s="25"/>
      <c r="G67" s="25"/>
      <c r="H67" s="25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9"/>
      <c r="V67" s="76"/>
      <c r="W67" s="170"/>
      <c r="X67" s="167"/>
    </row>
    <row r="68" spans="1:24" s="171" customFormat="1" ht="18" customHeight="1">
      <c r="A68" s="167"/>
      <c r="B68" s="74"/>
      <c r="C68" s="82"/>
      <c r="D68" s="24"/>
      <c r="E68" s="24"/>
      <c r="F68" s="25"/>
      <c r="G68" s="25"/>
      <c r="H68" s="25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9"/>
      <c r="V68" s="76"/>
      <c r="W68" s="170"/>
      <c r="X68" s="167"/>
    </row>
    <row r="69" spans="1:24" s="171" customFormat="1" ht="18" customHeight="1">
      <c r="A69" s="167"/>
      <c r="B69" s="74"/>
      <c r="C69" s="82"/>
      <c r="D69" s="24"/>
      <c r="E69" s="24"/>
      <c r="F69" s="25"/>
      <c r="G69" s="25"/>
      <c r="H69" s="25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9"/>
      <c r="V69" s="76"/>
      <c r="W69" s="170"/>
      <c r="X69" s="167"/>
    </row>
    <row r="70" spans="1:24" s="171" customFormat="1" ht="18" customHeight="1">
      <c r="A70" s="167"/>
      <c r="B70" s="74"/>
      <c r="C70" s="82"/>
      <c r="D70" s="24"/>
      <c r="E70" s="24"/>
      <c r="F70" s="25"/>
      <c r="G70" s="25"/>
      <c r="H70" s="25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9"/>
      <c r="V70" s="76"/>
      <c r="W70" s="170"/>
      <c r="X70" s="167"/>
    </row>
    <row r="71" spans="1:24" s="171" customFormat="1" ht="18" customHeight="1">
      <c r="A71" s="167"/>
      <c r="B71" s="74"/>
      <c r="C71" s="82"/>
      <c r="D71" s="24"/>
      <c r="E71" s="24"/>
      <c r="F71" s="25"/>
      <c r="G71" s="25"/>
      <c r="H71" s="25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9"/>
      <c r="V71" s="76"/>
      <c r="W71" s="170"/>
      <c r="X71" s="167"/>
    </row>
    <row r="72" spans="1:24" s="14" customFormat="1" ht="18" customHeight="1">
      <c r="B72" s="15"/>
      <c r="C72" s="83"/>
      <c r="D72" s="24"/>
      <c r="E72" s="24"/>
      <c r="F72" s="25"/>
      <c r="G72" s="25"/>
      <c r="H72" s="2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6"/>
      <c r="V72" s="35"/>
      <c r="W72" s="20"/>
    </row>
    <row r="73" spans="1:24" s="14" customFormat="1" ht="18" customHeight="1">
      <c r="B73" s="15"/>
      <c r="C73" s="83"/>
      <c r="D73" s="24"/>
      <c r="E73" s="24"/>
      <c r="F73" s="25"/>
      <c r="G73" s="25"/>
      <c r="H73" s="2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6"/>
      <c r="V73" s="35"/>
      <c r="W73" s="20"/>
    </row>
    <row r="74" spans="1:24" s="14" customFormat="1" ht="18" customHeight="1">
      <c r="B74" s="15"/>
      <c r="C74" s="83"/>
      <c r="D74" s="24"/>
      <c r="E74" s="24"/>
      <c r="F74" s="25"/>
      <c r="G74" s="25"/>
      <c r="H74" s="2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7"/>
      <c r="V74" s="35"/>
      <c r="W74" s="20"/>
    </row>
    <row r="75" spans="1:24" s="14" customFormat="1" ht="18" customHeight="1">
      <c r="B75" s="15"/>
      <c r="C75" s="83"/>
      <c r="D75" s="24"/>
      <c r="E75" s="24"/>
      <c r="F75" s="25"/>
      <c r="G75" s="25"/>
      <c r="H75" s="2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7"/>
      <c r="V75" s="35"/>
      <c r="W75" s="20"/>
    </row>
    <row r="76" spans="1:24" ht="18" customHeight="1"/>
    <row r="77" spans="1:24" ht="18" customHeight="1"/>
  </sheetData>
  <autoFilter ref="B7:U48"/>
  <sortState ref="B8:J342">
    <sortCondition ref="C8:C342"/>
  </sortState>
  <dataConsolidate/>
  <mergeCells count="11">
    <mergeCell ref="F62:H62"/>
    <mergeCell ref="F53:H53"/>
    <mergeCell ref="F60:H60"/>
    <mergeCell ref="F61:H61"/>
    <mergeCell ref="F54:H54"/>
    <mergeCell ref="F51:H51"/>
    <mergeCell ref="F59:H59"/>
    <mergeCell ref="F52:H52"/>
    <mergeCell ref="F55:H55"/>
    <mergeCell ref="F57:H57"/>
    <mergeCell ref="F58:H58"/>
  </mergeCells>
  <pageMargins left="0.39370078740157483" right="0.39370078740157483" top="0.15748031496062992" bottom="0.15748031496062992" header="0" footer="0"/>
  <pageSetup paperSize="9" scale="31" fitToHeight="5" orientation="landscape" r:id="rId1"/>
  <headerFooter>
    <oddHeader>&amp;R&amp;F/&amp;A
&amp;D - &amp;T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zoomScale="85" zoomScaleNormal="85" workbookViewId="0">
      <selection activeCell="C31" sqref="C31"/>
    </sheetView>
  </sheetViews>
  <sheetFormatPr defaultRowHeight="15"/>
  <cols>
    <col min="1" max="1" width="4.5703125" customWidth="1"/>
    <col min="2" max="2" width="9.140625" style="121"/>
    <col min="3" max="3" width="59.42578125" style="122" customWidth="1"/>
    <col min="4" max="4" width="12.7109375" style="123" bestFit="1" customWidth="1"/>
    <col min="5" max="5" width="20.7109375" style="124" customWidth="1"/>
    <col min="6" max="6" width="20.5703125" style="125" customWidth="1"/>
    <col min="7" max="9" width="20.5703125" style="56" customWidth="1"/>
    <col min="10" max="10" width="21.5703125" style="56" customWidth="1"/>
    <col min="11" max="11" width="34" style="56" customWidth="1"/>
  </cols>
  <sheetData>
    <row r="1" spans="1:14" ht="23.25">
      <c r="A1" s="120" t="s">
        <v>94</v>
      </c>
    </row>
    <row r="2" spans="1:14" ht="23.25">
      <c r="A2" s="120" t="s">
        <v>0</v>
      </c>
    </row>
    <row r="3" spans="1:14" ht="23.25">
      <c r="A3" s="120" t="s">
        <v>95</v>
      </c>
    </row>
    <row r="4" spans="1:14" ht="23.25">
      <c r="A4" s="120"/>
    </row>
    <row r="5" spans="1:14" ht="24" thickBot="1">
      <c r="A5" s="120"/>
    </row>
    <row r="6" spans="1:14" s="126" customFormat="1" ht="39" customHeight="1">
      <c r="B6" s="127" t="s">
        <v>1</v>
      </c>
      <c r="C6" s="128" t="s">
        <v>2</v>
      </c>
      <c r="D6" s="129" t="s">
        <v>3</v>
      </c>
      <c r="E6" s="129" t="s">
        <v>96</v>
      </c>
      <c r="F6" s="130" t="s">
        <v>97</v>
      </c>
      <c r="G6" s="129" t="s">
        <v>93</v>
      </c>
      <c r="H6" s="129" t="s">
        <v>98</v>
      </c>
      <c r="I6" s="130" t="s">
        <v>99</v>
      </c>
      <c r="J6" s="130" t="s">
        <v>100</v>
      </c>
      <c r="K6" s="131" t="s">
        <v>101</v>
      </c>
      <c r="L6" s="132"/>
      <c r="M6" s="132"/>
      <c r="N6" s="133"/>
    </row>
    <row r="7" spans="1:14" s="134" customFormat="1" ht="20.25" customHeight="1">
      <c r="B7" s="135">
        <v>1</v>
      </c>
      <c r="C7" s="80" t="s">
        <v>89</v>
      </c>
      <c r="D7" s="137" t="s">
        <v>8</v>
      </c>
      <c r="E7" s="149">
        <v>15665.76</v>
      </c>
      <c r="F7" s="139">
        <v>12744.09</v>
      </c>
      <c r="G7" s="140" t="s">
        <v>102</v>
      </c>
      <c r="H7" s="140" t="s">
        <v>103</v>
      </c>
      <c r="I7" s="140" t="s">
        <v>104</v>
      </c>
      <c r="J7" s="142" t="s">
        <v>105</v>
      </c>
      <c r="K7" s="145" t="s">
        <v>117</v>
      </c>
    </row>
    <row r="8" spans="1:14" s="134" customFormat="1" ht="20.25" customHeight="1">
      <c r="B8" s="135">
        <f t="shared" ref="B8:B19" si="0">B7+1</f>
        <v>2</v>
      </c>
      <c r="C8" s="80" t="s">
        <v>37</v>
      </c>
      <c r="D8" s="137" t="s">
        <v>8</v>
      </c>
      <c r="E8" s="149">
        <v>3995.39</v>
      </c>
      <c r="F8" s="139">
        <v>3250.26</v>
      </c>
      <c r="G8" s="140" t="s">
        <v>102</v>
      </c>
      <c r="H8" s="140" t="s">
        <v>103</v>
      </c>
      <c r="I8" s="140" t="s">
        <v>104</v>
      </c>
      <c r="J8" s="142" t="s">
        <v>105</v>
      </c>
      <c r="K8" s="145" t="s">
        <v>117</v>
      </c>
    </row>
    <row r="9" spans="1:14" s="134" customFormat="1" ht="20.25" customHeight="1">
      <c r="B9" s="135">
        <f t="shared" si="0"/>
        <v>3</v>
      </c>
      <c r="C9" s="80" t="s">
        <v>21</v>
      </c>
      <c r="D9" s="137" t="s">
        <v>8</v>
      </c>
      <c r="E9" s="144">
        <f>32012.64</f>
        <v>32012.639999999999</v>
      </c>
      <c r="F9" s="139">
        <f>25081.9</f>
        <v>25081.9</v>
      </c>
      <c r="G9" s="140" t="s">
        <v>102</v>
      </c>
      <c r="H9" s="140" t="s">
        <v>103</v>
      </c>
      <c r="I9" s="140" t="s">
        <v>104</v>
      </c>
      <c r="J9" s="142" t="s">
        <v>105</v>
      </c>
      <c r="K9" s="145" t="s">
        <v>107</v>
      </c>
    </row>
    <row r="10" spans="1:14" s="134" customFormat="1" ht="20.25" customHeight="1">
      <c r="B10" s="135">
        <f t="shared" si="0"/>
        <v>4</v>
      </c>
      <c r="C10" s="80" t="s">
        <v>23</v>
      </c>
      <c r="D10" s="137" t="s">
        <v>8</v>
      </c>
      <c r="E10" s="146">
        <v>36309.07</v>
      </c>
      <c r="F10" s="139">
        <v>28811.25</v>
      </c>
      <c r="G10" s="140" t="s">
        <v>102</v>
      </c>
      <c r="H10" s="140" t="s">
        <v>103</v>
      </c>
      <c r="I10" s="140" t="s">
        <v>104</v>
      </c>
      <c r="J10" s="142" t="s">
        <v>120</v>
      </c>
      <c r="K10" s="145" t="s">
        <v>121</v>
      </c>
    </row>
    <row r="11" spans="1:14" s="134" customFormat="1" ht="20.25" customHeight="1">
      <c r="B11" s="135">
        <f t="shared" si="0"/>
        <v>5</v>
      </c>
      <c r="C11" s="80" t="s">
        <v>38</v>
      </c>
      <c r="D11" s="137" t="s">
        <v>8</v>
      </c>
      <c r="E11" s="138">
        <v>59515</v>
      </c>
      <c r="F11" s="139">
        <v>47225.15</v>
      </c>
      <c r="G11" s="140" t="s">
        <v>102</v>
      </c>
      <c r="H11" s="140" t="s">
        <v>103</v>
      </c>
      <c r="I11" s="140" t="s">
        <v>109</v>
      </c>
      <c r="J11" s="142" t="s">
        <v>105</v>
      </c>
      <c r="K11" s="143" t="s">
        <v>110</v>
      </c>
    </row>
    <row r="12" spans="1:14" s="134" customFormat="1" ht="20.25" customHeight="1">
      <c r="B12" s="135">
        <f t="shared" si="0"/>
        <v>6</v>
      </c>
      <c r="C12" s="136" t="s">
        <v>22</v>
      </c>
      <c r="D12" s="137" t="s">
        <v>8</v>
      </c>
      <c r="E12" s="146">
        <v>33287.03</v>
      </c>
      <c r="F12" s="139">
        <v>27411.87</v>
      </c>
      <c r="G12" s="140" t="s">
        <v>102</v>
      </c>
      <c r="H12" s="140" t="s">
        <v>103</v>
      </c>
      <c r="I12" s="140" t="s">
        <v>104</v>
      </c>
      <c r="J12" s="142" t="s">
        <v>105</v>
      </c>
      <c r="K12" s="143" t="s">
        <v>108</v>
      </c>
    </row>
    <row r="13" spans="1:14" s="134" customFormat="1" ht="20.25" customHeight="1">
      <c r="B13" s="135">
        <f t="shared" si="0"/>
        <v>7</v>
      </c>
      <c r="C13" s="80" t="s">
        <v>19</v>
      </c>
      <c r="D13" s="137" t="s">
        <v>8</v>
      </c>
      <c r="E13" s="144">
        <v>6692.38</v>
      </c>
      <c r="F13" s="139">
        <v>5243.49</v>
      </c>
      <c r="G13" s="140" t="s">
        <v>111</v>
      </c>
      <c r="H13" s="140" t="s">
        <v>103</v>
      </c>
      <c r="I13" s="140" t="s">
        <v>104</v>
      </c>
      <c r="J13" s="142" t="s">
        <v>105</v>
      </c>
      <c r="K13" s="143" t="s">
        <v>116</v>
      </c>
    </row>
    <row r="14" spans="1:14" s="134" customFormat="1" ht="20.25" customHeight="1">
      <c r="B14" s="135">
        <f t="shared" si="0"/>
        <v>8</v>
      </c>
      <c r="C14" s="136" t="s">
        <v>25</v>
      </c>
      <c r="D14" s="137" t="s">
        <v>8</v>
      </c>
      <c r="E14" s="149">
        <v>7122.86</v>
      </c>
      <c r="F14" s="139">
        <v>5794.44</v>
      </c>
      <c r="G14" s="140" t="s">
        <v>102</v>
      </c>
      <c r="H14" s="140" t="s">
        <v>103</v>
      </c>
      <c r="I14" s="140" t="s">
        <v>104</v>
      </c>
      <c r="J14" s="142" t="s">
        <v>120</v>
      </c>
      <c r="K14" s="145" t="s">
        <v>105</v>
      </c>
    </row>
    <row r="15" spans="1:14" s="134" customFormat="1" ht="20.25" customHeight="1">
      <c r="B15" s="135">
        <f t="shared" si="0"/>
        <v>9</v>
      </c>
      <c r="C15" s="136" t="s">
        <v>28</v>
      </c>
      <c r="D15" s="137" t="s">
        <v>8</v>
      </c>
      <c r="E15" s="138">
        <v>27489.62</v>
      </c>
      <c r="F15" s="139">
        <v>22362.81</v>
      </c>
      <c r="G15" s="140" t="s">
        <v>111</v>
      </c>
      <c r="H15" s="140" t="s">
        <v>103</v>
      </c>
      <c r="I15" s="140" t="s">
        <v>109</v>
      </c>
      <c r="J15" s="142" t="s">
        <v>105</v>
      </c>
      <c r="K15" s="143" t="s">
        <v>118</v>
      </c>
    </row>
    <row r="16" spans="1:14" s="134" customFormat="1" ht="20.25" customHeight="1">
      <c r="B16" s="135">
        <f t="shared" si="0"/>
        <v>10</v>
      </c>
      <c r="C16" s="136" t="s">
        <v>119</v>
      </c>
      <c r="D16" s="137" t="s">
        <v>8</v>
      </c>
      <c r="E16" s="138">
        <v>17810.830000000002</v>
      </c>
      <c r="F16" s="139">
        <v>14489.11</v>
      </c>
      <c r="G16" s="140" t="s">
        <v>111</v>
      </c>
      <c r="H16" s="140" t="s">
        <v>103</v>
      </c>
      <c r="I16" s="140" t="s">
        <v>109</v>
      </c>
      <c r="J16" s="142" t="s">
        <v>105</v>
      </c>
      <c r="K16" s="143" t="s">
        <v>118</v>
      </c>
    </row>
    <row r="17" spans="2:11" s="134" customFormat="1" ht="20.25" customHeight="1">
      <c r="B17" s="135">
        <f t="shared" si="0"/>
        <v>11</v>
      </c>
      <c r="C17" s="136" t="s">
        <v>15</v>
      </c>
      <c r="D17" s="137" t="s">
        <v>8</v>
      </c>
      <c r="E17" s="138">
        <v>52354.97</v>
      </c>
      <c r="F17" s="139">
        <f>(6251.86*2)+5948.41+6021.31+6251.86+5741.78</f>
        <v>36467.08</v>
      </c>
      <c r="G17" s="140" t="s">
        <v>111</v>
      </c>
      <c r="H17" s="140" t="s">
        <v>103</v>
      </c>
      <c r="I17" s="140" t="s">
        <v>109</v>
      </c>
      <c r="J17" s="142" t="s">
        <v>105</v>
      </c>
      <c r="K17" s="143" t="s">
        <v>112</v>
      </c>
    </row>
    <row r="18" spans="2:11" s="134" customFormat="1" ht="20.25" customHeight="1">
      <c r="B18" s="135">
        <f t="shared" si="0"/>
        <v>12</v>
      </c>
      <c r="C18" s="80" t="s">
        <v>30</v>
      </c>
      <c r="D18" s="137" t="s">
        <v>8</v>
      </c>
      <c r="E18" s="146">
        <v>8394.81</v>
      </c>
      <c r="F18" s="139">
        <v>6577.33</v>
      </c>
      <c r="G18" s="140" t="s">
        <v>102</v>
      </c>
      <c r="H18" s="140" t="s">
        <v>103</v>
      </c>
      <c r="I18" s="140" t="s">
        <v>104</v>
      </c>
      <c r="J18" s="142" t="s">
        <v>105</v>
      </c>
      <c r="K18" s="145" t="s">
        <v>105</v>
      </c>
    </row>
    <row r="19" spans="2:11" s="134" customFormat="1" ht="20.25" customHeight="1">
      <c r="B19" s="135">
        <f t="shared" si="0"/>
        <v>13</v>
      </c>
      <c r="C19" s="80" t="s">
        <v>63</v>
      </c>
      <c r="D19" s="137" t="s">
        <v>8</v>
      </c>
      <c r="E19" s="138">
        <v>21370.83</v>
      </c>
      <c r="F19" s="139">
        <v>17064.61</v>
      </c>
      <c r="G19" s="140" t="s">
        <v>102</v>
      </c>
      <c r="H19" s="140" t="s">
        <v>103</v>
      </c>
      <c r="I19" s="141" t="s">
        <v>104</v>
      </c>
      <c r="J19" s="142" t="s">
        <v>105</v>
      </c>
      <c r="K19" s="143" t="s">
        <v>106</v>
      </c>
    </row>
    <row r="20" spans="2:11" s="134" customFormat="1" ht="20.25" customHeight="1">
      <c r="B20" s="135">
        <f t="shared" ref="B20:B33" si="1">B19+1</f>
        <v>14</v>
      </c>
      <c r="C20" s="80" t="s">
        <v>67</v>
      </c>
      <c r="D20" s="137" t="s">
        <v>8</v>
      </c>
      <c r="E20" s="148">
        <v>3817.2</v>
      </c>
      <c r="F20" s="139">
        <v>2990.78</v>
      </c>
      <c r="G20" s="140" t="s">
        <v>102</v>
      </c>
      <c r="H20" s="140" t="s">
        <v>103</v>
      </c>
      <c r="I20" s="140" t="s">
        <v>104</v>
      </c>
      <c r="J20" s="142" t="s">
        <v>105</v>
      </c>
      <c r="K20" s="145" t="s">
        <v>105</v>
      </c>
    </row>
    <row r="21" spans="2:11" s="134" customFormat="1" ht="20.25" customHeight="1">
      <c r="B21" s="135">
        <f t="shared" si="1"/>
        <v>15</v>
      </c>
      <c r="C21" s="80" t="s">
        <v>29</v>
      </c>
      <c r="D21" s="137" t="s">
        <v>8</v>
      </c>
      <c r="E21" s="149">
        <v>14215</v>
      </c>
      <c r="F21" s="139">
        <v>11492.82</v>
      </c>
      <c r="G21" s="140" t="s">
        <v>102</v>
      </c>
      <c r="H21" s="140" t="s">
        <v>103</v>
      </c>
      <c r="I21" s="140" t="s">
        <v>104</v>
      </c>
      <c r="J21" s="142" t="s">
        <v>105</v>
      </c>
      <c r="K21" s="145" t="s">
        <v>122</v>
      </c>
    </row>
    <row r="22" spans="2:11" s="134" customFormat="1" ht="20.25" customHeight="1">
      <c r="B22" s="135">
        <f t="shared" si="1"/>
        <v>16</v>
      </c>
      <c r="C22" s="80" t="s">
        <v>31</v>
      </c>
      <c r="D22" s="137" t="s">
        <v>8</v>
      </c>
      <c r="E22" s="138">
        <v>14889.15</v>
      </c>
      <c r="F22" s="139">
        <v>11665.62</v>
      </c>
      <c r="G22" s="140" t="s">
        <v>102</v>
      </c>
      <c r="H22" s="140" t="s">
        <v>103</v>
      </c>
      <c r="I22" s="140" t="s">
        <v>104</v>
      </c>
      <c r="J22" s="142" t="s">
        <v>105</v>
      </c>
      <c r="K22" s="143" t="s">
        <v>113</v>
      </c>
    </row>
    <row r="23" spans="2:11" s="134" customFormat="1" ht="20.25" customHeight="1">
      <c r="B23" s="135">
        <f t="shared" si="1"/>
        <v>17</v>
      </c>
      <c r="C23" s="80" t="s">
        <v>32</v>
      </c>
      <c r="D23" s="137" t="s">
        <v>8</v>
      </c>
      <c r="E23" s="146">
        <v>5211.9799999999996</v>
      </c>
      <c r="F23" s="139">
        <v>4187.82</v>
      </c>
      <c r="G23" s="140" t="s">
        <v>102</v>
      </c>
      <c r="H23" s="140" t="s">
        <v>103</v>
      </c>
      <c r="I23" s="140" t="s">
        <v>109</v>
      </c>
      <c r="J23" s="142" t="s">
        <v>120</v>
      </c>
      <c r="K23" s="145" t="s">
        <v>105</v>
      </c>
    </row>
    <row r="24" spans="2:11" s="134" customFormat="1" ht="20.25" customHeight="1">
      <c r="B24" s="135">
        <f t="shared" si="1"/>
        <v>18</v>
      </c>
      <c r="C24" s="79" t="s">
        <v>85</v>
      </c>
      <c r="D24" s="137" t="s">
        <v>8</v>
      </c>
      <c r="E24" s="138">
        <v>3713.9</v>
      </c>
      <c r="F24" s="139">
        <v>3021.25</v>
      </c>
      <c r="G24" s="140" t="s">
        <v>102</v>
      </c>
      <c r="H24" s="140" t="s">
        <v>103</v>
      </c>
      <c r="I24" s="140" t="s">
        <v>104</v>
      </c>
      <c r="J24" s="142" t="s">
        <v>105</v>
      </c>
      <c r="K24" s="143" t="s">
        <v>105</v>
      </c>
    </row>
    <row r="25" spans="2:11" s="134" customFormat="1" ht="20.25" customHeight="1">
      <c r="B25" s="135">
        <f t="shared" si="1"/>
        <v>19</v>
      </c>
      <c r="C25" s="79" t="s">
        <v>86</v>
      </c>
      <c r="D25" s="137" t="s">
        <v>8</v>
      </c>
      <c r="E25" s="138">
        <v>3713.9</v>
      </c>
      <c r="F25" s="139">
        <v>2909.83</v>
      </c>
      <c r="G25" s="140" t="s">
        <v>102</v>
      </c>
      <c r="H25" s="140" t="s">
        <v>103</v>
      </c>
      <c r="I25" s="140" t="s">
        <v>104</v>
      </c>
      <c r="J25" s="142" t="s">
        <v>105</v>
      </c>
      <c r="K25" s="143" t="s">
        <v>105</v>
      </c>
    </row>
    <row r="26" spans="2:11" s="134" customFormat="1" ht="20.25" customHeight="1">
      <c r="B26" s="135">
        <f t="shared" si="1"/>
        <v>20</v>
      </c>
      <c r="C26" s="94" t="s">
        <v>84</v>
      </c>
      <c r="D26" s="137" t="s">
        <v>8</v>
      </c>
      <c r="E26" s="138">
        <v>3713.9</v>
      </c>
      <c r="F26" s="139">
        <v>2984.11</v>
      </c>
      <c r="G26" s="140" t="s">
        <v>102</v>
      </c>
      <c r="H26" s="140" t="s">
        <v>103</v>
      </c>
      <c r="I26" s="140" t="s">
        <v>104</v>
      </c>
      <c r="J26" s="142" t="s">
        <v>105</v>
      </c>
      <c r="K26" s="143" t="s">
        <v>105</v>
      </c>
    </row>
    <row r="27" spans="2:11" s="134" customFormat="1" ht="20.25" customHeight="1">
      <c r="B27" s="135">
        <f t="shared" si="1"/>
        <v>21</v>
      </c>
      <c r="C27" s="79" t="s">
        <v>90</v>
      </c>
      <c r="D27" s="137" t="s">
        <v>8</v>
      </c>
      <c r="E27" s="138">
        <v>3713.9</v>
      </c>
      <c r="F27" s="139">
        <v>3021.25</v>
      </c>
      <c r="G27" s="140" t="s">
        <v>102</v>
      </c>
      <c r="H27" s="140" t="s">
        <v>103</v>
      </c>
      <c r="I27" s="140" t="s">
        <v>104</v>
      </c>
      <c r="J27" s="142" t="s">
        <v>105</v>
      </c>
      <c r="K27" s="143" t="s">
        <v>105</v>
      </c>
    </row>
    <row r="28" spans="2:11" s="134" customFormat="1" ht="20.25" customHeight="1">
      <c r="B28" s="135">
        <f t="shared" si="1"/>
        <v>22</v>
      </c>
      <c r="C28" s="80" t="s">
        <v>33</v>
      </c>
      <c r="D28" s="137" t="s">
        <v>8</v>
      </c>
      <c r="E28" s="150">
        <v>18051.82</v>
      </c>
      <c r="F28" s="139">
        <v>14143.6</v>
      </c>
      <c r="G28" s="140" t="s">
        <v>102</v>
      </c>
      <c r="H28" s="140" t="s">
        <v>103</v>
      </c>
      <c r="I28" s="140" t="s">
        <v>109</v>
      </c>
      <c r="J28" s="142" t="s">
        <v>120</v>
      </c>
      <c r="K28" s="143" t="s">
        <v>106</v>
      </c>
    </row>
    <row r="29" spans="2:11" s="134" customFormat="1" ht="20.25" customHeight="1">
      <c r="B29" s="135">
        <f t="shared" si="1"/>
        <v>23</v>
      </c>
      <c r="C29" s="80" t="s">
        <v>35</v>
      </c>
      <c r="D29" s="137" t="s">
        <v>8</v>
      </c>
      <c r="E29" s="147">
        <v>15977.6</v>
      </c>
      <c r="F29" s="139">
        <v>12759.1</v>
      </c>
      <c r="G29" s="140" t="s">
        <v>111</v>
      </c>
      <c r="H29" s="140" t="s">
        <v>103</v>
      </c>
      <c r="I29" s="140" t="s">
        <v>109</v>
      </c>
      <c r="J29" s="142" t="s">
        <v>105</v>
      </c>
      <c r="K29" s="143" t="s">
        <v>114</v>
      </c>
    </row>
    <row r="30" spans="2:11" s="134" customFormat="1" ht="20.25" customHeight="1">
      <c r="B30" s="135">
        <f t="shared" si="1"/>
        <v>24</v>
      </c>
      <c r="C30" s="80" t="s">
        <v>35</v>
      </c>
      <c r="D30" s="137" t="s">
        <v>8</v>
      </c>
      <c r="E30" s="147">
        <v>11423.6</v>
      </c>
      <c r="F30" s="139">
        <v>9293.09</v>
      </c>
      <c r="G30" s="140" t="s">
        <v>111</v>
      </c>
      <c r="H30" s="140" t="s">
        <v>103</v>
      </c>
      <c r="I30" s="140" t="s">
        <v>109</v>
      </c>
      <c r="J30" s="142" t="s">
        <v>105</v>
      </c>
      <c r="K30" s="143" t="s">
        <v>114</v>
      </c>
    </row>
    <row r="31" spans="2:11" s="134" customFormat="1" ht="20.25" customHeight="1">
      <c r="B31" s="135">
        <f t="shared" si="1"/>
        <v>25</v>
      </c>
      <c r="C31" s="80" t="s">
        <v>64</v>
      </c>
      <c r="D31" s="137" t="s">
        <v>8</v>
      </c>
      <c r="E31" s="149">
        <v>253914.56</v>
      </c>
      <c r="F31" s="139">
        <v>206559.5</v>
      </c>
      <c r="G31" s="140" t="s">
        <v>111</v>
      </c>
      <c r="H31" s="140" t="s">
        <v>103</v>
      </c>
      <c r="I31" s="140" t="s">
        <v>104</v>
      </c>
      <c r="J31" s="142" t="s">
        <v>123</v>
      </c>
      <c r="K31" s="145" t="s">
        <v>122</v>
      </c>
    </row>
    <row r="32" spans="2:11" s="134" customFormat="1" ht="20.25" customHeight="1">
      <c r="B32" s="135">
        <f t="shared" si="1"/>
        <v>26</v>
      </c>
      <c r="C32" s="80" t="s">
        <v>64</v>
      </c>
      <c r="D32" s="137" t="s">
        <v>8</v>
      </c>
      <c r="E32" s="149">
        <v>194850.79</v>
      </c>
      <c r="F32" s="139">
        <v>158511.10999999999</v>
      </c>
      <c r="G32" s="140" t="s">
        <v>111</v>
      </c>
      <c r="H32" s="140" t="s">
        <v>103</v>
      </c>
      <c r="I32" s="140" t="s">
        <v>104</v>
      </c>
      <c r="J32" s="142" t="s">
        <v>123</v>
      </c>
      <c r="K32" s="145" t="s">
        <v>122</v>
      </c>
    </row>
    <row r="33" spans="2:11" s="134" customFormat="1" ht="20.25" customHeight="1">
      <c r="B33" s="135">
        <f t="shared" si="1"/>
        <v>27</v>
      </c>
      <c r="C33" s="136" t="s">
        <v>36</v>
      </c>
      <c r="D33" s="137" t="s">
        <v>8</v>
      </c>
      <c r="E33" s="144">
        <v>38974.629999999997</v>
      </c>
      <c r="F33" s="139">
        <f>13298.7+17567.95</f>
        <v>30866.65</v>
      </c>
      <c r="G33" s="140" t="s">
        <v>111</v>
      </c>
      <c r="H33" s="140" t="s">
        <v>103</v>
      </c>
      <c r="I33" s="140" t="s">
        <v>104</v>
      </c>
      <c r="J33" s="142" t="s">
        <v>105</v>
      </c>
      <c r="K33" s="143" t="s">
        <v>115</v>
      </c>
    </row>
    <row r="34" spans="2:11" ht="20.25" customHeight="1" thickBot="1">
      <c r="B34" s="152"/>
      <c r="C34" s="153"/>
      <c r="D34" s="154"/>
      <c r="E34" s="151">
        <f>SUM(E7:E33)</f>
        <v>908203.12</v>
      </c>
      <c r="F34" s="151">
        <f>SUM(F7:F33)</f>
        <v>726929.91999999993</v>
      </c>
      <c r="G34" s="155"/>
      <c r="H34" s="156"/>
      <c r="I34" s="156"/>
      <c r="J34" s="156"/>
      <c r="K34" s="157"/>
    </row>
    <row r="35" spans="2:11" ht="20.25" customHeight="1"/>
    <row r="36" spans="2:11" ht="20.25" customHeight="1"/>
  </sheetData>
  <autoFilter ref="B6:K33">
    <sortState ref="B7:K34">
      <sortCondition ref="C6:C33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E8:I693"/>
  <sheetViews>
    <sheetView workbookViewId="0">
      <selection activeCell="E161" sqref="E161"/>
    </sheetView>
  </sheetViews>
  <sheetFormatPr defaultRowHeight="15"/>
  <cols>
    <col min="5" max="5" width="17.5703125" style="56" customWidth="1"/>
    <col min="6" max="6" width="48.85546875" customWidth="1"/>
    <col min="7" max="7" width="14.140625" style="60" bestFit="1" customWidth="1"/>
    <col min="8" max="9" width="14.28515625" style="52" bestFit="1" customWidth="1"/>
  </cols>
  <sheetData>
    <row r="8" spans="5:9">
      <c r="E8" s="53" t="s">
        <v>61</v>
      </c>
      <c r="F8" s="50" t="s">
        <v>2</v>
      </c>
      <c r="G8" s="59" t="s">
        <v>50</v>
      </c>
      <c r="H8" s="58" t="s">
        <v>51</v>
      </c>
      <c r="I8" s="58" t="s">
        <v>52</v>
      </c>
    </row>
    <row r="9" spans="5:9" hidden="1">
      <c r="E9" s="54">
        <v>43118</v>
      </c>
      <c r="F9" s="49" t="s">
        <v>44</v>
      </c>
      <c r="G9" s="60">
        <v>43101</v>
      </c>
      <c r="H9" s="52" t="s">
        <v>41</v>
      </c>
      <c r="I9" s="52">
        <v>15665.76</v>
      </c>
    </row>
    <row r="10" spans="5:9" hidden="1">
      <c r="E10" s="55">
        <v>43140</v>
      </c>
      <c r="F10" s="49" t="s">
        <v>44</v>
      </c>
      <c r="G10" s="60">
        <v>43132</v>
      </c>
      <c r="H10" s="52" t="s">
        <v>41</v>
      </c>
      <c r="I10" s="52">
        <v>15665.76</v>
      </c>
    </row>
    <row r="11" spans="5:9" hidden="1">
      <c r="E11" s="55">
        <v>43171</v>
      </c>
      <c r="F11" s="49" t="s">
        <v>44</v>
      </c>
      <c r="G11" s="60">
        <v>43160</v>
      </c>
      <c r="H11" s="52" t="s">
        <v>41</v>
      </c>
      <c r="I11" s="52">
        <v>15665.76</v>
      </c>
    </row>
    <row r="12" spans="5:9" hidden="1">
      <c r="E12" s="55">
        <v>43171</v>
      </c>
      <c r="F12" s="49" t="s">
        <v>45</v>
      </c>
      <c r="G12" s="60">
        <v>43160</v>
      </c>
      <c r="H12" s="52" t="s">
        <v>41</v>
      </c>
      <c r="I12" s="52">
        <v>3995.39</v>
      </c>
    </row>
    <row r="13" spans="5:9" hidden="1">
      <c r="E13" s="55">
        <v>43118</v>
      </c>
      <c r="F13" s="49" t="s">
        <v>45</v>
      </c>
      <c r="G13" s="60">
        <v>43101</v>
      </c>
      <c r="H13" s="52" t="s">
        <v>41</v>
      </c>
      <c r="I13" s="52">
        <v>3995.39</v>
      </c>
    </row>
    <row r="14" spans="5:9" hidden="1">
      <c r="E14" s="55">
        <v>43140</v>
      </c>
      <c r="F14" s="49" t="s">
        <v>45</v>
      </c>
      <c r="G14" s="60">
        <v>43132</v>
      </c>
      <c r="H14" s="52" t="s">
        <v>41</v>
      </c>
      <c r="I14" s="52">
        <v>3995.39</v>
      </c>
    </row>
    <row r="15" spans="5:9" hidden="1">
      <c r="E15" s="55">
        <v>43102</v>
      </c>
      <c r="F15" s="49" t="s">
        <v>46</v>
      </c>
      <c r="G15" s="60">
        <v>43101</v>
      </c>
      <c r="H15" s="52" t="s">
        <v>41</v>
      </c>
      <c r="I15" s="52">
        <v>59319.43</v>
      </c>
    </row>
    <row r="16" spans="5:9" hidden="1">
      <c r="E16" s="55">
        <v>43132</v>
      </c>
      <c r="F16" s="49" t="s">
        <v>46</v>
      </c>
      <c r="G16" s="60">
        <v>43101</v>
      </c>
      <c r="H16" s="52" t="s">
        <v>41</v>
      </c>
      <c r="I16" s="52">
        <v>59319.43</v>
      </c>
    </row>
    <row r="17" spans="5:9" hidden="1">
      <c r="E17" s="55">
        <v>43160</v>
      </c>
      <c r="F17" s="49" t="s">
        <v>46</v>
      </c>
      <c r="G17" s="60">
        <v>43132</v>
      </c>
      <c r="H17" s="52" t="s">
        <v>41</v>
      </c>
      <c r="I17" s="52">
        <v>59319.43</v>
      </c>
    </row>
    <row r="18" spans="5:9" hidden="1">
      <c r="E18" s="55">
        <v>43160</v>
      </c>
      <c r="F18" s="49" t="s">
        <v>21</v>
      </c>
      <c r="G18" s="60">
        <v>43160</v>
      </c>
      <c r="H18" s="52" t="s">
        <v>41</v>
      </c>
      <c r="I18" s="52">
        <v>31080.240000000002</v>
      </c>
    </row>
    <row r="19" spans="5:9" hidden="1">
      <c r="E19" s="55">
        <v>43102</v>
      </c>
      <c r="F19" s="49" t="s">
        <v>21</v>
      </c>
      <c r="G19" s="60">
        <v>43101</v>
      </c>
      <c r="H19" s="52" t="s">
        <v>41</v>
      </c>
      <c r="I19" s="52">
        <v>31080.240000000002</v>
      </c>
    </row>
    <row r="20" spans="5:9" hidden="1">
      <c r="E20" s="55">
        <v>43132</v>
      </c>
      <c r="F20" s="49" t="s">
        <v>21</v>
      </c>
      <c r="G20" s="60">
        <v>43132</v>
      </c>
      <c r="H20" s="52" t="s">
        <v>41</v>
      </c>
      <c r="I20" s="52">
        <v>31080.240000000002</v>
      </c>
    </row>
    <row r="21" spans="5:9" hidden="1">
      <c r="E21" s="55">
        <v>43160</v>
      </c>
      <c r="F21" s="49" t="s">
        <v>22</v>
      </c>
      <c r="G21" s="60">
        <v>43160</v>
      </c>
      <c r="H21" s="52" t="s">
        <v>41</v>
      </c>
      <c r="I21" s="52">
        <v>40193.39</v>
      </c>
    </row>
    <row r="22" spans="5:9" hidden="1">
      <c r="E22" s="55">
        <v>43102</v>
      </c>
      <c r="F22" s="49" t="s">
        <v>22</v>
      </c>
      <c r="G22" s="60">
        <v>43101</v>
      </c>
      <c r="H22" s="52" t="s">
        <v>41</v>
      </c>
      <c r="I22" s="52">
        <v>40193.39</v>
      </c>
    </row>
    <row r="23" spans="5:9" hidden="1">
      <c r="E23" s="55">
        <v>43132</v>
      </c>
      <c r="F23" s="49" t="s">
        <v>22</v>
      </c>
      <c r="G23" s="60">
        <v>43132</v>
      </c>
      <c r="H23" s="52" t="s">
        <v>41</v>
      </c>
      <c r="I23" s="52">
        <v>40193.39</v>
      </c>
    </row>
    <row r="24" spans="5:9" hidden="1">
      <c r="E24" s="55">
        <v>43179</v>
      </c>
      <c r="F24" s="49" t="s">
        <v>23</v>
      </c>
      <c r="G24" s="60">
        <v>43160</v>
      </c>
      <c r="H24" s="52" t="s">
        <v>41</v>
      </c>
      <c r="I24" s="52">
        <v>34714.22</v>
      </c>
    </row>
    <row r="25" spans="5:9" hidden="1">
      <c r="E25" s="55">
        <v>43116</v>
      </c>
      <c r="F25" s="49" t="s">
        <v>23</v>
      </c>
      <c r="G25" s="60">
        <v>43101</v>
      </c>
      <c r="H25" s="52" t="s">
        <v>41</v>
      </c>
      <c r="I25" s="52">
        <v>34714.22</v>
      </c>
    </row>
    <row r="26" spans="5:9" hidden="1">
      <c r="E26" s="55">
        <v>43147</v>
      </c>
      <c r="F26" s="49" t="s">
        <v>23</v>
      </c>
      <c r="G26" s="60">
        <v>43132</v>
      </c>
      <c r="H26" s="52" t="s">
        <v>41</v>
      </c>
      <c r="I26" s="52">
        <v>34714.22</v>
      </c>
    </row>
    <row r="27" spans="5:9" hidden="1">
      <c r="E27" s="55">
        <v>43160</v>
      </c>
      <c r="F27" s="49" t="s">
        <v>19</v>
      </c>
      <c r="G27" s="60">
        <v>43160</v>
      </c>
      <c r="H27" s="52" t="s">
        <v>41</v>
      </c>
      <c r="I27" s="52">
        <v>6692.38</v>
      </c>
    </row>
    <row r="28" spans="5:9" hidden="1">
      <c r="E28" s="55">
        <v>43179</v>
      </c>
      <c r="F28" s="49" t="s">
        <v>19</v>
      </c>
      <c r="G28" s="60">
        <v>43101</v>
      </c>
      <c r="H28" s="52" t="s">
        <v>41</v>
      </c>
      <c r="I28" s="52">
        <v>219.74</v>
      </c>
    </row>
    <row r="29" spans="5:9" hidden="1">
      <c r="E29" s="54">
        <v>43102</v>
      </c>
      <c r="F29" s="49" t="s">
        <v>19</v>
      </c>
      <c r="G29" s="60">
        <v>43101</v>
      </c>
      <c r="H29" s="52" t="s">
        <v>41</v>
      </c>
      <c r="I29" s="52">
        <v>6692.38</v>
      </c>
    </row>
    <row r="30" spans="5:9" hidden="1">
      <c r="E30" s="54">
        <v>43132</v>
      </c>
      <c r="F30" s="49" t="s">
        <v>19</v>
      </c>
      <c r="G30" s="60">
        <v>43132</v>
      </c>
      <c r="H30" s="52" t="s">
        <v>41</v>
      </c>
      <c r="I30" s="52">
        <v>6692.38</v>
      </c>
    </row>
    <row r="31" spans="5:9" hidden="1">
      <c r="E31" s="55">
        <v>43139</v>
      </c>
      <c r="F31" s="49" t="s">
        <v>19</v>
      </c>
      <c r="G31" s="60">
        <v>43040</v>
      </c>
      <c r="H31" s="52" t="s">
        <v>41</v>
      </c>
      <c r="I31" s="52">
        <v>439.47</v>
      </c>
    </row>
    <row r="32" spans="5:9" hidden="1">
      <c r="E32" s="55">
        <v>43160</v>
      </c>
      <c r="F32" s="49" t="s">
        <v>19</v>
      </c>
      <c r="G32" s="60">
        <v>43160</v>
      </c>
      <c r="H32" s="52" t="s">
        <v>41</v>
      </c>
      <c r="I32" s="52">
        <v>6188.57</v>
      </c>
    </row>
    <row r="33" spans="5:9" hidden="1">
      <c r="E33" s="54">
        <v>43102</v>
      </c>
      <c r="F33" s="49" t="s">
        <v>19</v>
      </c>
      <c r="G33" s="60">
        <v>43101</v>
      </c>
      <c r="H33" s="52" t="s">
        <v>41</v>
      </c>
      <c r="I33" s="52">
        <v>6188.57</v>
      </c>
    </row>
    <row r="34" spans="5:9" hidden="1">
      <c r="E34" s="54">
        <v>43132</v>
      </c>
      <c r="F34" s="49" t="s">
        <v>19</v>
      </c>
      <c r="G34" s="60">
        <v>43132</v>
      </c>
      <c r="H34" s="52" t="s">
        <v>41</v>
      </c>
      <c r="I34" s="52">
        <v>6188.57</v>
      </c>
    </row>
    <row r="35" spans="5:9" hidden="1">
      <c r="E35" s="54">
        <v>43102</v>
      </c>
      <c r="F35" s="49" t="s">
        <v>57</v>
      </c>
      <c r="G35" s="60">
        <v>43101</v>
      </c>
      <c r="H35" s="52" t="s">
        <v>41</v>
      </c>
      <c r="I35" s="52">
        <v>17469.810000000001</v>
      </c>
    </row>
    <row r="36" spans="5:9" hidden="1">
      <c r="E36" s="54">
        <v>43102</v>
      </c>
      <c r="F36" s="49" t="s">
        <v>57</v>
      </c>
      <c r="G36" s="60">
        <v>43101</v>
      </c>
      <c r="H36" s="52" t="s">
        <v>41</v>
      </c>
      <c r="I36" s="52">
        <v>10906.42</v>
      </c>
    </row>
    <row r="37" spans="5:9" hidden="1">
      <c r="E37" s="54">
        <v>43102</v>
      </c>
      <c r="F37" s="49" t="s">
        <v>57</v>
      </c>
      <c r="G37" s="60">
        <v>43101</v>
      </c>
      <c r="H37" s="52" t="s">
        <v>41</v>
      </c>
      <c r="I37" s="52">
        <v>5483.9</v>
      </c>
    </row>
    <row r="38" spans="5:9" hidden="1">
      <c r="E38" s="54">
        <v>43102</v>
      </c>
      <c r="F38" s="49" t="s">
        <v>57</v>
      </c>
      <c r="G38" s="60">
        <v>43101</v>
      </c>
      <c r="H38" s="52" t="s">
        <v>41</v>
      </c>
      <c r="I38" s="52">
        <v>77265.73</v>
      </c>
    </row>
    <row r="39" spans="5:9" hidden="1">
      <c r="E39" s="54">
        <v>43102</v>
      </c>
      <c r="F39" s="49" t="s">
        <v>57</v>
      </c>
      <c r="G39" s="60">
        <v>43101</v>
      </c>
      <c r="H39" s="52" t="s">
        <v>41</v>
      </c>
      <c r="I39" s="52">
        <v>7373.45</v>
      </c>
    </row>
    <row r="40" spans="5:9" hidden="1">
      <c r="E40" s="54">
        <v>43102</v>
      </c>
      <c r="F40" s="49" t="s">
        <v>57</v>
      </c>
      <c r="G40" s="60">
        <v>43101</v>
      </c>
      <c r="H40" s="52" t="s">
        <v>41</v>
      </c>
      <c r="I40" s="52">
        <v>3313.8</v>
      </c>
    </row>
    <row r="41" spans="5:9" hidden="1">
      <c r="E41" s="54">
        <v>43132</v>
      </c>
      <c r="F41" s="49" t="s">
        <v>57</v>
      </c>
      <c r="G41" s="60">
        <v>43132</v>
      </c>
      <c r="H41" s="52" t="s">
        <v>41</v>
      </c>
      <c r="I41" s="52">
        <v>3019.39</v>
      </c>
    </row>
    <row r="42" spans="5:9" hidden="1">
      <c r="E42" s="54">
        <v>43160</v>
      </c>
      <c r="F42" s="49" t="s">
        <v>57</v>
      </c>
      <c r="G42" s="60">
        <v>43160</v>
      </c>
      <c r="H42" s="52" t="s">
        <v>41</v>
      </c>
      <c r="I42" s="52">
        <v>3019.39</v>
      </c>
    </row>
    <row r="43" spans="5:9" hidden="1">
      <c r="E43" s="54">
        <v>43102</v>
      </c>
      <c r="F43" s="49" t="s">
        <v>57</v>
      </c>
      <c r="G43" s="60">
        <v>43101</v>
      </c>
      <c r="H43" s="52" t="s">
        <v>41</v>
      </c>
      <c r="I43" s="52">
        <v>3019.39</v>
      </c>
    </row>
    <row r="44" spans="5:9" hidden="1">
      <c r="E44" s="54">
        <v>43178</v>
      </c>
      <c r="F44" s="49" t="s">
        <v>25</v>
      </c>
      <c r="G44" s="60">
        <v>43160</v>
      </c>
      <c r="H44" s="52" t="s">
        <v>41</v>
      </c>
      <c r="I44" s="52">
        <v>7122.86</v>
      </c>
    </row>
    <row r="45" spans="5:9" hidden="1">
      <c r="E45" s="54">
        <v>43118</v>
      </c>
      <c r="F45" s="49" t="s">
        <v>25</v>
      </c>
      <c r="G45" s="60">
        <v>43101</v>
      </c>
      <c r="H45" s="52" t="s">
        <v>41</v>
      </c>
      <c r="I45" s="52">
        <v>7122.86</v>
      </c>
    </row>
    <row r="46" spans="5:9" hidden="1">
      <c r="E46" s="54">
        <v>43152</v>
      </c>
      <c r="F46" s="49" t="s">
        <v>25</v>
      </c>
      <c r="G46" s="60">
        <v>43132</v>
      </c>
      <c r="H46" s="52" t="s">
        <v>41</v>
      </c>
      <c r="I46" s="52">
        <v>7122.86</v>
      </c>
    </row>
    <row r="47" spans="5:9" hidden="1">
      <c r="E47" s="54">
        <v>43102</v>
      </c>
      <c r="F47" s="49" t="s">
        <v>57</v>
      </c>
      <c r="G47" s="60">
        <v>43101</v>
      </c>
      <c r="H47" s="52" t="s">
        <v>41</v>
      </c>
      <c r="I47" s="52">
        <v>18898.150000000001</v>
      </c>
    </row>
    <row r="48" spans="5:9" hidden="1">
      <c r="E48" s="54">
        <v>43102</v>
      </c>
      <c r="F48" s="49" t="s">
        <v>57</v>
      </c>
      <c r="G48" s="60">
        <v>43101</v>
      </c>
      <c r="H48" s="52" t="s">
        <v>41</v>
      </c>
      <c r="I48" s="52">
        <v>7286.48</v>
      </c>
    </row>
    <row r="49" spans="5:9" hidden="1">
      <c r="E49" s="54">
        <v>43102</v>
      </c>
      <c r="F49" s="49" t="s">
        <v>57</v>
      </c>
      <c r="G49" s="60">
        <v>43101</v>
      </c>
      <c r="H49" s="52" t="s">
        <v>41</v>
      </c>
      <c r="I49" s="52">
        <v>17469.810000000001</v>
      </c>
    </row>
    <row r="50" spans="5:9" hidden="1">
      <c r="E50" s="55">
        <v>43102</v>
      </c>
      <c r="F50" s="49" t="s">
        <v>57</v>
      </c>
      <c r="G50" s="60">
        <v>43101</v>
      </c>
      <c r="H50" s="52" t="s">
        <v>41</v>
      </c>
      <c r="I50" s="52">
        <v>17469.810000000001</v>
      </c>
    </row>
    <row r="51" spans="5:9" hidden="1">
      <c r="E51" s="54">
        <v>43102</v>
      </c>
      <c r="F51" s="49" t="s">
        <v>57</v>
      </c>
      <c r="G51" s="60">
        <v>43101</v>
      </c>
      <c r="H51" s="52" t="s">
        <v>41</v>
      </c>
      <c r="I51" s="52">
        <v>6279.61</v>
      </c>
    </row>
    <row r="52" spans="5:9" hidden="1">
      <c r="E52" s="54">
        <v>43102</v>
      </c>
      <c r="F52" s="49" t="s">
        <v>57</v>
      </c>
      <c r="G52" s="60">
        <v>43101</v>
      </c>
      <c r="H52" s="52" t="s">
        <v>41</v>
      </c>
      <c r="I52" s="52">
        <v>11270.85</v>
      </c>
    </row>
    <row r="53" spans="5:9" hidden="1">
      <c r="E53" s="54">
        <v>43102</v>
      </c>
      <c r="F53" s="49" t="s">
        <v>57</v>
      </c>
      <c r="G53" s="60">
        <v>43070</v>
      </c>
      <c r="H53" s="52" t="s">
        <v>41</v>
      </c>
      <c r="I53" s="52">
        <v>11009.52</v>
      </c>
    </row>
    <row r="54" spans="5:9" hidden="1">
      <c r="E54" s="54">
        <v>43102</v>
      </c>
      <c r="F54" s="49" t="s">
        <v>57</v>
      </c>
      <c r="G54" s="60">
        <v>43101</v>
      </c>
      <c r="H54" s="52" t="s">
        <v>41</v>
      </c>
      <c r="I54" s="52">
        <v>3173.77</v>
      </c>
    </row>
    <row r="55" spans="5:9" hidden="1">
      <c r="E55" s="54">
        <v>43102</v>
      </c>
      <c r="F55" s="49" t="s">
        <v>57</v>
      </c>
      <c r="G55" s="60">
        <v>43101</v>
      </c>
      <c r="H55" s="52" t="s">
        <v>41</v>
      </c>
      <c r="I55" s="52">
        <v>3308.21</v>
      </c>
    </row>
    <row r="56" spans="5:9" hidden="1">
      <c r="E56" s="54">
        <v>43102</v>
      </c>
      <c r="F56" s="49" t="s">
        <v>57</v>
      </c>
      <c r="G56" s="60">
        <v>43101</v>
      </c>
      <c r="H56" s="52" t="s">
        <v>41</v>
      </c>
      <c r="I56" s="52">
        <v>3308.21</v>
      </c>
    </row>
    <row r="57" spans="5:9" hidden="1">
      <c r="E57" s="55">
        <v>43102</v>
      </c>
      <c r="F57" s="49" t="s">
        <v>57</v>
      </c>
      <c r="G57" s="60">
        <v>43101</v>
      </c>
      <c r="H57" s="52" t="s">
        <v>41</v>
      </c>
      <c r="I57" s="52">
        <v>3308.21</v>
      </c>
    </row>
    <row r="58" spans="5:9" hidden="1">
      <c r="E58" s="55">
        <v>43102</v>
      </c>
      <c r="F58" s="49" t="s">
        <v>57</v>
      </c>
      <c r="G58" s="60">
        <v>43101</v>
      </c>
      <c r="H58" s="52" t="s">
        <v>41</v>
      </c>
      <c r="I58" s="52">
        <v>3308.21</v>
      </c>
    </row>
    <row r="59" spans="5:9" hidden="1">
      <c r="E59" s="55">
        <v>43102</v>
      </c>
      <c r="F59" s="49" t="s">
        <v>57</v>
      </c>
      <c r="G59" s="60">
        <v>43101</v>
      </c>
      <c r="H59" s="52" t="s">
        <v>41</v>
      </c>
      <c r="I59" s="52">
        <v>3128.35</v>
      </c>
    </row>
    <row r="60" spans="5:9" hidden="1">
      <c r="E60" s="55">
        <v>43102</v>
      </c>
      <c r="F60" s="49" t="s">
        <v>57</v>
      </c>
      <c r="G60" s="60">
        <v>43101</v>
      </c>
      <c r="H60" s="52" t="s">
        <v>41</v>
      </c>
      <c r="I60" s="52">
        <v>2117.9299999999998</v>
      </c>
    </row>
    <row r="61" spans="5:9" hidden="1">
      <c r="E61" s="55">
        <v>43112</v>
      </c>
      <c r="F61" s="49" t="s">
        <v>57</v>
      </c>
      <c r="G61" s="60">
        <v>43101</v>
      </c>
      <c r="H61" s="52" t="s">
        <v>41</v>
      </c>
      <c r="I61" s="52">
        <v>12379.31</v>
      </c>
    </row>
    <row r="62" spans="5:9" hidden="1">
      <c r="E62" s="55">
        <v>43102</v>
      </c>
      <c r="F62" s="49" t="s">
        <v>27</v>
      </c>
      <c r="G62" s="60">
        <v>43101</v>
      </c>
      <c r="H62" s="52" t="s">
        <v>41</v>
      </c>
      <c r="I62" s="52">
        <v>6296.62</v>
      </c>
    </row>
    <row r="63" spans="5:9" hidden="1">
      <c r="E63" s="55">
        <v>43185</v>
      </c>
      <c r="F63" s="49" t="s">
        <v>58</v>
      </c>
      <c r="G63" s="60">
        <v>43160</v>
      </c>
      <c r="H63" s="52" t="s">
        <v>41</v>
      </c>
      <c r="I63" s="52">
        <v>252094.23</v>
      </c>
    </row>
    <row r="64" spans="5:9" hidden="1">
      <c r="E64" s="55">
        <v>43185</v>
      </c>
      <c r="F64" s="49" t="s">
        <v>58</v>
      </c>
      <c r="G64" s="60">
        <v>43160</v>
      </c>
      <c r="H64" s="52" t="s">
        <v>41</v>
      </c>
      <c r="I64" s="52">
        <v>182004.59</v>
      </c>
    </row>
    <row r="65" spans="5:9" hidden="1">
      <c r="E65" s="55">
        <v>43185</v>
      </c>
      <c r="F65" s="49" t="s">
        <v>58</v>
      </c>
      <c r="G65" s="60">
        <v>43160</v>
      </c>
      <c r="H65" s="52" t="s">
        <v>41</v>
      </c>
      <c r="I65" s="52">
        <v>252094.23</v>
      </c>
    </row>
    <row r="66" spans="5:9" hidden="1">
      <c r="E66" s="55">
        <v>43178</v>
      </c>
      <c r="F66" s="49" t="s">
        <v>28</v>
      </c>
      <c r="G66" s="60">
        <v>43160</v>
      </c>
      <c r="H66" s="52" t="s">
        <v>41</v>
      </c>
      <c r="I66" s="52">
        <v>27489.63</v>
      </c>
    </row>
    <row r="67" spans="5:9" hidden="1">
      <c r="E67" s="55">
        <v>43178</v>
      </c>
      <c r="F67" s="49" t="s">
        <v>28</v>
      </c>
      <c r="G67" s="60">
        <v>43160</v>
      </c>
      <c r="H67" s="52" t="s">
        <v>41</v>
      </c>
      <c r="I67" s="52">
        <v>17810.830000000002</v>
      </c>
    </row>
    <row r="68" spans="5:9" hidden="1">
      <c r="E68" s="55">
        <v>43131</v>
      </c>
      <c r="F68" s="49" t="s">
        <v>28</v>
      </c>
      <c r="G68" s="60">
        <v>43101</v>
      </c>
      <c r="H68" s="52" t="s">
        <v>41</v>
      </c>
      <c r="I68" s="52">
        <v>27489.63</v>
      </c>
    </row>
    <row r="69" spans="5:9" hidden="1">
      <c r="E69" s="55">
        <v>43131</v>
      </c>
      <c r="F69" s="49" t="s">
        <v>28</v>
      </c>
      <c r="G69" s="60">
        <v>43101</v>
      </c>
      <c r="H69" s="52" t="s">
        <v>41</v>
      </c>
      <c r="I69" s="52">
        <v>17810.830000000002</v>
      </c>
    </row>
    <row r="70" spans="5:9" hidden="1">
      <c r="E70" s="55">
        <v>43159</v>
      </c>
      <c r="F70" s="49" t="s">
        <v>28</v>
      </c>
      <c r="G70" s="60">
        <v>43132</v>
      </c>
      <c r="H70" s="52" t="s">
        <v>41</v>
      </c>
      <c r="I70" s="52">
        <v>27489.63</v>
      </c>
    </row>
    <row r="71" spans="5:9" hidden="1">
      <c r="E71" s="55">
        <v>43159</v>
      </c>
      <c r="F71" s="49" t="s">
        <v>28</v>
      </c>
      <c r="G71" s="60">
        <v>43132</v>
      </c>
      <c r="H71" s="52" t="s">
        <v>41</v>
      </c>
      <c r="I71" s="52">
        <v>17810.830000000002</v>
      </c>
    </row>
    <row r="72" spans="5:9" hidden="1">
      <c r="E72" s="55">
        <v>43179</v>
      </c>
      <c r="F72" s="49" t="s">
        <v>29</v>
      </c>
      <c r="G72" s="60">
        <v>43160</v>
      </c>
      <c r="H72" s="52" t="s">
        <v>41</v>
      </c>
      <c r="I72" s="52">
        <v>14215</v>
      </c>
    </row>
    <row r="73" spans="5:9" hidden="1">
      <c r="E73" s="55">
        <v>43119</v>
      </c>
      <c r="F73" s="49" t="s">
        <v>29</v>
      </c>
      <c r="G73" s="60">
        <v>43101</v>
      </c>
      <c r="H73" s="52" t="s">
        <v>41</v>
      </c>
      <c r="I73" s="52">
        <v>14796.27</v>
      </c>
    </row>
    <row r="74" spans="5:9" hidden="1">
      <c r="E74" s="55">
        <v>43150</v>
      </c>
      <c r="F74" s="49" t="s">
        <v>29</v>
      </c>
      <c r="G74" s="60">
        <v>43132</v>
      </c>
      <c r="H74" s="52" t="s">
        <v>41</v>
      </c>
      <c r="I74" s="52">
        <v>14215</v>
      </c>
    </row>
    <row r="75" spans="5:9" hidden="1">
      <c r="E75" s="54">
        <v>43171</v>
      </c>
      <c r="F75" s="49" t="s">
        <v>48</v>
      </c>
      <c r="G75" s="60">
        <v>43160</v>
      </c>
      <c r="H75" s="52" t="s">
        <v>42</v>
      </c>
      <c r="I75" s="52">
        <v>484.92</v>
      </c>
    </row>
    <row r="76" spans="5:9" hidden="1">
      <c r="E76" s="54">
        <v>43112</v>
      </c>
      <c r="F76" s="49" t="s">
        <v>48</v>
      </c>
      <c r="G76" s="60">
        <v>43101</v>
      </c>
      <c r="H76" s="52" t="s">
        <v>42</v>
      </c>
      <c r="I76" s="52">
        <v>14547.64</v>
      </c>
    </row>
    <row r="77" spans="5:9" hidden="1">
      <c r="E77" s="54">
        <v>43145</v>
      </c>
      <c r="F77" s="49" t="s">
        <v>48</v>
      </c>
      <c r="G77" s="60">
        <v>43132</v>
      </c>
      <c r="H77" s="52" t="s">
        <v>42</v>
      </c>
      <c r="I77" s="52">
        <v>14547.64</v>
      </c>
    </row>
    <row r="78" spans="5:9" hidden="1">
      <c r="E78" s="54">
        <v>43104</v>
      </c>
      <c r="F78" s="49" t="s">
        <v>47</v>
      </c>
      <c r="G78" s="60">
        <v>43101</v>
      </c>
      <c r="H78" s="52" t="s">
        <v>41</v>
      </c>
      <c r="I78" s="52">
        <v>7099.14</v>
      </c>
    </row>
    <row r="79" spans="5:9" hidden="1">
      <c r="E79" s="54">
        <v>43104</v>
      </c>
      <c r="F79" s="49" t="s">
        <v>47</v>
      </c>
      <c r="G79" s="60">
        <v>43101</v>
      </c>
      <c r="H79" s="52" t="s">
        <v>41</v>
      </c>
      <c r="I79" s="52">
        <v>7461.28</v>
      </c>
    </row>
    <row r="80" spans="5:9" hidden="1">
      <c r="E80" s="54">
        <v>43104</v>
      </c>
      <c r="F80" s="49" t="s">
        <v>47</v>
      </c>
      <c r="G80" s="60">
        <v>43070</v>
      </c>
      <c r="H80" s="52" t="s">
        <v>41</v>
      </c>
      <c r="I80" s="52">
        <v>6976.77</v>
      </c>
    </row>
    <row r="81" spans="5:9" hidden="1">
      <c r="E81" s="54">
        <v>43104</v>
      </c>
      <c r="F81" s="49" t="s">
        <v>47</v>
      </c>
      <c r="G81" s="60">
        <v>43101</v>
      </c>
      <c r="H81" s="52" t="s">
        <v>41</v>
      </c>
      <c r="I81" s="52">
        <v>7461.28</v>
      </c>
    </row>
    <row r="82" spans="5:9" hidden="1">
      <c r="E82" s="54">
        <v>43104</v>
      </c>
      <c r="F82" s="49" t="s">
        <v>47</v>
      </c>
      <c r="G82" s="60">
        <v>43101</v>
      </c>
      <c r="H82" s="52" t="s">
        <v>41</v>
      </c>
      <c r="I82" s="52">
        <v>6976.77</v>
      </c>
    </row>
    <row r="83" spans="5:9" hidden="1">
      <c r="E83" s="54">
        <v>43104</v>
      </c>
      <c r="F83" s="49" t="s">
        <v>47</v>
      </c>
      <c r="G83" s="60">
        <v>43101</v>
      </c>
      <c r="H83" s="52" t="s">
        <v>41</v>
      </c>
      <c r="I83" s="52">
        <v>7461.28</v>
      </c>
    </row>
    <row r="84" spans="5:9" hidden="1">
      <c r="E84" s="54">
        <v>43104</v>
      </c>
      <c r="F84" s="49" t="s">
        <v>47</v>
      </c>
      <c r="G84" s="60">
        <v>43101</v>
      </c>
      <c r="H84" s="52" t="s">
        <v>41</v>
      </c>
      <c r="I84" s="52">
        <v>6976.77</v>
      </c>
    </row>
    <row r="85" spans="5:9" hidden="1">
      <c r="E85" s="55">
        <v>43104</v>
      </c>
      <c r="F85" s="49" t="s">
        <v>47</v>
      </c>
      <c r="G85" s="60">
        <v>43101</v>
      </c>
      <c r="H85" s="52" t="s">
        <v>41</v>
      </c>
      <c r="I85" s="52">
        <v>7461.28</v>
      </c>
    </row>
    <row r="86" spans="5:9" hidden="1">
      <c r="E86" s="55">
        <v>43104</v>
      </c>
      <c r="F86" s="49" t="s">
        <v>47</v>
      </c>
      <c r="G86" s="60">
        <v>43101</v>
      </c>
      <c r="H86" s="52" t="s">
        <v>41</v>
      </c>
      <c r="I86" s="52">
        <v>7461.28</v>
      </c>
    </row>
    <row r="87" spans="5:9" hidden="1">
      <c r="E87" s="55">
        <v>43104</v>
      </c>
      <c r="F87" s="49" t="s">
        <v>47</v>
      </c>
      <c r="G87" s="60">
        <v>43101</v>
      </c>
      <c r="H87" s="52" t="s">
        <v>41</v>
      </c>
      <c r="I87" s="52">
        <v>6976.77</v>
      </c>
    </row>
    <row r="88" spans="5:9" hidden="1">
      <c r="E88" s="55">
        <v>43104</v>
      </c>
      <c r="F88" s="49" t="s">
        <v>47</v>
      </c>
      <c r="G88" s="60">
        <v>43101</v>
      </c>
      <c r="H88" s="52" t="s">
        <v>41</v>
      </c>
      <c r="I88" s="52">
        <v>6976.77</v>
      </c>
    </row>
    <row r="89" spans="5:9" hidden="1">
      <c r="E89" s="55">
        <v>43104</v>
      </c>
      <c r="F89" s="49" t="s">
        <v>47</v>
      </c>
      <c r="G89" s="60">
        <v>43101</v>
      </c>
      <c r="H89" s="52" t="s">
        <v>41</v>
      </c>
      <c r="I89" s="52">
        <v>6976.77</v>
      </c>
    </row>
    <row r="90" spans="5:9" hidden="1">
      <c r="E90" s="55">
        <v>43104</v>
      </c>
      <c r="F90" s="49" t="s">
        <v>47</v>
      </c>
      <c r="G90" s="60">
        <v>43101</v>
      </c>
      <c r="H90" s="52" t="s">
        <v>41</v>
      </c>
      <c r="I90" s="52">
        <v>2637.03</v>
      </c>
    </row>
    <row r="91" spans="5:9" hidden="1">
      <c r="E91" s="55">
        <v>43104</v>
      </c>
      <c r="F91" s="49" t="s">
        <v>47</v>
      </c>
      <c r="G91" s="60">
        <v>43101</v>
      </c>
      <c r="H91" s="52" t="s">
        <v>41</v>
      </c>
      <c r="I91" s="52">
        <v>1642.74</v>
      </c>
    </row>
    <row r="92" spans="5:9" hidden="1">
      <c r="E92" s="55">
        <v>43136</v>
      </c>
      <c r="F92" s="49" t="s">
        <v>47</v>
      </c>
      <c r="G92" s="60">
        <v>43101</v>
      </c>
      <c r="H92" s="52" t="s">
        <v>41</v>
      </c>
      <c r="I92" s="52">
        <v>7099.14</v>
      </c>
    </row>
    <row r="93" spans="5:9" hidden="1">
      <c r="E93" s="55">
        <v>43136</v>
      </c>
      <c r="F93" s="49" t="s">
        <v>47</v>
      </c>
      <c r="G93" s="60">
        <v>43101</v>
      </c>
      <c r="H93" s="52" t="s">
        <v>41</v>
      </c>
      <c r="I93" s="52">
        <v>7461.28</v>
      </c>
    </row>
    <row r="94" spans="5:9" hidden="1">
      <c r="E94" s="55">
        <v>43136</v>
      </c>
      <c r="F94" s="49" t="s">
        <v>47</v>
      </c>
      <c r="G94" s="60">
        <v>43101</v>
      </c>
      <c r="H94" s="52" t="s">
        <v>41</v>
      </c>
      <c r="I94" s="52">
        <v>6976.77</v>
      </c>
    </row>
    <row r="95" spans="5:9" hidden="1">
      <c r="E95" s="55">
        <v>43136</v>
      </c>
      <c r="F95" s="49" t="s">
        <v>47</v>
      </c>
      <c r="G95" s="60">
        <v>43101</v>
      </c>
      <c r="H95" s="52" t="s">
        <v>41</v>
      </c>
      <c r="I95" s="52">
        <v>7461.28</v>
      </c>
    </row>
    <row r="96" spans="5:9" hidden="1">
      <c r="E96" s="55">
        <v>43136</v>
      </c>
      <c r="F96" s="49" t="s">
        <v>47</v>
      </c>
      <c r="G96" s="60">
        <v>43101</v>
      </c>
      <c r="H96" s="52" t="s">
        <v>41</v>
      </c>
      <c r="I96" s="52">
        <v>6976.77</v>
      </c>
    </row>
    <row r="97" spans="5:9" hidden="1">
      <c r="E97" s="55">
        <v>43136</v>
      </c>
      <c r="F97" s="49" t="s">
        <v>47</v>
      </c>
      <c r="G97" s="60">
        <v>43101</v>
      </c>
      <c r="H97" s="52" t="s">
        <v>41</v>
      </c>
      <c r="I97" s="52">
        <v>7461.28</v>
      </c>
    </row>
    <row r="98" spans="5:9" hidden="1">
      <c r="E98" s="55">
        <v>43136</v>
      </c>
      <c r="F98" s="49" t="s">
        <v>47</v>
      </c>
      <c r="G98" s="60">
        <v>43101</v>
      </c>
      <c r="H98" s="52" t="s">
        <v>41</v>
      </c>
      <c r="I98" s="52">
        <v>6976.77</v>
      </c>
    </row>
    <row r="99" spans="5:9" hidden="1">
      <c r="E99" s="55">
        <v>43136</v>
      </c>
      <c r="F99" s="49" t="s">
        <v>47</v>
      </c>
      <c r="G99" s="60">
        <v>43101</v>
      </c>
      <c r="H99" s="52" t="s">
        <v>41</v>
      </c>
      <c r="I99" s="52">
        <v>7461.28</v>
      </c>
    </row>
    <row r="100" spans="5:9" hidden="1">
      <c r="E100" s="55">
        <v>43136</v>
      </c>
      <c r="F100" s="49" t="s">
        <v>47</v>
      </c>
      <c r="G100" s="60">
        <v>43101</v>
      </c>
      <c r="H100" s="52" t="s">
        <v>41</v>
      </c>
      <c r="I100" s="52">
        <v>7461.28</v>
      </c>
    </row>
    <row r="101" spans="5:9" hidden="1">
      <c r="E101" s="55">
        <v>43136</v>
      </c>
      <c r="F101" s="49" t="s">
        <v>47</v>
      </c>
      <c r="G101" s="60">
        <v>43101</v>
      </c>
      <c r="H101" s="52" t="s">
        <v>41</v>
      </c>
      <c r="I101" s="52">
        <v>6976.77</v>
      </c>
    </row>
    <row r="102" spans="5:9" hidden="1">
      <c r="E102" s="55">
        <v>43136</v>
      </c>
      <c r="F102" s="49" t="s">
        <v>47</v>
      </c>
      <c r="G102" s="60">
        <v>43101</v>
      </c>
      <c r="H102" s="52" t="s">
        <v>41</v>
      </c>
      <c r="I102" s="52">
        <v>6976.77</v>
      </c>
    </row>
    <row r="103" spans="5:9" hidden="1">
      <c r="E103" s="55">
        <v>43136</v>
      </c>
      <c r="F103" s="49" t="s">
        <v>47</v>
      </c>
      <c r="G103" s="60">
        <v>43101</v>
      </c>
      <c r="H103" s="52" t="s">
        <v>41</v>
      </c>
      <c r="I103" s="52">
        <v>6976.77</v>
      </c>
    </row>
    <row r="104" spans="5:9" hidden="1">
      <c r="E104" s="54">
        <v>43136</v>
      </c>
      <c r="F104" s="49" t="s">
        <v>47</v>
      </c>
      <c r="G104" s="60">
        <v>43070</v>
      </c>
      <c r="H104" s="52" t="s">
        <v>41</v>
      </c>
      <c r="I104" s="52">
        <v>3112.56</v>
      </c>
    </row>
    <row r="105" spans="5:9" hidden="1">
      <c r="E105" s="54">
        <v>43161</v>
      </c>
      <c r="F105" s="49" t="s">
        <v>47</v>
      </c>
      <c r="G105" s="60">
        <v>43132</v>
      </c>
      <c r="H105" s="52" t="s">
        <v>41</v>
      </c>
      <c r="I105" s="52">
        <v>7099.14</v>
      </c>
    </row>
    <row r="106" spans="5:9" hidden="1">
      <c r="E106" s="54">
        <v>43161</v>
      </c>
      <c r="F106" s="49" t="s">
        <v>47</v>
      </c>
      <c r="G106" s="60">
        <v>43132</v>
      </c>
      <c r="H106" s="52" t="s">
        <v>41</v>
      </c>
      <c r="I106" s="52">
        <v>7461.28</v>
      </c>
    </row>
    <row r="107" spans="5:9" hidden="1">
      <c r="E107" s="54">
        <v>43161</v>
      </c>
      <c r="F107" s="49" t="s">
        <v>47</v>
      </c>
      <c r="G107" s="60">
        <v>43132</v>
      </c>
      <c r="H107" s="52" t="s">
        <v>41</v>
      </c>
      <c r="I107" s="52">
        <v>6976.77</v>
      </c>
    </row>
    <row r="108" spans="5:9" hidden="1">
      <c r="E108" s="54">
        <v>43161</v>
      </c>
      <c r="F108" s="49" t="s">
        <v>47</v>
      </c>
      <c r="G108" s="60">
        <v>43132</v>
      </c>
      <c r="H108" s="52" t="s">
        <v>41</v>
      </c>
      <c r="I108" s="52">
        <v>7461.28</v>
      </c>
    </row>
    <row r="109" spans="5:9" hidden="1">
      <c r="E109" s="54">
        <v>43161</v>
      </c>
      <c r="F109" s="49" t="s">
        <v>47</v>
      </c>
      <c r="G109" s="60">
        <v>43132</v>
      </c>
      <c r="H109" s="52" t="s">
        <v>41</v>
      </c>
      <c r="I109" s="52">
        <v>7461.28</v>
      </c>
    </row>
    <row r="110" spans="5:9" hidden="1">
      <c r="E110" s="54">
        <v>43161</v>
      </c>
      <c r="F110" s="49" t="s">
        <v>47</v>
      </c>
      <c r="G110" s="60">
        <v>43132</v>
      </c>
      <c r="H110" s="52" t="s">
        <v>41</v>
      </c>
      <c r="I110" s="52">
        <v>6976.77</v>
      </c>
    </row>
    <row r="111" spans="5:9" hidden="1">
      <c r="E111" s="54">
        <v>43161</v>
      </c>
      <c r="F111" s="49" t="s">
        <v>47</v>
      </c>
      <c r="G111" s="60">
        <v>43132</v>
      </c>
      <c r="H111" s="52" t="s">
        <v>41</v>
      </c>
      <c r="I111" s="52">
        <v>7461.28</v>
      </c>
    </row>
    <row r="112" spans="5:9" hidden="1">
      <c r="E112" s="54">
        <v>43160</v>
      </c>
      <c r="F112" s="49" t="s">
        <v>30</v>
      </c>
      <c r="G112" s="60">
        <v>43160</v>
      </c>
      <c r="H112" s="52" t="s">
        <v>41</v>
      </c>
      <c r="I112" s="52">
        <v>8032.97</v>
      </c>
    </row>
    <row r="113" spans="5:9" hidden="1">
      <c r="E113" s="54">
        <v>43102</v>
      </c>
      <c r="F113" s="49" t="s">
        <v>30</v>
      </c>
      <c r="G113" s="60">
        <v>43101</v>
      </c>
      <c r="H113" s="52" t="s">
        <v>41</v>
      </c>
      <c r="I113" s="52">
        <v>8032.97</v>
      </c>
    </row>
    <row r="114" spans="5:9" hidden="1">
      <c r="E114" s="54">
        <v>43132</v>
      </c>
      <c r="F114" s="49" t="s">
        <v>30</v>
      </c>
      <c r="G114" s="60">
        <v>43132</v>
      </c>
      <c r="H114" s="52" t="s">
        <v>41</v>
      </c>
      <c r="I114" s="52">
        <v>8032.97</v>
      </c>
    </row>
    <row r="115" spans="5:9" hidden="1">
      <c r="E115" s="54">
        <v>43138</v>
      </c>
      <c r="F115" s="49" t="s">
        <v>59</v>
      </c>
      <c r="G115" s="60">
        <v>43132</v>
      </c>
      <c r="H115" s="52" t="s">
        <v>41</v>
      </c>
      <c r="I115" s="52">
        <v>9514.69</v>
      </c>
    </row>
    <row r="116" spans="5:9" hidden="1">
      <c r="E116" s="54">
        <v>43158</v>
      </c>
      <c r="F116" s="49" t="s">
        <v>59</v>
      </c>
      <c r="G116" s="60">
        <v>43132</v>
      </c>
      <c r="H116" s="52" t="s">
        <v>41</v>
      </c>
      <c r="I116" s="52">
        <v>7373.08</v>
      </c>
    </row>
    <row r="117" spans="5:9" hidden="1">
      <c r="E117" s="54">
        <v>43166</v>
      </c>
      <c r="F117" s="49" t="s">
        <v>59</v>
      </c>
      <c r="G117" s="60">
        <v>43160</v>
      </c>
      <c r="H117" s="52" t="s">
        <v>41</v>
      </c>
      <c r="I117" s="52">
        <v>234</v>
      </c>
    </row>
    <row r="118" spans="5:9" hidden="1">
      <c r="E118" s="55">
        <v>43168</v>
      </c>
      <c r="F118" s="49" t="s">
        <v>59</v>
      </c>
      <c r="G118" s="60">
        <v>43160</v>
      </c>
      <c r="H118" s="52" t="s">
        <v>41</v>
      </c>
      <c r="I118" s="52">
        <v>7395.13</v>
      </c>
    </row>
    <row r="119" spans="5:9" hidden="1">
      <c r="E119" s="55">
        <v>43179</v>
      </c>
      <c r="F119" s="49" t="s">
        <v>59</v>
      </c>
      <c r="G119" s="60">
        <v>43160</v>
      </c>
      <c r="H119" s="52" t="s">
        <v>41</v>
      </c>
      <c r="I119" s="52">
        <v>7482.98</v>
      </c>
    </row>
    <row r="120" spans="5:9" hidden="1">
      <c r="E120" s="54">
        <v>43186</v>
      </c>
      <c r="F120" s="49" t="s">
        <v>59</v>
      </c>
      <c r="G120" s="60">
        <v>43160</v>
      </c>
      <c r="H120" s="52" t="s">
        <v>41</v>
      </c>
      <c r="I120" s="52">
        <v>10032.75</v>
      </c>
    </row>
    <row r="121" spans="5:9" hidden="1">
      <c r="E121" s="54">
        <v>43124</v>
      </c>
      <c r="F121" s="49" t="s">
        <v>59</v>
      </c>
      <c r="G121" s="60">
        <v>43101</v>
      </c>
      <c r="H121" s="52" t="s">
        <v>41</v>
      </c>
      <c r="I121" s="52">
        <v>7599</v>
      </c>
    </row>
    <row r="122" spans="5:9" hidden="1">
      <c r="E122" s="54">
        <v>43130</v>
      </c>
      <c r="F122" s="49" t="s">
        <v>59</v>
      </c>
      <c r="G122" s="60">
        <v>43101</v>
      </c>
      <c r="H122" s="52" t="s">
        <v>41</v>
      </c>
      <c r="I122" s="52">
        <v>7481.15</v>
      </c>
    </row>
    <row r="123" spans="5:9" hidden="1">
      <c r="E123" s="54">
        <v>43139</v>
      </c>
      <c r="F123" s="49" t="s">
        <v>59</v>
      </c>
      <c r="G123" s="60">
        <v>43132</v>
      </c>
      <c r="H123" s="52" t="s">
        <v>41</v>
      </c>
      <c r="I123" s="52">
        <v>9576.68</v>
      </c>
    </row>
    <row r="124" spans="5:9" hidden="1">
      <c r="E124" s="54">
        <v>43151</v>
      </c>
      <c r="F124" s="49" t="s">
        <v>59</v>
      </c>
      <c r="G124" s="60">
        <v>43132</v>
      </c>
      <c r="H124" s="52" t="s">
        <v>41</v>
      </c>
      <c r="I124" s="52">
        <v>8009.38</v>
      </c>
    </row>
    <row r="125" spans="5:9" hidden="1">
      <c r="E125" s="54">
        <v>43132</v>
      </c>
      <c r="F125" s="49" t="s">
        <v>49</v>
      </c>
      <c r="G125" s="60">
        <v>43132</v>
      </c>
      <c r="H125" s="52" t="s">
        <v>41</v>
      </c>
      <c r="I125" s="52">
        <v>20748.38</v>
      </c>
    </row>
    <row r="126" spans="5:9" hidden="1">
      <c r="E126" s="54">
        <v>43102</v>
      </c>
      <c r="F126" s="49" t="s">
        <v>49</v>
      </c>
      <c r="G126" s="60">
        <v>43070</v>
      </c>
      <c r="H126" s="52" t="s">
        <v>41</v>
      </c>
      <c r="I126" s="52">
        <v>20748.38</v>
      </c>
    </row>
    <row r="127" spans="5:9" hidden="1">
      <c r="E127" s="54">
        <v>43139</v>
      </c>
      <c r="F127" s="49" t="s">
        <v>49</v>
      </c>
      <c r="G127" s="60">
        <v>43132</v>
      </c>
      <c r="H127" s="52" t="s">
        <v>41</v>
      </c>
      <c r="I127" s="52">
        <v>20748.38</v>
      </c>
    </row>
    <row r="128" spans="5:9" hidden="1">
      <c r="E128" s="54">
        <v>43160</v>
      </c>
      <c r="F128" s="49" t="s">
        <v>49</v>
      </c>
      <c r="G128" s="60">
        <v>43160</v>
      </c>
      <c r="H128" s="52" t="s">
        <v>41</v>
      </c>
      <c r="I128" s="52">
        <v>20748.38</v>
      </c>
    </row>
    <row r="129" spans="5:9" hidden="1">
      <c r="E129" s="54">
        <v>43160</v>
      </c>
      <c r="F129" s="49" t="s">
        <v>60</v>
      </c>
      <c r="G129" s="60">
        <v>43160</v>
      </c>
      <c r="H129" s="52" t="s">
        <v>41</v>
      </c>
      <c r="I129" s="52">
        <v>3817.2</v>
      </c>
    </row>
    <row r="130" spans="5:9" hidden="1">
      <c r="E130" s="54">
        <v>43102</v>
      </c>
      <c r="F130" s="49" t="s">
        <v>60</v>
      </c>
      <c r="G130" s="60">
        <v>43101</v>
      </c>
      <c r="H130" s="52" t="s">
        <v>41</v>
      </c>
      <c r="I130" s="52">
        <v>5089.6000000000004</v>
      </c>
    </row>
    <row r="131" spans="5:9" hidden="1">
      <c r="E131" s="55">
        <v>43132</v>
      </c>
      <c r="F131" s="49" t="s">
        <v>60</v>
      </c>
      <c r="G131" s="60">
        <v>43132</v>
      </c>
      <c r="H131" s="52" t="s">
        <v>41</v>
      </c>
      <c r="I131" s="52">
        <v>3817.2</v>
      </c>
    </row>
    <row r="132" spans="5:9" hidden="1">
      <c r="E132" s="55">
        <v>43160</v>
      </c>
      <c r="F132" s="49" t="s">
        <v>31</v>
      </c>
      <c r="G132" s="60">
        <v>43160</v>
      </c>
      <c r="H132" s="52" t="s">
        <v>41</v>
      </c>
      <c r="I132" s="52">
        <v>14889.15</v>
      </c>
    </row>
    <row r="133" spans="5:9" hidden="1">
      <c r="E133" s="54">
        <v>43102</v>
      </c>
      <c r="F133" s="49" t="s">
        <v>31</v>
      </c>
      <c r="G133" s="60">
        <v>43070</v>
      </c>
      <c r="H133" s="52" t="s">
        <v>41</v>
      </c>
      <c r="I133" s="52">
        <v>14889.15</v>
      </c>
    </row>
    <row r="134" spans="5:9" hidden="1">
      <c r="E134" s="54">
        <v>43132</v>
      </c>
      <c r="F134" s="49" t="s">
        <v>31</v>
      </c>
      <c r="G134" s="60">
        <v>43132</v>
      </c>
      <c r="H134" s="52" t="s">
        <v>41</v>
      </c>
      <c r="I134" s="52">
        <v>14889.15</v>
      </c>
    </row>
    <row r="135" spans="5:9" hidden="1">
      <c r="E135" s="55">
        <v>43179</v>
      </c>
      <c r="F135" s="49" t="s">
        <v>43</v>
      </c>
      <c r="G135" s="60">
        <v>43160</v>
      </c>
      <c r="H135" s="52" t="s">
        <v>41</v>
      </c>
      <c r="I135" s="52">
        <v>5060.18</v>
      </c>
    </row>
    <row r="136" spans="5:9" hidden="1">
      <c r="E136" s="55">
        <v>43119</v>
      </c>
      <c r="F136" s="49" t="s">
        <v>43</v>
      </c>
      <c r="G136" s="60">
        <v>43101</v>
      </c>
      <c r="H136" s="52" t="s">
        <v>41</v>
      </c>
      <c r="I136" s="52">
        <v>5060.18</v>
      </c>
    </row>
    <row r="137" spans="5:9" hidden="1">
      <c r="E137" s="55">
        <v>43150</v>
      </c>
      <c r="F137" s="49" t="s">
        <v>43</v>
      </c>
      <c r="G137" s="60">
        <v>43132</v>
      </c>
      <c r="H137" s="52" t="s">
        <v>41</v>
      </c>
      <c r="I137" s="52">
        <v>5060.18</v>
      </c>
    </row>
    <row r="138" spans="5:9" hidden="1">
      <c r="E138" s="55">
        <v>43179</v>
      </c>
      <c r="F138" s="49" t="s">
        <v>33</v>
      </c>
      <c r="G138" s="60">
        <v>43160</v>
      </c>
      <c r="H138" s="52" t="s">
        <v>41</v>
      </c>
      <c r="I138" s="52">
        <v>17526.05</v>
      </c>
    </row>
    <row r="139" spans="5:9" hidden="1">
      <c r="E139" s="55">
        <v>43119</v>
      </c>
      <c r="F139" s="49" t="s">
        <v>33</v>
      </c>
      <c r="G139" s="60">
        <v>43101</v>
      </c>
      <c r="H139" s="52" t="s">
        <v>41</v>
      </c>
      <c r="I139" s="52">
        <v>17526.05</v>
      </c>
    </row>
    <row r="140" spans="5:9" hidden="1">
      <c r="E140" s="55">
        <v>43150</v>
      </c>
      <c r="F140" s="49" t="s">
        <v>33</v>
      </c>
      <c r="G140" s="60">
        <v>43132</v>
      </c>
      <c r="H140" s="52" t="s">
        <v>41</v>
      </c>
      <c r="I140" s="52">
        <v>17526.05</v>
      </c>
    </row>
    <row r="141" spans="5:9" hidden="1">
      <c r="E141" s="55">
        <v>43102</v>
      </c>
      <c r="F141" s="49" t="s">
        <v>34</v>
      </c>
      <c r="G141" s="60">
        <v>43101</v>
      </c>
      <c r="H141" s="52" t="s">
        <v>42</v>
      </c>
      <c r="I141" s="52">
        <v>17581.75</v>
      </c>
    </row>
    <row r="142" spans="5:9" hidden="1">
      <c r="E142" s="55">
        <v>43132</v>
      </c>
      <c r="F142" s="49" t="s">
        <v>34</v>
      </c>
      <c r="G142" s="60">
        <v>43132</v>
      </c>
      <c r="H142" s="52" t="s">
        <v>42</v>
      </c>
      <c r="I142" s="52">
        <v>17581.75</v>
      </c>
    </row>
    <row r="143" spans="5:9" hidden="1">
      <c r="E143" s="55">
        <v>43160</v>
      </c>
      <c r="F143" s="49" t="s">
        <v>34</v>
      </c>
      <c r="G143" s="60">
        <v>43160</v>
      </c>
      <c r="H143" s="52" t="s">
        <v>42</v>
      </c>
      <c r="I143" s="52">
        <v>17581.75</v>
      </c>
    </row>
    <row r="144" spans="5:9" hidden="1">
      <c r="E144" s="55">
        <v>43160</v>
      </c>
      <c r="F144" s="49" t="s">
        <v>35</v>
      </c>
      <c r="G144" s="60">
        <v>43132</v>
      </c>
      <c r="H144" s="52" t="s">
        <v>41</v>
      </c>
      <c r="I144" s="52">
        <v>15977.6</v>
      </c>
    </row>
    <row r="145" spans="5:9" hidden="1">
      <c r="E145" s="55">
        <v>43160</v>
      </c>
      <c r="F145" s="49" t="s">
        <v>35</v>
      </c>
      <c r="G145" s="60">
        <v>43132</v>
      </c>
      <c r="H145" s="52" t="s">
        <v>41</v>
      </c>
      <c r="I145" s="52">
        <v>11423.6</v>
      </c>
    </row>
    <row r="146" spans="5:9" hidden="1">
      <c r="E146" s="55">
        <v>43102</v>
      </c>
      <c r="F146" s="49" t="s">
        <v>35</v>
      </c>
      <c r="G146" s="60">
        <v>43101</v>
      </c>
      <c r="H146" s="52" t="s">
        <v>41</v>
      </c>
      <c r="I146" s="52">
        <v>15977.6</v>
      </c>
    </row>
    <row r="147" spans="5:9" hidden="1">
      <c r="E147" s="55">
        <v>43102</v>
      </c>
      <c r="F147" s="49" t="s">
        <v>35</v>
      </c>
      <c r="G147" s="60">
        <v>43101</v>
      </c>
      <c r="H147" s="52" t="s">
        <v>41</v>
      </c>
      <c r="I147" s="52">
        <v>11423.6</v>
      </c>
    </row>
    <row r="148" spans="5:9" hidden="1">
      <c r="E148" s="55">
        <v>43132</v>
      </c>
      <c r="F148" s="49" t="s">
        <v>35</v>
      </c>
      <c r="G148" s="60">
        <v>43101</v>
      </c>
      <c r="H148" s="52" t="s">
        <v>41</v>
      </c>
      <c r="I148" s="52">
        <v>15977.6</v>
      </c>
    </row>
    <row r="149" spans="5:9" hidden="1">
      <c r="E149" s="55">
        <v>43132</v>
      </c>
      <c r="F149" s="49" t="s">
        <v>35</v>
      </c>
      <c r="G149" s="60">
        <v>43101</v>
      </c>
      <c r="H149" s="52" t="s">
        <v>41</v>
      </c>
      <c r="I149" s="52">
        <v>11423.6</v>
      </c>
    </row>
    <row r="150" spans="5:9" hidden="1">
      <c r="E150" s="55">
        <v>43160</v>
      </c>
      <c r="F150" s="49" t="s">
        <v>36</v>
      </c>
      <c r="G150" s="60">
        <v>43160</v>
      </c>
      <c r="H150" s="52" t="s">
        <v>41</v>
      </c>
      <c r="I150" s="52">
        <v>45284.76</v>
      </c>
    </row>
    <row r="151" spans="5:9" hidden="1">
      <c r="E151" s="55">
        <v>43160</v>
      </c>
      <c r="F151" s="49" t="s">
        <v>36</v>
      </c>
      <c r="G151" s="60">
        <v>43160</v>
      </c>
      <c r="H151" s="52" t="s">
        <v>41</v>
      </c>
      <c r="I151" s="52">
        <v>16559.46</v>
      </c>
    </row>
    <row r="152" spans="5:9" hidden="1">
      <c r="E152" s="54">
        <v>43102</v>
      </c>
      <c r="F152" s="49" t="s">
        <v>36</v>
      </c>
      <c r="G152" s="60">
        <v>43101</v>
      </c>
      <c r="H152" s="52" t="s">
        <v>41</v>
      </c>
      <c r="I152" s="52">
        <v>45284.76</v>
      </c>
    </row>
    <row r="153" spans="5:9" hidden="1">
      <c r="E153" s="54">
        <v>43139</v>
      </c>
      <c r="F153" s="49" t="s">
        <v>36</v>
      </c>
      <c r="G153" s="60">
        <v>43132</v>
      </c>
      <c r="H153" s="52" t="s">
        <v>41</v>
      </c>
      <c r="I153" s="52">
        <v>45284.76</v>
      </c>
    </row>
    <row r="154" spans="5:9" hidden="1">
      <c r="E154" s="54">
        <v>43102</v>
      </c>
      <c r="F154" s="49" t="s">
        <v>36</v>
      </c>
      <c r="G154" s="60">
        <v>43101</v>
      </c>
      <c r="H154" s="52" t="s">
        <v>41</v>
      </c>
      <c r="I154" s="52">
        <v>16559.46</v>
      </c>
    </row>
    <row r="155" spans="5:9" hidden="1">
      <c r="E155" s="54">
        <v>43139</v>
      </c>
      <c r="F155" s="49" t="s">
        <v>36</v>
      </c>
      <c r="G155" s="60">
        <v>43132</v>
      </c>
      <c r="H155" s="52" t="s">
        <v>41</v>
      </c>
      <c r="I155" s="52">
        <v>16559.46</v>
      </c>
    </row>
    <row r="156" spans="5:9">
      <c r="F156" s="49"/>
    </row>
    <row r="157" spans="5:9">
      <c r="E157" s="57"/>
      <c r="F157" s="49"/>
    </row>
    <row r="158" spans="5:9">
      <c r="E158" s="57"/>
      <c r="F158" s="49"/>
    </row>
    <row r="159" spans="5:9">
      <c r="F159" s="49"/>
    </row>
    <row r="160" spans="5:9">
      <c r="F160" s="49"/>
    </row>
    <row r="161" spans="5:6">
      <c r="F161" s="49"/>
    </row>
    <row r="162" spans="5:6">
      <c r="F162" s="49"/>
    </row>
    <row r="163" spans="5:6">
      <c r="F163" s="49"/>
    </row>
    <row r="164" spans="5:6">
      <c r="F164" s="49"/>
    </row>
    <row r="165" spans="5:6">
      <c r="F165" s="49"/>
    </row>
    <row r="166" spans="5:6">
      <c r="F166" s="49"/>
    </row>
    <row r="167" spans="5:6">
      <c r="F167" s="49"/>
    </row>
    <row r="168" spans="5:6">
      <c r="F168" s="49"/>
    </row>
    <row r="169" spans="5:6">
      <c r="F169" s="49"/>
    </row>
    <row r="170" spans="5:6">
      <c r="F170" s="49"/>
    </row>
    <row r="171" spans="5:6">
      <c r="F171" s="49"/>
    </row>
    <row r="172" spans="5:6">
      <c r="F172" s="49"/>
    </row>
    <row r="173" spans="5:6">
      <c r="F173" s="49"/>
    </row>
    <row r="174" spans="5:6">
      <c r="F174" s="49"/>
    </row>
    <row r="175" spans="5:6">
      <c r="F175" s="49"/>
    </row>
    <row r="176" spans="5:6">
      <c r="E176" s="57"/>
      <c r="F176" s="49"/>
    </row>
    <row r="177" spans="5:6">
      <c r="F177" s="49"/>
    </row>
    <row r="178" spans="5:6">
      <c r="E178" s="57"/>
      <c r="F178" s="49"/>
    </row>
    <row r="179" spans="5:6">
      <c r="E179" s="57"/>
      <c r="F179" s="49"/>
    </row>
    <row r="180" spans="5:6">
      <c r="F180" s="49"/>
    </row>
    <row r="181" spans="5:6">
      <c r="F181" s="49"/>
    </row>
    <row r="182" spans="5:6">
      <c r="F182" s="49"/>
    </row>
    <row r="183" spans="5:6">
      <c r="E183" s="57"/>
      <c r="F183" s="49"/>
    </row>
    <row r="184" spans="5:6">
      <c r="E184" s="57"/>
      <c r="F184" s="49"/>
    </row>
    <row r="185" spans="5:6">
      <c r="F185" s="49"/>
    </row>
    <row r="186" spans="5:6">
      <c r="F186" s="49"/>
    </row>
    <row r="187" spans="5:6">
      <c r="F187" s="49"/>
    </row>
    <row r="188" spans="5:6">
      <c r="F188" s="49"/>
    </row>
    <row r="189" spans="5:6">
      <c r="F189" s="49"/>
    </row>
    <row r="190" spans="5:6">
      <c r="F190" s="49"/>
    </row>
    <row r="191" spans="5:6">
      <c r="E191" s="57"/>
      <c r="F191" s="49"/>
    </row>
    <row r="192" spans="5:6">
      <c r="E192" s="57"/>
      <c r="F192" s="49"/>
    </row>
    <row r="193" spans="5:6">
      <c r="E193" s="57"/>
      <c r="F193" s="49"/>
    </row>
    <row r="194" spans="5:6">
      <c r="E194" s="57"/>
      <c r="F194" s="49"/>
    </row>
    <row r="195" spans="5:6">
      <c r="E195" s="57"/>
      <c r="F195" s="49"/>
    </row>
    <row r="196" spans="5:6">
      <c r="E196" s="57"/>
      <c r="F196" s="49"/>
    </row>
    <row r="197" spans="5:6">
      <c r="E197" s="57"/>
      <c r="F197" s="49"/>
    </row>
    <row r="198" spans="5:6">
      <c r="E198" s="57"/>
      <c r="F198" s="49"/>
    </row>
    <row r="199" spans="5:6">
      <c r="E199" s="57"/>
      <c r="F199" s="49"/>
    </row>
    <row r="200" spans="5:6">
      <c r="E200" s="57"/>
      <c r="F200" s="49"/>
    </row>
    <row r="201" spans="5:6">
      <c r="E201" s="57"/>
      <c r="F201" s="49"/>
    </row>
    <row r="202" spans="5:6">
      <c r="E202" s="57"/>
      <c r="F202" s="49"/>
    </row>
    <row r="203" spans="5:6">
      <c r="E203" s="57"/>
      <c r="F203" s="49"/>
    </row>
    <row r="204" spans="5:6">
      <c r="E204" s="57"/>
      <c r="F204" s="49"/>
    </row>
    <row r="205" spans="5:6">
      <c r="E205" s="57"/>
      <c r="F205" s="49"/>
    </row>
    <row r="206" spans="5:6">
      <c r="E206" s="57"/>
      <c r="F206" s="49"/>
    </row>
    <row r="207" spans="5:6">
      <c r="E207" s="57"/>
      <c r="F207" s="49"/>
    </row>
    <row r="208" spans="5:6">
      <c r="E208" s="57"/>
      <c r="F208" s="49"/>
    </row>
    <row r="209" spans="5:6">
      <c r="E209" s="57"/>
      <c r="F209" s="49"/>
    </row>
    <row r="210" spans="5:6">
      <c r="F210" s="49"/>
    </row>
    <row r="211" spans="5:6">
      <c r="F211" s="49"/>
    </row>
    <row r="212" spans="5:6">
      <c r="F212" s="49"/>
    </row>
    <row r="213" spans="5:6">
      <c r="F213" s="49"/>
    </row>
    <row r="214" spans="5:6">
      <c r="F214" s="49"/>
    </row>
    <row r="215" spans="5:6">
      <c r="E215" s="57"/>
      <c r="F215" s="49"/>
    </row>
    <row r="216" spans="5:6">
      <c r="E216" s="57"/>
      <c r="F216" s="49"/>
    </row>
    <row r="217" spans="5:6">
      <c r="F217" s="49"/>
    </row>
    <row r="218" spans="5:6">
      <c r="F218" s="49"/>
    </row>
    <row r="219" spans="5:6">
      <c r="F219" s="49"/>
    </row>
    <row r="220" spans="5:6">
      <c r="F220" s="49"/>
    </row>
    <row r="221" spans="5:6">
      <c r="F221" s="49"/>
    </row>
    <row r="222" spans="5:6">
      <c r="F222" s="49"/>
    </row>
    <row r="223" spans="5:6">
      <c r="F223" s="49"/>
    </row>
    <row r="224" spans="5:6">
      <c r="F224" s="49"/>
    </row>
    <row r="225" spans="5:6">
      <c r="F225" s="49"/>
    </row>
    <row r="226" spans="5:6">
      <c r="F226" s="49"/>
    </row>
    <row r="227" spans="5:6">
      <c r="F227" s="49"/>
    </row>
    <row r="228" spans="5:6">
      <c r="F228" s="49"/>
    </row>
    <row r="229" spans="5:6">
      <c r="F229" s="49"/>
    </row>
    <row r="230" spans="5:6">
      <c r="F230" s="49"/>
    </row>
    <row r="231" spans="5:6">
      <c r="F231" s="49"/>
    </row>
    <row r="232" spans="5:6">
      <c r="E232" s="57"/>
      <c r="F232" s="49"/>
    </row>
    <row r="233" spans="5:6">
      <c r="F233" s="49"/>
    </row>
    <row r="234" spans="5:6">
      <c r="F234" s="49"/>
    </row>
    <row r="235" spans="5:6">
      <c r="F235" s="49"/>
    </row>
    <row r="236" spans="5:6">
      <c r="E236" s="57"/>
      <c r="F236" s="49"/>
    </row>
    <row r="237" spans="5:6">
      <c r="E237" s="57"/>
      <c r="F237" s="49"/>
    </row>
    <row r="238" spans="5:6">
      <c r="E238" s="57"/>
      <c r="F238" s="49"/>
    </row>
    <row r="239" spans="5:6">
      <c r="E239" s="57"/>
      <c r="F239" s="49"/>
    </row>
    <row r="240" spans="5:6">
      <c r="E240" s="57"/>
      <c r="F240" s="49"/>
    </row>
    <row r="241" spans="5:6">
      <c r="E241" s="57"/>
      <c r="F241" s="49"/>
    </row>
    <row r="242" spans="5:6">
      <c r="E242" s="57"/>
      <c r="F242" s="49"/>
    </row>
    <row r="243" spans="5:6">
      <c r="E243" s="57"/>
      <c r="F243" s="49"/>
    </row>
    <row r="244" spans="5:6">
      <c r="E244" s="57"/>
      <c r="F244" s="49"/>
    </row>
    <row r="245" spans="5:6">
      <c r="E245" s="57"/>
      <c r="F245" s="49"/>
    </row>
    <row r="246" spans="5:6">
      <c r="E246" s="57"/>
      <c r="F246" s="49"/>
    </row>
    <row r="247" spans="5:6">
      <c r="E247" s="57"/>
      <c r="F247" s="49"/>
    </row>
    <row r="248" spans="5:6">
      <c r="E248" s="57"/>
      <c r="F248" s="49"/>
    </row>
    <row r="249" spans="5:6">
      <c r="E249" s="57"/>
      <c r="F249" s="49"/>
    </row>
    <row r="250" spans="5:6">
      <c r="E250" s="57"/>
      <c r="F250" s="49"/>
    </row>
    <row r="251" spans="5:6">
      <c r="E251" s="57"/>
      <c r="F251" s="49"/>
    </row>
    <row r="252" spans="5:6">
      <c r="E252" s="57"/>
      <c r="F252" s="49"/>
    </row>
    <row r="253" spans="5:6">
      <c r="E253" s="57"/>
      <c r="F253" s="49"/>
    </row>
    <row r="254" spans="5:6">
      <c r="E254" s="57"/>
      <c r="F254" s="49"/>
    </row>
    <row r="255" spans="5:6">
      <c r="F255" s="49"/>
    </row>
    <row r="256" spans="5:6">
      <c r="F256" s="49"/>
    </row>
    <row r="257" spans="5:6">
      <c r="F257" s="49"/>
    </row>
    <row r="258" spans="5:6">
      <c r="F258" s="49"/>
    </row>
    <row r="259" spans="5:6">
      <c r="F259" s="49"/>
    </row>
    <row r="260" spans="5:6">
      <c r="F260" s="49"/>
    </row>
    <row r="261" spans="5:6">
      <c r="F261" s="49"/>
    </row>
    <row r="262" spans="5:6">
      <c r="F262" s="49"/>
    </row>
    <row r="263" spans="5:6">
      <c r="F263" s="49"/>
    </row>
    <row r="264" spans="5:6">
      <c r="F264" s="49"/>
    </row>
    <row r="265" spans="5:6">
      <c r="F265" s="49"/>
    </row>
    <row r="266" spans="5:6">
      <c r="E266" s="57"/>
      <c r="F266" s="49"/>
    </row>
    <row r="267" spans="5:6">
      <c r="E267" s="57"/>
      <c r="F267" s="49"/>
    </row>
    <row r="268" spans="5:6">
      <c r="F268" s="49"/>
    </row>
    <row r="269" spans="5:6">
      <c r="F269" s="49"/>
    </row>
    <row r="270" spans="5:6">
      <c r="F270" s="49"/>
    </row>
    <row r="271" spans="5:6">
      <c r="F271" s="49"/>
    </row>
    <row r="272" spans="5:6">
      <c r="F272" s="49"/>
    </row>
    <row r="273" spans="5:6">
      <c r="F273" s="49"/>
    </row>
    <row r="274" spans="5:6">
      <c r="F274" s="49"/>
    </row>
    <row r="275" spans="5:6">
      <c r="F275" s="49"/>
    </row>
    <row r="276" spans="5:6">
      <c r="F276" s="49"/>
    </row>
    <row r="277" spans="5:6">
      <c r="F277" s="49"/>
    </row>
    <row r="278" spans="5:6">
      <c r="F278" s="49"/>
    </row>
    <row r="279" spans="5:6">
      <c r="F279" s="49"/>
    </row>
    <row r="280" spans="5:6">
      <c r="F280" s="49"/>
    </row>
    <row r="281" spans="5:6">
      <c r="F281" s="49"/>
    </row>
    <row r="282" spans="5:6">
      <c r="F282" s="49"/>
    </row>
    <row r="283" spans="5:6">
      <c r="E283" s="57"/>
      <c r="F283" s="49"/>
    </row>
    <row r="284" spans="5:6">
      <c r="E284" s="57"/>
      <c r="F284" s="49"/>
    </row>
    <row r="285" spans="5:6">
      <c r="E285" s="57"/>
      <c r="F285" s="49"/>
    </row>
    <row r="286" spans="5:6">
      <c r="E286" s="57"/>
      <c r="F286" s="49"/>
    </row>
    <row r="287" spans="5:6">
      <c r="E287" s="57"/>
      <c r="F287" s="49"/>
    </row>
    <row r="288" spans="5:6">
      <c r="E288" s="57"/>
      <c r="F288" s="49"/>
    </row>
    <row r="289" spans="5:6">
      <c r="E289" s="57"/>
      <c r="F289" s="49"/>
    </row>
    <row r="290" spans="5:6">
      <c r="E290" s="57"/>
      <c r="F290" s="49"/>
    </row>
    <row r="291" spans="5:6">
      <c r="E291" s="57"/>
      <c r="F291" s="49"/>
    </row>
    <row r="292" spans="5:6">
      <c r="E292" s="57"/>
      <c r="F292" s="49"/>
    </row>
    <row r="293" spans="5:6">
      <c r="E293" s="57"/>
      <c r="F293" s="49"/>
    </row>
    <row r="294" spans="5:6">
      <c r="E294" s="57"/>
      <c r="F294" s="49"/>
    </row>
    <row r="295" spans="5:6">
      <c r="E295" s="57"/>
      <c r="F295" s="49"/>
    </row>
    <row r="296" spans="5:6">
      <c r="E296" s="57"/>
      <c r="F296" s="49"/>
    </row>
    <row r="297" spans="5:6">
      <c r="E297" s="57"/>
      <c r="F297" s="49"/>
    </row>
    <row r="298" spans="5:6">
      <c r="E298" s="57"/>
      <c r="F298" s="49"/>
    </row>
    <row r="299" spans="5:6">
      <c r="E299" s="57"/>
      <c r="F299" s="49"/>
    </row>
    <row r="300" spans="5:6">
      <c r="E300" s="57"/>
      <c r="F300" s="49"/>
    </row>
    <row r="301" spans="5:6">
      <c r="E301" s="57"/>
      <c r="F301" s="49"/>
    </row>
    <row r="302" spans="5:6">
      <c r="F302" s="49"/>
    </row>
    <row r="303" spans="5:6">
      <c r="F303" s="49"/>
    </row>
    <row r="304" spans="5:6">
      <c r="F304" s="49"/>
    </row>
    <row r="305" spans="5:6">
      <c r="F305" s="49"/>
    </row>
    <row r="306" spans="5:6">
      <c r="F306" s="49"/>
    </row>
    <row r="307" spans="5:6">
      <c r="F307" s="49"/>
    </row>
    <row r="308" spans="5:6">
      <c r="E308" s="57"/>
      <c r="F308" s="49"/>
    </row>
    <row r="309" spans="5:6">
      <c r="E309" s="57"/>
      <c r="F309" s="49"/>
    </row>
    <row r="310" spans="5:6">
      <c r="F310" s="49"/>
    </row>
    <row r="311" spans="5:6">
      <c r="F311" s="49"/>
    </row>
    <row r="312" spans="5:6">
      <c r="F312" s="49"/>
    </row>
    <row r="313" spans="5:6">
      <c r="F313" s="49"/>
    </row>
    <row r="314" spans="5:6">
      <c r="F314" s="49"/>
    </row>
    <row r="315" spans="5:6">
      <c r="F315" s="49"/>
    </row>
    <row r="316" spans="5:6">
      <c r="F316" s="49"/>
    </row>
    <row r="317" spans="5:6">
      <c r="E317" s="57"/>
      <c r="F317" s="49"/>
    </row>
    <row r="318" spans="5:6">
      <c r="E318" s="57"/>
      <c r="F318" s="49"/>
    </row>
    <row r="319" spans="5:6">
      <c r="F319" s="49"/>
    </row>
    <row r="320" spans="5:6">
      <c r="F320" s="49"/>
    </row>
    <row r="321" spans="6:6">
      <c r="F321" s="49"/>
    </row>
    <row r="322" spans="6:6">
      <c r="F322" s="49"/>
    </row>
    <row r="323" spans="6:6">
      <c r="F323" s="49"/>
    </row>
    <row r="324" spans="6:6">
      <c r="F324" s="49"/>
    </row>
    <row r="325" spans="6:6">
      <c r="F325" s="49"/>
    </row>
    <row r="326" spans="6:6">
      <c r="F326" s="49"/>
    </row>
    <row r="327" spans="6:6">
      <c r="F327" s="49"/>
    </row>
    <row r="328" spans="6:6">
      <c r="F328" s="49"/>
    </row>
    <row r="329" spans="6:6">
      <c r="F329" s="49"/>
    </row>
    <row r="330" spans="6:6">
      <c r="F330" s="49"/>
    </row>
    <row r="331" spans="6:6">
      <c r="F331" s="49"/>
    </row>
    <row r="332" spans="6:6">
      <c r="F332" s="49"/>
    </row>
    <row r="333" spans="6:6">
      <c r="F333" s="49"/>
    </row>
    <row r="334" spans="6:6">
      <c r="F334" s="49"/>
    </row>
    <row r="335" spans="6:6">
      <c r="F335" s="49"/>
    </row>
    <row r="336" spans="6:6">
      <c r="F336" s="49"/>
    </row>
    <row r="337" spans="5:6">
      <c r="F337" s="49"/>
    </row>
    <row r="338" spans="5:6">
      <c r="F338" s="49"/>
    </row>
    <row r="339" spans="5:6">
      <c r="F339" s="49"/>
    </row>
    <row r="340" spans="5:6">
      <c r="F340" s="49"/>
    </row>
    <row r="341" spans="5:6">
      <c r="F341" s="49"/>
    </row>
    <row r="342" spans="5:6">
      <c r="F342" s="49"/>
    </row>
    <row r="343" spans="5:6">
      <c r="F343" s="49"/>
    </row>
    <row r="344" spans="5:6">
      <c r="F344" s="49"/>
    </row>
    <row r="345" spans="5:6">
      <c r="F345" s="49"/>
    </row>
    <row r="346" spans="5:6">
      <c r="F346" s="49"/>
    </row>
    <row r="347" spans="5:6">
      <c r="F347" s="49"/>
    </row>
    <row r="348" spans="5:6">
      <c r="F348" s="49"/>
    </row>
    <row r="349" spans="5:6">
      <c r="F349" s="49"/>
    </row>
    <row r="350" spans="5:6">
      <c r="F350" s="49"/>
    </row>
    <row r="351" spans="5:6">
      <c r="F351" s="49"/>
    </row>
    <row r="352" spans="5:6">
      <c r="E352" s="57"/>
      <c r="F352" s="49"/>
    </row>
    <row r="353" spans="5:6">
      <c r="E353" s="57"/>
      <c r="F353" s="49"/>
    </row>
    <row r="354" spans="5:6">
      <c r="E354" s="57"/>
      <c r="F354" s="49"/>
    </row>
    <row r="355" spans="5:6">
      <c r="E355" s="57"/>
      <c r="F355" s="49"/>
    </row>
    <row r="356" spans="5:6">
      <c r="E356" s="57"/>
      <c r="F356" s="49"/>
    </row>
    <row r="357" spans="5:6">
      <c r="E357" s="57"/>
      <c r="F357" s="49"/>
    </row>
    <row r="358" spans="5:6">
      <c r="E358" s="57"/>
      <c r="F358" s="49"/>
    </row>
    <row r="359" spans="5:6">
      <c r="E359" s="57"/>
      <c r="F359" s="49"/>
    </row>
    <row r="360" spans="5:6">
      <c r="E360" s="57"/>
      <c r="F360" s="49"/>
    </row>
    <row r="361" spans="5:6">
      <c r="E361" s="57"/>
      <c r="F361" s="49"/>
    </row>
    <row r="362" spans="5:6">
      <c r="E362" s="57"/>
      <c r="F362" s="49"/>
    </row>
    <row r="363" spans="5:6">
      <c r="E363" s="57"/>
      <c r="F363" s="49"/>
    </row>
    <row r="364" spans="5:6">
      <c r="E364" s="57"/>
      <c r="F364" s="49"/>
    </row>
    <row r="365" spans="5:6">
      <c r="E365" s="57"/>
      <c r="F365" s="49"/>
    </row>
    <row r="366" spans="5:6">
      <c r="E366" s="57"/>
      <c r="F366" s="49"/>
    </row>
    <row r="367" spans="5:6">
      <c r="E367" s="57"/>
      <c r="F367" s="49"/>
    </row>
    <row r="368" spans="5:6">
      <c r="E368" s="57"/>
      <c r="F368" s="49"/>
    </row>
    <row r="369" spans="5:6">
      <c r="E369" s="57"/>
      <c r="F369" s="49"/>
    </row>
    <row r="370" spans="5:6">
      <c r="E370" s="57"/>
      <c r="F370" s="49"/>
    </row>
    <row r="371" spans="5:6">
      <c r="F371" s="49"/>
    </row>
    <row r="372" spans="5:6">
      <c r="F372" s="49"/>
    </row>
    <row r="373" spans="5:6">
      <c r="F373" s="49"/>
    </row>
    <row r="374" spans="5:6">
      <c r="F374" s="49"/>
    </row>
    <row r="375" spans="5:6">
      <c r="E375" s="57"/>
      <c r="F375" s="49"/>
    </row>
    <row r="376" spans="5:6">
      <c r="F376" s="49"/>
    </row>
    <row r="377" spans="5:6">
      <c r="F377" s="49"/>
    </row>
    <row r="378" spans="5:6">
      <c r="F378" s="49"/>
    </row>
    <row r="379" spans="5:6">
      <c r="F379" s="49"/>
    </row>
    <row r="380" spans="5:6">
      <c r="F380" s="49"/>
    </row>
    <row r="381" spans="5:6">
      <c r="F381" s="49"/>
    </row>
    <row r="382" spans="5:6">
      <c r="F382" s="49"/>
    </row>
    <row r="383" spans="5:6">
      <c r="E383" s="57"/>
      <c r="F383" s="49"/>
    </row>
    <row r="384" spans="5:6">
      <c r="F384" s="49"/>
    </row>
    <row r="385" spans="5:6">
      <c r="F385" s="49"/>
    </row>
    <row r="386" spans="5:6">
      <c r="F386" s="49"/>
    </row>
    <row r="387" spans="5:6">
      <c r="F387" s="49"/>
    </row>
    <row r="388" spans="5:6">
      <c r="F388" s="49"/>
    </row>
    <row r="389" spans="5:6">
      <c r="F389" s="49"/>
    </row>
    <row r="390" spans="5:6">
      <c r="E390" s="57"/>
      <c r="F390" s="49"/>
    </row>
    <row r="391" spans="5:6">
      <c r="E391" s="57"/>
      <c r="F391" s="49"/>
    </row>
    <row r="392" spans="5:6">
      <c r="E392" s="57"/>
      <c r="F392" s="49"/>
    </row>
    <row r="393" spans="5:6">
      <c r="E393" s="57"/>
      <c r="F393" s="49"/>
    </row>
    <row r="394" spans="5:6">
      <c r="E394" s="57"/>
      <c r="F394" s="49"/>
    </row>
    <row r="395" spans="5:6">
      <c r="E395" s="57"/>
      <c r="F395" s="49"/>
    </row>
    <row r="396" spans="5:6">
      <c r="E396" s="57"/>
      <c r="F396" s="49"/>
    </row>
    <row r="397" spans="5:6">
      <c r="E397" s="57"/>
      <c r="F397" s="49"/>
    </row>
    <row r="398" spans="5:6">
      <c r="E398" s="57"/>
      <c r="F398" s="49"/>
    </row>
    <row r="399" spans="5:6">
      <c r="F399" s="49"/>
    </row>
    <row r="400" spans="5:6">
      <c r="F400" s="49"/>
    </row>
    <row r="401" spans="6:6">
      <c r="F401" s="49"/>
    </row>
    <row r="402" spans="6:6">
      <c r="F402" s="49"/>
    </row>
    <row r="403" spans="6:6">
      <c r="F403" s="49"/>
    </row>
    <row r="404" spans="6:6">
      <c r="F404" s="49"/>
    </row>
    <row r="405" spans="6:6">
      <c r="F405" s="49"/>
    </row>
    <row r="406" spans="6:6">
      <c r="F406" s="49"/>
    </row>
    <row r="407" spans="6:6">
      <c r="F407" s="49"/>
    </row>
    <row r="408" spans="6:6">
      <c r="F408" s="49"/>
    </row>
    <row r="409" spans="6:6">
      <c r="F409" s="49"/>
    </row>
    <row r="410" spans="6:6">
      <c r="F410" s="49"/>
    </row>
    <row r="411" spans="6:6">
      <c r="F411" s="49"/>
    </row>
    <row r="412" spans="6:6">
      <c r="F412" s="49"/>
    </row>
    <row r="413" spans="6:6">
      <c r="F413" s="49"/>
    </row>
    <row r="414" spans="6:6">
      <c r="F414" s="49"/>
    </row>
    <row r="415" spans="6:6">
      <c r="F415" s="49"/>
    </row>
    <row r="416" spans="6:6">
      <c r="F416" s="49"/>
    </row>
    <row r="417" spans="5:6">
      <c r="F417" s="49"/>
    </row>
    <row r="418" spans="5:6">
      <c r="F418" s="49"/>
    </row>
    <row r="419" spans="5:6">
      <c r="E419" s="57"/>
      <c r="F419" s="49"/>
    </row>
    <row r="420" spans="5:6">
      <c r="E420" s="57"/>
      <c r="F420" s="49"/>
    </row>
    <row r="421" spans="5:6">
      <c r="E421" s="57"/>
      <c r="F421" s="49"/>
    </row>
    <row r="422" spans="5:6">
      <c r="E422" s="57"/>
      <c r="F422" s="49"/>
    </row>
    <row r="423" spans="5:6">
      <c r="E423" s="57"/>
      <c r="F423" s="49"/>
    </row>
    <row r="424" spans="5:6">
      <c r="E424" s="57"/>
      <c r="F424" s="49"/>
    </row>
    <row r="425" spans="5:6">
      <c r="E425" s="57"/>
      <c r="F425" s="49"/>
    </row>
    <row r="426" spans="5:6">
      <c r="F426" s="49"/>
    </row>
    <row r="427" spans="5:6">
      <c r="F427" s="49"/>
    </row>
    <row r="428" spans="5:6">
      <c r="F428" s="49"/>
    </row>
    <row r="429" spans="5:6">
      <c r="E429" s="57"/>
      <c r="F429" s="49"/>
    </row>
    <row r="430" spans="5:6">
      <c r="E430" s="57"/>
      <c r="F430" s="49"/>
    </row>
    <row r="431" spans="5:6">
      <c r="F431" s="49"/>
    </row>
    <row r="432" spans="5:6">
      <c r="F432" s="49"/>
    </row>
    <row r="433" spans="5:6">
      <c r="E433" s="57"/>
      <c r="F433" s="49"/>
    </row>
    <row r="434" spans="5:6">
      <c r="F434" s="49"/>
    </row>
    <row r="435" spans="5:6">
      <c r="F435" s="49"/>
    </row>
    <row r="436" spans="5:6">
      <c r="F436" s="49"/>
    </row>
    <row r="437" spans="5:6">
      <c r="F437" s="49"/>
    </row>
    <row r="438" spans="5:6">
      <c r="F438" s="49"/>
    </row>
    <row r="439" spans="5:6">
      <c r="F439" s="49"/>
    </row>
    <row r="440" spans="5:6">
      <c r="F440" s="49"/>
    </row>
    <row r="441" spans="5:6">
      <c r="F441" s="49"/>
    </row>
    <row r="442" spans="5:6">
      <c r="F442" s="49"/>
    </row>
    <row r="443" spans="5:6">
      <c r="F443" s="49"/>
    </row>
    <row r="444" spans="5:6">
      <c r="F444" s="49"/>
    </row>
    <row r="445" spans="5:6">
      <c r="F445" s="49"/>
    </row>
    <row r="446" spans="5:6">
      <c r="F446" s="49"/>
    </row>
    <row r="447" spans="5:6">
      <c r="F447" s="49"/>
    </row>
    <row r="448" spans="5:6">
      <c r="F448" s="49"/>
    </row>
    <row r="449" spans="5:6">
      <c r="F449" s="49"/>
    </row>
    <row r="450" spans="5:6">
      <c r="F450" s="49"/>
    </row>
    <row r="451" spans="5:6">
      <c r="F451" s="49"/>
    </row>
    <row r="452" spans="5:6">
      <c r="F452" s="49"/>
    </row>
    <row r="453" spans="5:6">
      <c r="F453" s="49"/>
    </row>
    <row r="454" spans="5:6">
      <c r="F454" s="49"/>
    </row>
    <row r="455" spans="5:6">
      <c r="F455" s="49"/>
    </row>
    <row r="456" spans="5:6">
      <c r="F456" s="49"/>
    </row>
    <row r="457" spans="5:6">
      <c r="F457" s="49"/>
    </row>
    <row r="458" spans="5:6">
      <c r="F458" s="49"/>
    </row>
    <row r="459" spans="5:6">
      <c r="F459" s="49"/>
    </row>
    <row r="460" spans="5:6">
      <c r="F460" s="49"/>
    </row>
    <row r="461" spans="5:6">
      <c r="F461" s="49"/>
    </row>
    <row r="462" spans="5:6">
      <c r="F462" s="49"/>
    </row>
    <row r="463" spans="5:6">
      <c r="E463" s="57"/>
      <c r="F463" s="49"/>
    </row>
    <row r="464" spans="5:6">
      <c r="E464" s="57"/>
      <c r="F464" s="49"/>
    </row>
    <row r="465" spans="5:6">
      <c r="F465" s="49"/>
    </row>
    <row r="466" spans="5:6">
      <c r="F466" s="49"/>
    </row>
    <row r="467" spans="5:6">
      <c r="F467" s="49"/>
    </row>
    <row r="468" spans="5:6">
      <c r="F468" s="49"/>
    </row>
    <row r="469" spans="5:6">
      <c r="F469" s="49"/>
    </row>
    <row r="470" spans="5:6">
      <c r="F470" s="49"/>
    </row>
    <row r="471" spans="5:6">
      <c r="F471" s="49"/>
    </row>
    <row r="472" spans="5:6">
      <c r="F472" s="49"/>
    </row>
    <row r="473" spans="5:6">
      <c r="F473" s="49"/>
    </row>
    <row r="474" spans="5:6">
      <c r="F474" s="49"/>
    </row>
    <row r="475" spans="5:6">
      <c r="E475" s="57"/>
      <c r="F475" s="49"/>
    </row>
    <row r="476" spans="5:6">
      <c r="E476" s="57"/>
      <c r="F476" s="49"/>
    </row>
    <row r="477" spans="5:6">
      <c r="E477" s="57"/>
      <c r="F477" s="49"/>
    </row>
    <row r="478" spans="5:6">
      <c r="E478" s="57"/>
      <c r="F478" s="49"/>
    </row>
    <row r="479" spans="5:6">
      <c r="E479" s="57"/>
      <c r="F479" s="49"/>
    </row>
    <row r="480" spans="5:6">
      <c r="E480" s="57"/>
      <c r="F480" s="49"/>
    </row>
    <row r="481" spans="5:6">
      <c r="E481" s="57"/>
      <c r="F481" s="49"/>
    </row>
    <row r="482" spans="5:6">
      <c r="E482" s="57"/>
      <c r="F482" s="49"/>
    </row>
    <row r="483" spans="5:6">
      <c r="E483" s="57"/>
      <c r="F483" s="49"/>
    </row>
    <row r="484" spans="5:6">
      <c r="E484" s="57"/>
      <c r="F484" s="49"/>
    </row>
    <row r="485" spans="5:6">
      <c r="E485" s="57"/>
      <c r="F485" s="49"/>
    </row>
    <row r="486" spans="5:6">
      <c r="E486" s="57"/>
      <c r="F486" s="49"/>
    </row>
    <row r="487" spans="5:6">
      <c r="E487" s="57"/>
      <c r="F487" s="49"/>
    </row>
    <row r="488" spans="5:6">
      <c r="E488" s="57"/>
      <c r="F488" s="49"/>
    </row>
    <row r="489" spans="5:6">
      <c r="E489" s="57"/>
      <c r="F489" s="49"/>
    </row>
    <row r="490" spans="5:6">
      <c r="E490" s="57"/>
      <c r="F490" s="49"/>
    </row>
    <row r="491" spans="5:6">
      <c r="E491" s="57"/>
      <c r="F491" s="49"/>
    </row>
    <row r="492" spans="5:6">
      <c r="E492" s="57"/>
      <c r="F492" s="49"/>
    </row>
    <row r="493" spans="5:6">
      <c r="E493" s="57"/>
      <c r="F493" s="49"/>
    </row>
    <row r="494" spans="5:6">
      <c r="F494" s="49"/>
    </row>
    <row r="495" spans="5:6">
      <c r="F495" s="49"/>
    </row>
    <row r="496" spans="5:6">
      <c r="F496" s="49"/>
    </row>
    <row r="497" spans="5:6">
      <c r="F497" s="49"/>
    </row>
    <row r="498" spans="5:6">
      <c r="F498" s="49"/>
    </row>
    <row r="499" spans="5:6">
      <c r="F499" s="49"/>
    </row>
    <row r="500" spans="5:6">
      <c r="F500" s="49"/>
    </row>
    <row r="501" spans="5:6">
      <c r="F501" s="49"/>
    </row>
    <row r="502" spans="5:6">
      <c r="F502" s="49"/>
    </row>
    <row r="503" spans="5:6">
      <c r="F503" s="49"/>
    </row>
    <row r="504" spans="5:6">
      <c r="E504" s="57"/>
      <c r="F504" s="49"/>
    </row>
    <row r="505" spans="5:6">
      <c r="F505" s="49"/>
    </row>
    <row r="506" spans="5:6">
      <c r="F506" s="49"/>
    </row>
    <row r="507" spans="5:6">
      <c r="F507" s="49"/>
    </row>
    <row r="508" spans="5:6">
      <c r="F508" s="49"/>
    </row>
    <row r="509" spans="5:6">
      <c r="F509" s="49"/>
    </row>
    <row r="510" spans="5:6">
      <c r="F510" s="49"/>
    </row>
    <row r="511" spans="5:6">
      <c r="F511" s="49"/>
    </row>
    <row r="512" spans="5:6">
      <c r="F512" s="49"/>
    </row>
    <row r="513" spans="6:6">
      <c r="F513" s="49"/>
    </row>
    <row r="514" spans="6:6">
      <c r="F514" s="49"/>
    </row>
    <row r="515" spans="6:6">
      <c r="F515" s="49"/>
    </row>
    <row r="516" spans="6:6">
      <c r="F516" s="49"/>
    </row>
    <row r="517" spans="6:6">
      <c r="F517" s="49"/>
    </row>
    <row r="518" spans="6:6">
      <c r="F518" s="49"/>
    </row>
    <row r="519" spans="6:6">
      <c r="F519" s="49"/>
    </row>
    <row r="520" spans="6:6">
      <c r="F520" s="49"/>
    </row>
    <row r="521" spans="6:6">
      <c r="F521" s="49"/>
    </row>
    <row r="522" spans="6:6">
      <c r="F522" s="49"/>
    </row>
    <row r="523" spans="6:6">
      <c r="F523" s="49"/>
    </row>
    <row r="524" spans="6:6">
      <c r="F524" s="49"/>
    </row>
    <row r="525" spans="6:6">
      <c r="F525" s="49"/>
    </row>
    <row r="526" spans="6:6">
      <c r="F526" s="49"/>
    </row>
    <row r="527" spans="6:6">
      <c r="F527" s="49"/>
    </row>
    <row r="528" spans="6:6">
      <c r="F528" s="49"/>
    </row>
    <row r="529" spans="5:6">
      <c r="F529" s="49"/>
    </row>
    <row r="530" spans="5:6">
      <c r="F530" s="49"/>
    </row>
    <row r="531" spans="5:6">
      <c r="F531" s="49"/>
    </row>
    <row r="532" spans="5:6">
      <c r="F532" s="49"/>
    </row>
    <row r="533" spans="5:6">
      <c r="F533" s="49"/>
    </row>
    <row r="534" spans="5:6">
      <c r="E534" s="57"/>
      <c r="F534" s="49"/>
    </row>
    <row r="535" spans="5:6">
      <c r="E535" s="57"/>
      <c r="F535" s="49"/>
    </row>
    <row r="536" spans="5:6">
      <c r="E536" s="57"/>
      <c r="F536" s="49"/>
    </row>
    <row r="537" spans="5:6">
      <c r="E537" s="57"/>
      <c r="F537" s="49"/>
    </row>
    <row r="538" spans="5:6">
      <c r="E538" s="57"/>
      <c r="F538" s="49"/>
    </row>
    <row r="539" spans="5:6">
      <c r="E539" s="57"/>
      <c r="F539" s="49"/>
    </row>
    <row r="540" spans="5:6">
      <c r="E540" s="57"/>
      <c r="F540" s="49"/>
    </row>
    <row r="541" spans="5:6">
      <c r="E541" s="57"/>
      <c r="F541" s="49"/>
    </row>
    <row r="542" spans="5:6">
      <c r="E542" s="57"/>
      <c r="F542" s="49"/>
    </row>
    <row r="543" spans="5:6">
      <c r="E543" s="57"/>
      <c r="F543" s="49"/>
    </row>
    <row r="544" spans="5:6">
      <c r="E544" s="57"/>
      <c r="F544" s="49"/>
    </row>
    <row r="545" spans="5:6">
      <c r="E545" s="57"/>
      <c r="F545" s="49"/>
    </row>
    <row r="546" spans="5:6">
      <c r="E546" s="57"/>
      <c r="F546" s="49"/>
    </row>
    <row r="547" spans="5:6">
      <c r="E547" s="57"/>
      <c r="F547" s="49"/>
    </row>
    <row r="548" spans="5:6">
      <c r="E548" s="57"/>
      <c r="F548" s="49"/>
    </row>
    <row r="549" spans="5:6">
      <c r="E549" s="57"/>
      <c r="F549" s="49"/>
    </row>
    <row r="550" spans="5:6">
      <c r="E550" s="57"/>
      <c r="F550" s="49"/>
    </row>
    <row r="551" spans="5:6">
      <c r="E551" s="57"/>
      <c r="F551" s="49"/>
    </row>
    <row r="552" spans="5:6">
      <c r="E552" s="57"/>
      <c r="F552" s="49"/>
    </row>
    <row r="553" spans="5:6">
      <c r="E553" s="57"/>
      <c r="F553" s="49"/>
    </row>
    <row r="554" spans="5:6">
      <c r="F554" s="49"/>
    </row>
    <row r="555" spans="5:6">
      <c r="F555" s="49"/>
    </row>
    <row r="556" spans="5:6">
      <c r="F556" s="49"/>
    </row>
    <row r="557" spans="5:6">
      <c r="F557" s="49"/>
    </row>
    <row r="558" spans="5:6">
      <c r="F558" s="49"/>
    </row>
    <row r="559" spans="5:6">
      <c r="E559" s="57"/>
      <c r="F559" s="49"/>
    </row>
    <row r="560" spans="5:6">
      <c r="F560" s="49"/>
    </row>
    <row r="561" spans="5:6">
      <c r="F561" s="49"/>
    </row>
    <row r="562" spans="5:6">
      <c r="F562" s="49"/>
    </row>
    <row r="563" spans="5:6">
      <c r="F563" s="49"/>
    </row>
    <row r="564" spans="5:6">
      <c r="F564" s="49"/>
    </row>
    <row r="565" spans="5:6">
      <c r="F565" s="49"/>
    </row>
    <row r="566" spans="5:6">
      <c r="F566" s="49"/>
    </row>
    <row r="567" spans="5:6">
      <c r="F567" s="49"/>
    </row>
    <row r="568" spans="5:6">
      <c r="F568" s="49"/>
    </row>
    <row r="569" spans="5:6">
      <c r="F569" s="49"/>
    </row>
    <row r="570" spans="5:6">
      <c r="F570" s="49"/>
    </row>
    <row r="571" spans="5:6">
      <c r="F571" s="49"/>
    </row>
    <row r="572" spans="5:6">
      <c r="F572" s="49"/>
    </row>
    <row r="573" spans="5:6">
      <c r="F573" s="49"/>
    </row>
    <row r="574" spans="5:6">
      <c r="E574" s="57"/>
      <c r="F574" s="49"/>
    </row>
    <row r="575" spans="5:6">
      <c r="E575" s="57"/>
      <c r="F575" s="49"/>
    </row>
    <row r="576" spans="5:6">
      <c r="E576" s="57"/>
      <c r="F576" s="49"/>
    </row>
    <row r="577" spans="5:6">
      <c r="E577" s="57"/>
      <c r="F577" s="49"/>
    </row>
    <row r="578" spans="5:6">
      <c r="E578" s="57"/>
      <c r="F578" s="49"/>
    </row>
    <row r="579" spans="5:6">
      <c r="E579" s="57"/>
      <c r="F579" s="49"/>
    </row>
    <row r="580" spans="5:6">
      <c r="E580" s="57"/>
      <c r="F580" s="49"/>
    </row>
    <row r="581" spans="5:6">
      <c r="E581" s="57"/>
      <c r="F581" s="49"/>
    </row>
    <row r="582" spans="5:6">
      <c r="E582" s="57"/>
      <c r="F582" s="49"/>
    </row>
    <row r="583" spans="5:6">
      <c r="E583" s="57"/>
      <c r="F583" s="49"/>
    </row>
    <row r="584" spans="5:6">
      <c r="E584" s="57"/>
      <c r="F584" s="49"/>
    </row>
    <row r="585" spans="5:6">
      <c r="E585" s="57"/>
      <c r="F585" s="49"/>
    </row>
    <row r="586" spans="5:6">
      <c r="E586" s="57"/>
      <c r="F586" s="49"/>
    </row>
    <row r="587" spans="5:6">
      <c r="E587" s="57"/>
      <c r="F587" s="49"/>
    </row>
    <row r="588" spans="5:6">
      <c r="E588" s="57"/>
      <c r="F588" s="49"/>
    </row>
    <row r="589" spans="5:6">
      <c r="E589" s="57"/>
      <c r="F589" s="49"/>
    </row>
    <row r="590" spans="5:6">
      <c r="E590" s="57"/>
      <c r="F590" s="49"/>
    </row>
    <row r="591" spans="5:6">
      <c r="F591" s="49"/>
    </row>
    <row r="592" spans="5:6">
      <c r="F592" s="49"/>
    </row>
    <row r="593" spans="5:6">
      <c r="F593" s="49"/>
    </row>
    <row r="594" spans="5:6">
      <c r="F594" s="49"/>
    </row>
    <row r="595" spans="5:6">
      <c r="F595" s="49"/>
    </row>
    <row r="596" spans="5:6">
      <c r="F596" s="49"/>
    </row>
    <row r="597" spans="5:6">
      <c r="F597" s="49"/>
    </row>
    <row r="598" spans="5:6">
      <c r="F598" s="49"/>
    </row>
    <row r="599" spans="5:6">
      <c r="F599" s="49"/>
    </row>
    <row r="600" spans="5:6">
      <c r="F600" s="49"/>
    </row>
    <row r="601" spans="5:6">
      <c r="F601" s="49"/>
    </row>
    <row r="602" spans="5:6">
      <c r="F602" s="49"/>
    </row>
    <row r="603" spans="5:6">
      <c r="F603" s="49"/>
    </row>
    <row r="604" spans="5:6">
      <c r="F604" s="49"/>
    </row>
    <row r="605" spans="5:6">
      <c r="F605" s="49"/>
    </row>
    <row r="606" spans="5:6">
      <c r="E606" s="57"/>
      <c r="F606" s="49"/>
    </row>
    <row r="607" spans="5:6">
      <c r="F607" s="49"/>
    </row>
    <row r="608" spans="5:6">
      <c r="F608" s="49"/>
    </row>
    <row r="609" spans="5:6">
      <c r="F609" s="49"/>
    </row>
    <row r="610" spans="5:6">
      <c r="F610" s="49"/>
    </row>
    <row r="611" spans="5:6">
      <c r="F611" s="49"/>
    </row>
    <row r="612" spans="5:6">
      <c r="E612" s="57"/>
      <c r="F612" s="49"/>
    </row>
    <row r="613" spans="5:6">
      <c r="F613" s="49"/>
    </row>
    <row r="614" spans="5:6">
      <c r="F614" s="49"/>
    </row>
    <row r="615" spans="5:6">
      <c r="F615" s="49"/>
    </row>
    <row r="616" spans="5:6">
      <c r="F616" s="49"/>
    </row>
    <row r="617" spans="5:6">
      <c r="F617" s="49"/>
    </row>
    <row r="618" spans="5:6">
      <c r="F618" s="49"/>
    </row>
    <row r="619" spans="5:6">
      <c r="F619" s="49"/>
    </row>
    <row r="620" spans="5:6">
      <c r="F620" s="49"/>
    </row>
    <row r="621" spans="5:6">
      <c r="F621" s="49"/>
    </row>
    <row r="622" spans="5:6">
      <c r="F622" s="49"/>
    </row>
    <row r="623" spans="5:6">
      <c r="F623" s="49"/>
    </row>
    <row r="624" spans="5:6">
      <c r="F624" s="49"/>
    </row>
    <row r="625" spans="6:6">
      <c r="F625" s="49"/>
    </row>
    <row r="626" spans="6:6">
      <c r="F626" s="49"/>
    </row>
    <row r="627" spans="6:6">
      <c r="F627" s="49"/>
    </row>
    <row r="628" spans="6:6">
      <c r="F628" s="49"/>
    </row>
    <row r="629" spans="6:6">
      <c r="F629" s="49"/>
    </row>
    <row r="630" spans="6:6">
      <c r="F630" s="49"/>
    </row>
    <row r="631" spans="6:6">
      <c r="F631" s="49"/>
    </row>
    <row r="632" spans="6:6">
      <c r="F632" s="49"/>
    </row>
    <row r="633" spans="6:6">
      <c r="F633" s="49"/>
    </row>
    <row r="634" spans="6:6">
      <c r="F634" s="49"/>
    </row>
    <row r="635" spans="6:6">
      <c r="F635" s="49"/>
    </row>
    <row r="636" spans="6:6">
      <c r="F636" s="49"/>
    </row>
    <row r="637" spans="6:6">
      <c r="F637" s="49"/>
    </row>
    <row r="638" spans="6:6">
      <c r="F638" s="49"/>
    </row>
    <row r="639" spans="6:6">
      <c r="F639" s="49"/>
    </row>
    <row r="640" spans="6:6">
      <c r="F640" s="49"/>
    </row>
    <row r="641" spans="5:6">
      <c r="F641" s="49"/>
    </row>
    <row r="642" spans="5:6">
      <c r="F642" s="49"/>
    </row>
    <row r="643" spans="5:6">
      <c r="F643" s="49"/>
    </row>
    <row r="644" spans="5:6">
      <c r="F644" s="49"/>
    </row>
    <row r="645" spans="5:6">
      <c r="F645" s="49"/>
    </row>
    <row r="646" spans="5:6">
      <c r="F646" s="49"/>
    </row>
    <row r="647" spans="5:6">
      <c r="F647" s="49"/>
    </row>
    <row r="648" spans="5:6">
      <c r="F648" s="49"/>
    </row>
    <row r="649" spans="5:6">
      <c r="F649" s="49"/>
    </row>
    <row r="650" spans="5:6">
      <c r="F650" s="49"/>
    </row>
    <row r="651" spans="5:6">
      <c r="E651" s="57"/>
      <c r="F651" s="49"/>
    </row>
    <row r="652" spans="5:6">
      <c r="E652" s="57"/>
      <c r="F652" s="49"/>
    </row>
    <row r="653" spans="5:6">
      <c r="F653" s="49"/>
    </row>
    <row r="654" spans="5:6">
      <c r="F654" s="49"/>
    </row>
    <row r="655" spans="5:6">
      <c r="F655" s="49"/>
    </row>
    <row r="656" spans="5:6">
      <c r="F656" s="49"/>
    </row>
    <row r="657" spans="5:6">
      <c r="F657" s="49"/>
    </row>
    <row r="658" spans="5:6">
      <c r="F658" s="49"/>
    </row>
    <row r="659" spans="5:6">
      <c r="F659" s="49"/>
    </row>
    <row r="660" spans="5:6">
      <c r="E660" s="57"/>
      <c r="F660" s="49"/>
    </row>
    <row r="661" spans="5:6">
      <c r="E661" s="57"/>
      <c r="F661" s="49"/>
    </row>
    <row r="662" spans="5:6">
      <c r="E662" s="57"/>
      <c r="F662" s="49"/>
    </row>
    <row r="663" spans="5:6">
      <c r="E663" s="57"/>
      <c r="F663" s="49"/>
    </row>
    <row r="664" spans="5:6">
      <c r="E664" s="57"/>
      <c r="F664" s="49"/>
    </row>
    <row r="665" spans="5:6">
      <c r="E665" s="57"/>
      <c r="F665" s="49"/>
    </row>
    <row r="666" spans="5:6">
      <c r="E666" s="57"/>
      <c r="F666" s="49"/>
    </row>
    <row r="667" spans="5:6">
      <c r="E667" s="57"/>
      <c r="F667" s="49"/>
    </row>
    <row r="668" spans="5:6">
      <c r="E668" s="57"/>
      <c r="F668" s="49"/>
    </row>
    <row r="669" spans="5:6">
      <c r="E669" s="57"/>
      <c r="F669" s="49"/>
    </row>
    <row r="670" spans="5:6">
      <c r="E670" s="57"/>
      <c r="F670" s="49"/>
    </row>
    <row r="671" spans="5:6">
      <c r="E671" s="57"/>
      <c r="F671" s="49"/>
    </row>
    <row r="672" spans="5:6">
      <c r="E672" s="57"/>
      <c r="F672" s="49"/>
    </row>
    <row r="673" spans="5:6">
      <c r="F673" s="49"/>
    </row>
    <row r="674" spans="5:6">
      <c r="E674" s="57"/>
      <c r="F674" s="49"/>
    </row>
    <row r="675" spans="5:6">
      <c r="E675" s="57"/>
      <c r="F675" s="49"/>
    </row>
    <row r="676" spans="5:6">
      <c r="E676" s="57"/>
      <c r="F676" s="49"/>
    </row>
    <row r="677" spans="5:6">
      <c r="E677" s="57"/>
      <c r="F677" s="49"/>
    </row>
    <row r="678" spans="5:6">
      <c r="E678" s="57"/>
      <c r="F678" s="49"/>
    </row>
    <row r="679" spans="5:6">
      <c r="F679" s="49"/>
    </row>
    <row r="680" spans="5:6">
      <c r="F680" s="49"/>
    </row>
    <row r="681" spans="5:6">
      <c r="F681" s="49"/>
    </row>
    <row r="682" spans="5:6">
      <c r="F682" s="49"/>
    </row>
    <row r="683" spans="5:6">
      <c r="F683" s="49"/>
    </row>
    <row r="684" spans="5:6">
      <c r="F684" s="49"/>
    </row>
    <row r="685" spans="5:6">
      <c r="F685" s="49"/>
    </row>
    <row r="686" spans="5:6">
      <c r="F686" s="49"/>
    </row>
    <row r="687" spans="5:6">
      <c r="F687" s="49"/>
    </row>
    <row r="688" spans="5:6">
      <c r="F688" s="49"/>
    </row>
    <row r="689" spans="5:6">
      <c r="F689" s="49"/>
    </row>
    <row r="690" spans="5:6">
      <c r="F690" s="49"/>
    </row>
    <row r="691" spans="5:6">
      <c r="E691" s="57"/>
      <c r="F691" s="49"/>
    </row>
    <row r="692" spans="5:6">
      <c r="F692" s="49"/>
    </row>
    <row r="693" spans="5:6">
      <c r="F693" s="49"/>
    </row>
  </sheetData>
  <autoFilter ref="E8:I155">
    <filterColumn colId="0">
      <filters>
        <dateGroupItem year="2017" dateTimeGrouping="year"/>
      </filters>
    </filterColumn>
    <sortState ref="E9:I156">
      <sortCondition ref="F8:F156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R41"/>
  <sheetViews>
    <sheetView view="pageBreakPreview" topLeftCell="C14" zoomScale="60" zoomScaleNormal="55" workbookViewId="0">
      <selection activeCell="E22" sqref="E22"/>
    </sheetView>
  </sheetViews>
  <sheetFormatPr defaultRowHeight="15"/>
  <cols>
    <col min="5" max="5" width="69.5703125" customWidth="1"/>
    <col min="6" max="11" width="28.85546875" style="52" customWidth="1"/>
    <col min="12" max="12" width="16.5703125" style="52" customWidth="1"/>
    <col min="13" max="13" width="14.85546875" style="52" customWidth="1"/>
    <col min="14" max="15" width="13.7109375" style="52" customWidth="1"/>
    <col min="16" max="17" width="16.28515625" style="52" customWidth="1"/>
    <col min="18" max="18" width="12.7109375" style="52" customWidth="1"/>
    <col min="19" max="20" width="12.7109375" bestFit="1" customWidth="1"/>
    <col min="21" max="21" width="13.42578125" bestFit="1" customWidth="1"/>
    <col min="22" max="23" width="13.7109375" bestFit="1" customWidth="1"/>
    <col min="24" max="24" width="16.28515625" bestFit="1" customWidth="1"/>
    <col min="25" max="25" width="17" bestFit="1" customWidth="1"/>
    <col min="26" max="26" width="15.140625" bestFit="1" customWidth="1"/>
    <col min="27" max="28" width="10.7109375" bestFit="1" customWidth="1"/>
    <col min="29" max="29" width="11" bestFit="1" customWidth="1"/>
    <col min="30" max="41" width="10.7109375" bestFit="1" customWidth="1"/>
    <col min="42" max="42" width="11" bestFit="1" customWidth="1"/>
    <col min="43" max="58" width="10.7109375" bestFit="1" customWidth="1"/>
    <col min="59" max="59" width="12" bestFit="1" customWidth="1"/>
  </cols>
  <sheetData>
    <row r="6" spans="5:18">
      <c r="E6" s="51" t="s">
        <v>56</v>
      </c>
      <c r="F6" s="61" t="s">
        <v>55</v>
      </c>
      <c r="L6"/>
      <c r="M6"/>
      <c r="N6"/>
      <c r="O6"/>
      <c r="P6"/>
      <c r="Q6"/>
      <c r="R6"/>
    </row>
    <row r="7" spans="5:18">
      <c r="E7" s="51" t="s">
        <v>53</v>
      </c>
      <c r="F7" s="62">
        <v>43040</v>
      </c>
      <c r="G7" s="62">
        <v>43070</v>
      </c>
      <c r="H7" s="62">
        <v>43101</v>
      </c>
      <c r="I7" s="62">
        <v>43132</v>
      </c>
      <c r="J7" s="62">
        <v>43160</v>
      </c>
      <c r="K7" s="52" t="s">
        <v>54</v>
      </c>
      <c r="L7"/>
      <c r="M7"/>
      <c r="N7"/>
      <c r="O7"/>
      <c r="P7"/>
      <c r="Q7"/>
      <c r="R7"/>
    </row>
    <row r="8" spans="5:18" s="65" customFormat="1" ht="36" customHeight="1">
      <c r="E8" s="63" t="s">
        <v>44</v>
      </c>
      <c r="F8" s="64"/>
      <c r="G8" s="64"/>
      <c r="H8" s="64">
        <v>15665.76</v>
      </c>
      <c r="I8" s="64">
        <v>15665.76</v>
      </c>
      <c r="J8" s="64">
        <v>15665.76</v>
      </c>
      <c r="K8" s="64">
        <v>46997.279999999999</v>
      </c>
    </row>
    <row r="9" spans="5:18" s="65" customFormat="1" ht="36" customHeight="1">
      <c r="E9" s="63" t="s">
        <v>45</v>
      </c>
      <c r="F9" s="64"/>
      <c r="G9" s="64"/>
      <c r="H9" s="64">
        <v>3995.39</v>
      </c>
      <c r="I9" s="64">
        <v>3995.39</v>
      </c>
      <c r="J9" s="64">
        <v>3995.39</v>
      </c>
      <c r="K9" s="64">
        <v>11986.17</v>
      </c>
    </row>
    <row r="10" spans="5:18" s="65" customFormat="1" ht="36" customHeight="1">
      <c r="E10" s="63" t="s">
        <v>46</v>
      </c>
      <c r="F10" s="64"/>
      <c r="G10" s="64"/>
      <c r="H10" s="64">
        <v>118638.86</v>
      </c>
      <c r="I10" s="64">
        <v>59319.43</v>
      </c>
      <c r="J10" s="64"/>
      <c r="K10" s="64">
        <v>177958.29</v>
      </c>
    </row>
    <row r="11" spans="5:18" s="65" customFormat="1" ht="36" customHeight="1">
      <c r="E11" s="63" t="s">
        <v>21</v>
      </c>
      <c r="F11" s="64"/>
      <c r="G11" s="64"/>
      <c r="H11" s="64">
        <v>31080.240000000002</v>
      </c>
      <c r="I11" s="64">
        <v>31080.240000000002</v>
      </c>
      <c r="J11" s="64">
        <v>31080.240000000002</v>
      </c>
      <c r="K11" s="64">
        <v>93240.72</v>
      </c>
    </row>
    <row r="12" spans="5:18" s="65" customFormat="1" ht="36" customHeight="1">
      <c r="E12" s="63" t="s">
        <v>22</v>
      </c>
      <c r="F12" s="64"/>
      <c r="G12" s="64"/>
      <c r="H12" s="64">
        <v>40193.39</v>
      </c>
      <c r="I12" s="64">
        <v>40193.39</v>
      </c>
      <c r="J12" s="64">
        <v>40193.39</v>
      </c>
      <c r="K12" s="64">
        <v>120580.17</v>
      </c>
    </row>
    <row r="13" spans="5:18" s="65" customFormat="1" ht="36" customHeight="1">
      <c r="E13" s="63" t="s">
        <v>23</v>
      </c>
      <c r="F13" s="64"/>
      <c r="G13" s="64"/>
      <c r="H13" s="64">
        <v>34714.22</v>
      </c>
      <c r="I13" s="64">
        <v>34714.22</v>
      </c>
      <c r="J13" s="64">
        <v>34714.22</v>
      </c>
      <c r="K13" s="64">
        <v>104142.66</v>
      </c>
    </row>
    <row r="14" spans="5:18" s="65" customFormat="1" ht="36" customHeight="1">
      <c r="E14" s="63" t="s">
        <v>25</v>
      </c>
      <c r="F14" s="64"/>
      <c r="G14" s="64"/>
      <c r="H14" s="64">
        <v>7122.86</v>
      </c>
      <c r="I14" s="64">
        <v>7122.86</v>
      </c>
      <c r="J14" s="64">
        <v>7122.86</v>
      </c>
      <c r="K14" s="64">
        <v>21368.579999999998</v>
      </c>
    </row>
    <row r="15" spans="5:18" s="65" customFormat="1" ht="36" customHeight="1">
      <c r="E15" s="63" t="s">
        <v>27</v>
      </c>
      <c r="F15" s="64"/>
      <c r="G15" s="64"/>
      <c r="H15" s="64">
        <v>6296.62</v>
      </c>
      <c r="I15" s="64"/>
      <c r="J15" s="64"/>
      <c r="K15" s="64">
        <v>6296.62</v>
      </c>
    </row>
    <row r="16" spans="5:18" s="65" customFormat="1" ht="36" customHeight="1">
      <c r="E16" s="63" t="s">
        <v>28</v>
      </c>
      <c r="F16" s="64"/>
      <c r="G16" s="64"/>
      <c r="H16" s="64">
        <v>45300.460000000006</v>
      </c>
      <c r="I16" s="64">
        <v>45300.460000000006</v>
      </c>
      <c r="J16" s="64">
        <v>45300.460000000006</v>
      </c>
      <c r="K16" s="64">
        <v>135901.38</v>
      </c>
    </row>
    <row r="17" spans="5:11" s="65" customFormat="1" ht="36" customHeight="1">
      <c r="E17" s="63" t="s">
        <v>29</v>
      </c>
      <c r="F17" s="64"/>
      <c r="G17" s="64"/>
      <c r="H17" s="64">
        <v>14796.27</v>
      </c>
      <c r="I17" s="64">
        <v>14215</v>
      </c>
      <c r="J17" s="64">
        <v>14215</v>
      </c>
      <c r="K17" s="64">
        <v>43226.270000000004</v>
      </c>
    </row>
    <row r="18" spans="5:11" s="65" customFormat="1" ht="36" customHeight="1">
      <c r="E18" s="63" t="s">
        <v>48</v>
      </c>
      <c r="F18" s="64"/>
      <c r="G18" s="64"/>
      <c r="H18" s="64">
        <v>14547.64</v>
      </c>
      <c r="I18" s="64">
        <v>14547.64</v>
      </c>
      <c r="J18" s="64">
        <v>484.92</v>
      </c>
      <c r="K18" s="64">
        <v>29580.199999999997</v>
      </c>
    </row>
    <row r="19" spans="5:11" s="65" customFormat="1" ht="36" customHeight="1">
      <c r="E19" s="63" t="s">
        <v>47</v>
      </c>
      <c r="F19" s="64"/>
      <c r="G19" s="64">
        <v>10089.33</v>
      </c>
      <c r="H19" s="64">
        <v>169835.31999999998</v>
      </c>
      <c r="I19" s="64">
        <v>50897.8</v>
      </c>
      <c r="J19" s="64"/>
      <c r="K19" s="64">
        <v>230822.44999999995</v>
      </c>
    </row>
    <row r="20" spans="5:11" s="65" customFormat="1" ht="36" customHeight="1">
      <c r="E20" s="63" t="s">
        <v>30</v>
      </c>
      <c r="F20" s="64"/>
      <c r="G20" s="64"/>
      <c r="H20" s="64">
        <v>8032.97</v>
      </c>
      <c r="I20" s="64">
        <v>8032.97</v>
      </c>
      <c r="J20" s="64">
        <v>8032.97</v>
      </c>
      <c r="K20" s="64">
        <v>24098.91</v>
      </c>
    </row>
    <row r="21" spans="5:11" s="65" customFormat="1" ht="36" customHeight="1">
      <c r="E21" s="63" t="s">
        <v>49</v>
      </c>
      <c r="F21" s="64"/>
      <c r="G21" s="64">
        <v>20748.38</v>
      </c>
      <c r="H21" s="64"/>
      <c r="I21" s="64">
        <v>41496.76</v>
      </c>
      <c r="J21" s="64">
        <v>20748.38</v>
      </c>
      <c r="K21" s="64">
        <v>82993.52</v>
      </c>
    </row>
    <row r="22" spans="5:11" s="65" customFormat="1" ht="36" customHeight="1">
      <c r="E22" s="63" t="s">
        <v>31</v>
      </c>
      <c r="F22" s="64"/>
      <c r="G22" s="64">
        <v>14889.15</v>
      </c>
      <c r="H22" s="64"/>
      <c r="I22" s="64">
        <v>14889.15</v>
      </c>
      <c r="J22" s="64">
        <v>14889.15</v>
      </c>
      <c r="K22" s="64">
        <v>44667.45</v>
      </c>
    </row>
    <row r="23" spans="5:11" s="65" customFormat="1" ht="36" customHeight="1">
      <c r="E23" s="63" t="s">
        <v>43</v>
      </c>
      <c r="F23" s="64"/>
      <c r="G23" s="64"/>
      <c r="H23" s="64">
        <v>5060.18</v>
      </c>
      <c r="I23" s="64">
        <v>5060.18</v>
      </c>
      <c r="J23" s="64">
        <v>5060.18</v>
      </c>
      <c r="K23" s="64">
        <v>15180.54</v>
      </c>
    </row>
    <row r="24" spans="5:11" s="65" customFormat="1" ht="36" customHeight="1">
      <c r="E24" s="63" t="s">
        <v>33</v>
      </c>
      <c r="F24" s="64"/>
      <c r="G24" s="64"/>
      <c r="H24" s="64">
        <v>17526.05</v>
      </c>
      <c r="I24" s="64">
        <v>17526.05</v>
      </c>
      <c r="J24" s="64">
        <v>17526.05</v>
      </c>
      <c r="K24" s="64">
        <v>52578.149999999994</v>
      </c>
    </row>
    <row r="25" spans="5:11" s="65" customFormat="1" ht="36" customHeight="1">
      <c r="E25" s="63" t="s">
        <v>34</v>
      </c>
      <c r="F25" s="64"/>
      <c r="G25" s="64"/>
      <c r="H25" s="64">
        <v>17581.75</v>
      </c>
      <c r="I25" s="64">
        <v>17581.75</v>
      </c>
      <c r="J25" s="64">
        <v>17581.75</v>
      </c>
      <c r="K25" s="64">
        <v>52745.25</v>
      </c>
    </row>
    <row r="26" spans="5:11" s="65" customFormat="1" ht="36" customHeight="1">
      <c r="E26" s="63" t="s">
        <v>35</v>
      </c>
      <c r="F26" s="64"/>
      <c r="G26" s="64"/>
      <c r="H26" s="64">
        <v>54802.400000000001</v>
      </c>
      <c r="I26" s="64">
        <v>27401.200000000001</v>
      </c>
      <c r="J26" s="64"/>
      <c r="K26" s="64">
        <v>82203.600000000006</v>
      </c>
    </row>
    <row r="27" spans="5:11" s="65" customFormat="1" ht="36" customHeight="1">
      <c r="E27" s="63" t="s">
        <v>36</v>
      </c>
      <c r="F27" s="64"/>
      <c r="G27" s="64"/>
      <c r="H27" s="64">
        <v>61844.22</v>
      </c>
      <c r="I27" s="64">
        <v>61844.22</v>
      </c>
      <c r="J27" s="64">
        <v>61844.22</v>
      </c>
      <c r="K27" s="64">
        <v>185532.66</v>
      </c>
    </row>
    <row r="28" spans="5:11" s="65" customFormat="1" ht="36" customHeight="1">
      <c r="E28" s="63" t="s">
        <v>19</v>
      </c>
      <c r="F28" s="64">
        <v>439.47</v>
      </c>
      <c r="G28" s="64"/>
      <c r="H28" s="64">
        <v>13100.689999999999</v>
      </c>
      <c r="I28" s="64">
        <v>12880.95</v>
      </c>
      <c r="J28" s="64">
        <v>12880.95</v>
      </c>
      <c r="K28" s="64">
        <v>39302.06</v>
      </c>
    </row>
    <row r="29" spans="5:11" s="65" customFormat="1" ht="36" customHeight="1">
      <c r="E29" s="63" t="s">
        <v>57</v>
      </c>
      <c r="F29" s="64"/>
      <c r="G29" s="64">
        <v>11009.52</v>
      </c>
      <c r="H29" s="64">
        <v>237539.40999999995</v>
      </c>
      <c r="I29" s="64">
        <v>3019.39</v>
      </c>
      <c r="J29" s="64">
        <v>3019.39</v>
      </c>
      <c r="K29" s="64">
        <v>254587.70999999996</v>
      </c>
    </row>
    <row r="30" spans="5:11" s="65" customFormat="1" ht="36" customHeight="1">
      <c r="E30" s="63" t="s">
        <v>58</v>
      </c>
      <c r="F30" s="64"/>
      <c r="G30" s="64"/>
      <c r="H30" s="64"/>
      <c r="I30" s="64"/>
      <c r="J30" s="64">
        <v>686193.05</v>
      </c>
      <c r="K30" s="64">
        <v>686193.05</v>
      </c>
    </row>
    <row r="31" spans="5:11" s="65" customFormat="1" ht="36" customHeight="1">
      <c r="E31" s="63" t="s">
        <v>59</v>
      </c>
      <c r="F31" s="64"/>
      <c r="G31" s="64"/>
      <c r="H31" s="64">
        <v>15080.15</v>
      </c>
      <c r="I31" s="64">
        <v>34473.83</v>
      </c>
      <c r="J31" s="64">
        <v>25144.86</v>
      </c>
      <c r="K31" s="64">
        <v>74698.84</v>
      </c>
    </row>
    <row r="32" spans="5:11" s="65" customFormat="1" ht="36" customHeight="1">
      <c r="E32" s="63" t="s">
        <v>60</v>
      </c>
      <c r="F32" s="64"/>
      <c r="G32" s="64"/>
      <c r="H32" s="64">
        <v>5089.6000000000004</v>
      </c>
      <c r="I32" s="64">
        <v>3817.2</v>
      </c>
      <c r="J32" s="64">
        <v>3817.2</v>
      </c>
      <c r="K32" s="64">
        <v>12724</v>
      </c>
    </row>
    <row r="33" spans="5:18" s="65" customFormat="1" ht="36" customHeight="1">
      <c r="E33" s="63" t="s">
        <v>54</v>
      </c>
      <c r="F33" s="64">
        <v>439.47</v>
      </c>
      <c r="G33" s="64">
        <v>56736.380000000005</v>
      </c>
      <c r="H33" s="64">
        <v>937844.44999999984</v>
      </c>
      <c r="I33" s="64">
        <v>565075.83999999985</v>
      </c>
      <c r="J33" s="64">
        <v>1069510.3900000001</v>
      </c>
      <c r="K33" s="64">
        <v>2629606.5299999993</v>
      </c>
    </row>
    <row r="34" spans="5:18" ht="26.25" customHeight="1">
      <c r="L34"/>
      <c r="M34"/>
      <c r="N34"/>
      <c r="O34"/>
      <c r="P34"/>
      <c r="Q34"/>
      <c r="R34"/>
    </row>
    <row r="35" spans="5:18" ht="26.25" customHeight="1">
      <c r="L35"/>
      <c r="M35"/>
      <c r="N35"/>
      <c r="O35"/>
      <c r="P35"/>
      <c r="Q35"/>
      <c r="R35"/>
    </row>
    <row r="36" spans="5:18" ht="26.25" customHeight="1">
      <c r="L36"/>
      <c r="M36"/>
      <c r="N36"/>
      <c r="O36"/>
      <c r="P36"/>
      <c r="Q36"/>
      <c r="R36"/>
    </row>
    <row r="37" spans="5:18" ht="26.25" customHeight="1">
      <c r="L37"/>
      <c r="M37"/>
      <c r="N37"/>
      <c r="O37"/>
      <c r="P37"/>
      <c r="Q37"/>
      <c r="R37"/>
    </row>
    <row r="38" spans="5:18" ht="26.25" customHeight="1">
      <c r="L38"/>
      <c r="M38"/>
      <c r="N38"/>
      <c r="O38"/>
      <c r="P38"/>
      <c r="Q38"/>
      <c r="R38"/>
    </row>
    <row r="39" spans="5:18" ht="26.25" customHeight="1">
      <c r="L39"/>
      <c r="M39"/>
      <c r="N39"/>
      <c r="O39"/>
      <c r="P39"/>
      <c r="Q39"/>
      <c r="R39"/>
    </row>
    <row r="40" spans="5:18" ht="26.25" customHeight="1">
      <c r="L40"/>
      <c r="M40"/>
      <c r="N40"/>
      <c r="O40"/>
      <c r="P40"/>
      <c r="Q40"/>
      <c r="R40"/>
    </row>
    <row r="41" spans="5:18">
      <c r="L41"/>
      <c r="M41"/>
      <c r="N41"/>
      <c r="O41"/>
      <c r="P41"/>
      <c r="Q41"/>
      <c r="R41"/>
    </row>
  </sheetData>
  <pageMargins left="0.15748031496062992" right="0.15748031496062992" top="0.35433070866141736" bottom="0.78740157480314965" header="0.31496062992125984" footer="0.31496062992125984"/>
  <pageSetup paperSize="9" scale="53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N79"/>
  <sheetViews>
    <sheetView topLeftCell="C54" workbookViewId="0">
      <selection activeCell="K66" sqref="K66"/>
    </sheetView>
  </sheetViews>
  <sheetFormatPr defaultRowHeight="15"/>
  <cols>
    <col min="8" max="8" width="10.7109375" bestFit="1" customWidth="1"/>
    <col min="9" max="9" width="2" bestFit="1" customWidth="1"/>
    <col min="10" max="10" width="53" customWidth="1"/>
    <col min="11" max="12" width="10.140625" bestFit="1" customWidth="1"/>
    <col min="13" max="13" width="17.140625" customWidth="1"/>
    <col min="14" max="14" width="62.5703125" bestFit="1" customWidth="1"/>
  </cols>
  <sheetData>
    <row r="4" spans="8:14">
      <c r="H4" s="163" t="s">
        <v>61</v>
      </c>
      <c r="I4" s="163" t="s">
        <v>5</v>
      </c>
      <c r="J4" s="163" t="s">
        <v>2</v>
      </c>
      <c r="K4" s="163" t="s">
        <v>174</v>
      </c>
      <c r="L4" s="163" t="s">
        <v>175</v>
      </c>
      <c r="M4" s="163" t="s">
        <v>51</v>
      </c>
      <c r="N4" s="163" t="s">
        <v>176</v>
      </c>
    </row>
    <row r="5" spans="8:14">
      <c r="H5" s="49">
        <v>43455</v>
      </c>
      <c r="I5">
        <v>1</v>
      </c>
      <c r="J5" t="s">
        <v>76</v>
      </c>
      <c r="K5" s="158">
        <v>91843.27</v>
      </c>
      <c r="L5" s="158">
        <v>73796.070000000007</v>
      </c>
      <c r="M5" t="s">
        <v>126</v>
      </c>
      <c r="N5" t="s">
        <v>159</v>
      </c>
    </row>
    <row r="6" spans="8:14">
      <c r="H6" s="49">
        <v>43455</v>
      </c>
      <c r="I6">
        <v>1</v>
      </c>
      <c r="J6" t="s">
        <v>76</v>
      </c>
      <c r="K6" s="158">
        <v>3661.88</v>
      </c>
      <c r="L6" s="158">
        <v>2942.31</v>
      </c>
      <c r="M6" t="s">
        <v>126</v>
      </c>
      <c r="N6" t="s">
        <v>159</v>
      </c>
    </row>
    <row r="7" spans="8:14">
      <c r="H7" s="49">
        <v>43444</v>
      </c>
      <c r="I7">
        <v>1</v>
      </c>
      <c r="J7" t="s">
        <v>45</v>
      </c>
      <c r="K7" s="158">
        <v>3995.39</v>
      </c>
      <c r="L7" s="158">
        <v>3250.26</v>
      </c>
      <c r="M7" t="s">
        <v>126</v>
      </c>
      <c r="N7" t="s">
        <v>151</v>
      </c>
    </row>
    <row r="8" spans="8:14">
      <c r="H8" s="49">
        <v>43447</v>
      </c>
      <c r="I8">
        <v>1</v>
      </c>
      <c r="J8" t="s">
        <v>75</v>
      </c>
      <c r="K8" s="158">
        <v>8773.41</v>
      </c>
      <c r="L8" s="158">
        <v>7137.17</v>
      </c>
      <c r="M8" t="s">
        <v>126</v>
      </c>
      <c r="N8" t="s">
        <v>152</v>
      </c>
    </row>
    <row r="9" spans="8:14">
      <c r="H9" s="49">
        <v>43447</v>
      </c>
      <c r="I9">
        <v>1</v>
      </c>
      <c r="J9" t="s">
        <v>75</v>
      </c>
      <c r="K9" s="158">
        <v>7833.84</v>
      </c>
      <c r="L9" s="158">
        <v>6372.82</v>
      </c>
      <c r="M9" t="s">
        <v>126</v>
      </c>
      <c r="N9" t="s">
        <v>152</v>
      </c>
    </row>
    <row r="10" spans="8:14">
      <c r="H10" s="49">
        <v>43440</v>
      </c>
      <c r="I10">
        <v>1</v>
      </c>
      <c r="J10" t="s">
        <v>46</v>
      </c>
      <c r="K10" s="158">
        <v>59410.82</v>
      </c>
      <c r="L10" s="158">
        <v>47142.49</v>
      </c>
      <c r="M10" t="s">
        <v>126</v>
      </c>
      <c r="N10" t="s">
        <v>46</v>
      </c>
    </row>
    <row r="11" spans="8:14">
      <c r="H11" s="49">
        <v>43437</v>
      </c>
      <c r="I11">
        <v>1</v>
      </c>
      <c r="J11" t="s">
        <v>132</v>
      </c>
      <c r="K11" s="158">
        <v>32012.639999999999</v>
      </c>
      <c r="L11" s="158">
        <v>25402.03</v>
      </c>
      <c r="M11" t="s">
        <v>126</v>
      </c>
      <c r="N11" t="s">
        <v>132</v>
      </c>
    </row>
    <row r="12" spans="8:14">
      <c r="H12" s="49">
        <v>43440</v>
      </c>
      <c r="I12">
        <v>1</v>
      </c>
      <c r="J12" t="s">
        <v>133</v>
      </c>
      <c r="K12" s="158">
        <v>47301.53</v>
      </c>
      <c r="L12" s="158">
        <v>38952.800000000003</v>
      </c>
      <c r="M12" t="s">
        <v>126</v>
      </c>
      <c r="N12" t="s">
        <v>133</v>
      </c>
    </row>
    <row r="13" spans="8:14">
      <c r="H13" s="49">
        <v>43447</v>
      </c>
      <c r="I13">
        <v>1</v>
      </c>
      <c r="J13" t="s">
        <v>156</v>
      </c>
      <c r="K13" s="158">
        <v>36309.07</v>
      </c>
      <c r="L13" s="158">
        <v>28811.25</v>
      </c>
      <c r="M13" t="s">
        <v>126</v>
      </c>
      <c r="N13" t="s">
        <v>156</v>
      </c>
    </row>
    <row r="14" spans="8:14">
      <c r="H14" s="49">
        <v>43437</v>
      </c>
      <c r="I14">
        <v>1</v>
      </c>
      <c r="J14" t="s">
        <v>143</v>
      </c>
      <c r="K14" s="158">
        <v>3346.19</v>
      </c>
      <c r="L14" s="158">
        <v>2621.74</v>
      </c>
      <c r="M14" t="s">
        <v>126</v>
      </c>
      <c r="N14" t="s">
        <v>143</v>
      </c>
    </row>
    <row r="15" spans="8:14">
      <c r="H15" s="49">
        <v>43455</v>
      </c>
      <c r="I15">
        <v>1</v>
      </c>
      <c r="J15" t="s">
        <v>161</v>
      </c>
      <c r="K15" s="158">
        <v>251593.23</v>
      </c>
      <c r="L15" s="158">
        <v>204671.09</v>
      </c>
      <c r="M15" t="s">
        <v>126</v>
      </c>
      <c r="N15" t="s">
        <v>161</v>
      </c>
    </row>
    <row r="16" spans="8:14">
      <c r="H16" s="49">
        <v>43460</v>
      </c>
      <c r="I16">
        <v>1</v>
      </c>
      <c r="J16" t="s">
        <v>128</v>
      </c>
      <c r="K16" s="158">
        <v>192809.92</v>
      </c>
      <c r="L16" s="158">
        <v>156850.87</v>
      </c>
      <c r="M16" t="s">
        <v>126</v>
      </c>
      <c r="N16" t="s">
        <v>160</v>
      </c>
    </row>
    <row r="17" spans="8:14">
      <c r="H17" s="49">
        <v>43438</v>
      </c>
      <c r="I17">
        <v>1</v>
      </c>
      <c r="J17" t="s">
        <v>177</v>
      </c>
      <c r="K17" s="158">
        <v>9340.84</v>
      </c>
      <c r="L17" s="158">
        <v>7318.54</v>
      </c>
      <c r="M17" t="s">
        <v>126</v>
      </c>
      <c r="N17" t="s">
        <v>139</v>
      </c>
    </row>
    <row r="18" spans="8:14">
      <c r="H18" s="49">
        <v>43438</v>
      </c>
      <c r="I18">
        <v>1</v>
      </c>
      <c r="J18" t="s">
        <v>177</v>
      </c>
      <c r="K18" s="158">
        <v>9340.7999999999993</v>
      </c>
      <c r="L18" s="158">
        <v>7318.51</v>
      </c>
      <c r="M18" t="s">
        <v>126</v>
      </c>
      <c r="N18" t="s">
        <v>139</v>
      </c>
    </row>
    <row r="19" spans="8:14">
      <c r="H19" s="49">
        <v>43438</v>
      </c>
      <c r="I19">
        <v>1</v>
      </c>
      <c r="J19" t="s">
        <v>177</v>
      </c>
      <c r="K19" s="158">
        <v>9528</v>
      </c>
      <c r="L19" s="158">
        <v>7465.19</v>
      </c>
      <c r="M19" t="s">
        <v>126</v>
      </c>
      <c r="N19" t="s">
        <v>140</v>
      </c>
    </row>
    <row r="20" spans="8:14">
      <c r="H20" s="49">
        <v>43438</v>
      </c>
      <c r="I20">
        <v>1</v>
      </c>
      <c r="J20" t="s">
        <v>177</v>
      </c>
      <c r="K20" s="158">
        <v>18681.599999999999</v>
      </c>
      <c r="L20" s="158">
        <v>14637.02</v>
      </c>
      <c r="M20" t="s">
        <v>126</v>
      </c>
      <c r="N20" t="s">
        <v>139</v>
      </c>
    </row>
    <row r="21" spans="8:14">
      <c r="H21" s="49">
        <v>43438</v>
      </c>
      <c r="I21">
        <v>1</v>
      </c>
      <c r="J21" t="s">
        <v>177</v>
      </c>
      <c r="K21" s="158">
        <v>9733.36</v>
      </c>
      <c r="L21" s="158">
        <v>7626.09</v>
      </c>
      <c r="M21" t="s">
        <v>126</v>
      </c>
      <c r="N21" t="s">
        <v>139</v>
      </c>
    </row>
    <row r="22" spans="8:14">
      <c r="H22" s="49">
        <v>43438</v>
      </c>
      <c r="I22">
        <v>1</v>
      </c>
      <c r="J22" t="s">
        <v>177</v>
      </c>
      <c r="K22" s="158">
        <v>9340.84</v>
      </c>
      <c r="L22" s="158">
        <v>7318.54</v>
      </c>
      <c r="M22" t="s">
        <v>126</v>
      </c>
      <c r="N22" t="s">
        <v>139</v>
      </c>
    </row>
    <row r="23" spans="8:14">
      <c r="H23" s="49">
        <v>43438</v>
      </c>
      <c r="I23">
        <v>1</v>
      </c>
      <c r="J23" t="s">
        <v>177</v>
      </c>
      <c r="K23" s="158">
        <v>9340.7999999999993</v>
      </c>
      <c r="L23" s="158">
        <v>7318.51</v>
      </c>
      <c r="M23" t="s">
        <v>126</v>
      </c>
      <c r="N23" t="s">
        <v>139</v>
      </c>
    </row>
    <row r="24" spans="8:14">
      <c r="H24" s="49">
        <v>43438</v>
      </c>
      <c r="I24">
        <v>1</v>
      </c>
      <c r="J24" t="s">
        <v>177</v>
      </c>
      <c r="K24" s="158">
        <v>30543.599999999999</v>
      </c>
      <c r="L24" s="158">
        <v>23930.9</v>
      </c>
      <c r="M24" t="s">
        <v>126</v>
      </c>
      <c r="N24" t="s">
        <v>139</v>
      </c>
    </row>
    <row r="25" spans="8:14">
      <c r="H25" s="49">
        <v>43438</v>
      </c>
      <c r="I25">
        <v>1</v>
      </c>
      <c r="J25" t="s">
        <v>177</v>
      </c>
      <c r="K25" s="158">
        <v>11016</v>
      </c>
      <c r="L25" s="158">
        <v>8961.52</v>
      </c>
      <c r="M25" t="s">
        <v>126</v>
      </c>
      <c r="N25" t="s">
        <v>139</v>
      </c>
    </row>
    <row r="26" spans="8:14">
      <c r="H26" s="49">
        <v>43438</v>
      </c>
      <c r="I26">
        <v>1</v>
      </c>
      <c r="J26" t="s">
        <v>177</v>
      </c>
      <c r="K26" s="158">
        <v>9340.7999999999993</v>
      </c>
      <c r="L26" s="158">
        <v>7318.51</v>
      </c>
      <c r="M26" t="s">
        <v>126</v>
      </c>
      <c r="N26" t="s">
        <v>140</v>
      </c>
    </row>
    <row r="27" spans="8:14">
      <c r="H27" s="49">
        <v>43438</v>
      </c>
      <c r="I27">
        <v>1</v>
      </c>
      <c r="J27" t="s">
        <v>177</v>
      </c>
      <c r="K27" s="158">
        <v>25380</v>
      </c>
      <c r="L27" s="158">
        <v>19885.23</v>
      </c>
      <c r="M27" t="s">
        <v>126</v>
      </c>
      <c r="N27" t="s">
        <v>140</v>
      </c>
    </row>
    <row r="28" spans="8:14">
      <c r="H28" s="49">
        <v>43438</v>
      </c>
      <c r="I28">
        <v>1</v>
      </c>
      <c r="J28" t="s">
        <v>177</v>
      </c>
      <c r="K28" s="158">
        <v>9555</v>
      </c>
      <c r="L28" s="158">
        <v>7486.34</v>
      </c>
      <c r="M28" t="s">
        <v>126</v>
      </c>
      <c r="N28" t="s">
        <v>140</v>
      </c>
    </row>
    <row r="29" spans="8:14">
      <c r="H29" s="49">
        <v>43438</v>
      </c>
      <c r="I29">
        <v>1</v>
      </c>
      <c r="J29" t="s">
        <v>177</v>
      </c>
      <c r="K29" s="158">
        <v>4910.3999999999996</v>
      </c>
      <c r="L29" s="158">
        <v>3847.31</v>
      </c>
      <c r="M29" t="s">
        <v>126</v>
      </c>
      <c r="N29" t="s">
        <v>140</v>
      </c>
    </row>
    <row r="30" spans="8:14">
      <c r="H30" s="49">
        <v>43438</v>
      </c>
      <c r="I30">
        <v>1</v>
      </c>
      <c r="J30" t="s">
        <v>177</v>
      </c>
      <c r="K30" s="158">
        <v>7046.46</v>
      </c>
      <c r="L30" s="158">
        <v>5520.92</v>
      </c>
      <c r="M30" t="s">
        <v>126</v>
      </c>
      <c r="N30" t="s">
        <v>139</v>
      </c>
    </row>
    <row r="31" spans="8:14">
      <c r="H31" s="49">
        <v>43438</v>
      </c>
      <c r="I31">
        <v>1</v>
      </c>
      <c r="J31" t="s">
        <v>177</v>
      </c>
      <c r="K31" s="158">
        <v>7567.2</v>
      </c>
      <c r="L31" s="158">
        <v>5928.9</v>
      </c>
      <c r="M31" t="s">
        <v>126</v>
      </c>
      <c r="N31" t="s">
        <v>140</v>
      </c>
    </row>
    <row r="32" spans="8:14">
      <c r="H32" s="49">
        <v>43438</v>
      </c>
      <c r="I32">
        <v>1</v>
      </c>
      <c r="J32" t="s">
        <v>177</v>
      </c>
      <c r="K32" s="158">
        <v>6480</v>
      </c>
      <c r="L32" s="158">
        <v>5077.08</v>
      </c>
      <c r="M32" t="s">
        <v>126</v>
      </c>
      <c r="N32" t="s">
        <v>141</v>
      </c>
    </row>
    <row r="33" spans="8:14">
      <c r="H33" s="49">
        <v>43447</v>
      </c>
      <c r="I33">
        <v>1</v>
      </c>
      <c r="J33" t="s">
        <v>28</v>
      </c>
      <c r="K33" s="158">
        <v>26140.6</v>
      </c>
      <c r="L33" s="158">
        <v>21265.37</v>
      </c>
      <c r="M33" t="s">
        <v>126</v>
      </c>
      <c r="N33" t="s">
        <v>158</v>
      </c>
    </row>
    <row r="34" spans="8:14">
      <c r="H34" s="49">
        <v>43447</v>
      </c>
      <c r="I34">
        <v>1</v>
      </c>
      <c r="J34" t="s">
        <v>28</v>
      </c>
      <c r="K34" s="158">
        <v>25421.27</v>
      </c>
      <c r="L34" s="158">
        <v>20680.2</v>
      </c>
      <c r="M34" t="s">
        <v>126</v>
      </c>
      <c r="N34" t="s">
        <v>157</v>
      </c>
    </row>
    <row r="35" spans="8:14">
      <c r="H35" s="49">
        <v>43447</v>
      </c>
      <c r="I35">
        <v>1</v>
      </c>
      <c r="J35" t="s">
        <v>155</v>
      </c>
      <c r="K35" s="158">
        <v>14215</v>
      </c>
      <c r="L35" s="158">
        <v>11492.82</v>
      </c>
      <c r="M35" t="s">
        <v>126</v>
      </c>
      <c r="N35" t="s">
        <v>155</v>
      </c>
    </row>
    <row r="36" spans="8:14">
      <c r="H36" s="49">
        <v>43445</v>
      </c>
      <c r="I36">
        <v>1</v>
      </c>
      <c r="J36" t="s">
        <v>15</v>
      </c>
      <c r="K36" s="158">
        <v>7685.12</v>
      </c>
      <c r="L36" s="158">
        <v>6251.82</v>
      </c>
      <c r="M36" t="s">
        <v>126</v>
      </c>
      <c r="N36" t="s">
        <v>145</v>
      </c>
    </row>
    <row r="37" spans="8:14">
      <c r="H37" s="49">
        <v>43445</v>
      </c>
      <c r="I37">
        <v>1</v>
      </c>
      <c r="J37" t="s">
        <v>15</v>
      </c>
      <c r="K37" s="158">
        <v>7685.12</v>
      </c>
      <c r="L37" s="158">
        <v>6251.86</v>
      </c>
      <c r="M37" t="s">
        <v>126</v>
      </c>
      <c r="N37" t="s">
        <v>148</v>
      </c>
    </row>
    <row r="38" spans="8:14">
      <c r="H38" s="49">
        <v>43445</v>
      </c>
      <c r="I38">
        <v>1</v>
      </c>
      <c r="J38" t="s">
        <v>15</v>
      </c>
      <c r="K38" s="158">
        <v>7151.19</v>
      </c>
      <c r="L38" s="158">
        <v>5745.98</v>
      </c>
      <c r="M38" t="s">
        <v>126</v>
      </c>
      <c r="N38" t="s">
        <v>147</v>
      </c>
    </row>
    <row r="39" spans="8:14">
      <c r="H39" s="49">
        <v>43445</v>
      </c>
      <c r="I39">
        <v>1</v>
      </c>
      <c r="J39" t="s">
        <v>15</v>
      </c>
      <c r="K39" s="158">
        <v>7151.19</v>
      </c>
      <c r="L39" s="158">
        <v>5817.5</v>
      </c>
      <c r="M39" t="s">
        <v>126</v>
      </c>
      <c r="N39" t="s">
        <v>150</v>
      </c>
    </row>
    <row r="40" spans="8:14">
      <c r="H40" s="49">
        <v>43445</v>
      </c>
      <c r="I40">
        <v>1</v>
      </c>
      <c r="J40" t="s">
        <v>15</v>
      </c>
      <c r="K40" s="158">
        <v>7685.12</v>
      </c>
      <c r="L40" s="158">
        <v>6251.86</v>
      </c>
      <c r="M40" t="s">
        <v>126</v>
      </c>
      <c r="N40" t="s">
        <v>146</v>
      </c>
    </row>
    <row r="41" spans="8:14">
      <c r="H41" s="49">
        <v>43445</v>
      </c>
      <c r="I41">
        <v>1</v>
      </c>
      <c r="J41" t="s">
        <v>15</v>
      </c>
      <c r="K41" s="158">
        <v>7685.12</v>
      </c>
      <c r="L41" s="158">
        <v>6021.3</v>
      </c>
      <c r="M41" t="s">
        <v>126</v>
      </c>
      <c r="N41" t="s">
        <v>149</v>
      </c>
    </row>
    <row r="42" spans="8:14">
      <c r="H42" s="49">
        <v>43445</v>
      </c>
      <c r="I42">
        <v>1</v>
      </c>
      <c r="J42" t="s">
        <v>15</v>
      </c>
      <c r="K42">
        <v>667.95</v>
      </c>
      <c r="L42">
        <v>562.04</v>
      </c>
      <c r="M42" t="s">
        <v>126</v>
      </c>
      <c r="N42" t="s">
        <v>146</v>
      </c>
    </row>
    <row r="43" spans="8:14">
      <c r="H43" s="49">
        <v>43445</v>
      </c>
      <c r="I43">
        <v>1</v>
      </c>
      <c r="J43" t="s">
        <v>15</v>
      </c>
      <c r="K43" s="158">
        <v>1358.17</v>
      </c>
      <c r="L43" s="158">
        <v>1104.8699999999999</v>
      </c>
      <c r="M43" t="s">
        <v>126</v>
      </c>
      <c r="N43" t="s">
        <v>146</v>
      </c>
    </row>
    <row r="44" spans="8:14">
      <c r="H44" s="49">
        <v>43445</v>
      </c>
      <c r="I44">
        <v>1</v>
      </c>
      <c r="J44" t="s">
        <v>15</v>
      </c>
      <c r="K44">
        <v>578.89</v>
      </c>
      <c r="L44">
        <v>462.24</v>
      </c>
      <c r="M44" t="s">
        <v>126</v>
      </c>
      <c r="N44" t="s">
        <v>148</v>
      </c>
    </row>
    <row r="45" spans="8:14">
      <c r="H45" s="49">
        <v>43445</v>
      </c>
      <c r="I45">
        <v>1</v>
      </c>
      <c r="J45" t="s">
        <v>15</v>
      </c>
      <c r="K45">
        <v>133.59</v>
      </c>
      <c r="L45">
        <v>104.66</v>
      </c>
      <c r="M45" t="s">
        <v>126</v>
      </c>
      <c r="N45" t="s">
        <v>149</v>
      </c>
    </row>
    <row r="46" spans="8:14">
      <c r="H46" s="49">
        <v>43445</v>
      </c>
      <c r="I46">
        <v>1</v>
      </c>
      <c r="J46" t="s">
        <v>15</v>
      </c>
      <c r="K46">
        <v>133.59</v>
      </c>
      <c r="L46">
        <v>106.66</v>
      </c>
      <c r="M46" t="s">
        <v>126</v>
      </c>
      <c r="N46" t="s">
        <v>148</v>
      </c>
    </row>
    <row r="47" spans="8:14">
      <c r="H47" s="49">
        <v>43445</v>
      </c>
      <c r="I47">
        <v>1</v>
      </c>
      <c r="J47" t="s">
        <v>15</v>
      </c>
      <c r="K47">
        <v>133.59</v>
      </c>
      <c r="L47">
        <v>106.66</v>
      </c>
      <c r="M47" t="s">
        <v>126</v>
      </c>
      <c r="N47" t="s">
        <v>148</v>
      </c>
    </row>
    <row r="48" spans="8:14">
      <c r="H48" s="49">
        <v>43445</v>
      </c>
      <c r="I48">
        <v>1</v>
      </c>
      <c r="J48" t="s">
        <v>15</v>
      </c>
      <c r="K48" s="158">
        <v>2449.15</v>
      </c>
      <c r="L48" s="158">
        <v>1967.9</v>
      </c>
      <c r="M48" t="s">
        <v>126</v>
      </c>
      <c r="N48" t="s">
        <v>149</v>
      </c>
    </row>
    <row r="49" spans="8:14">
      <c r="H49" s="49">
        <v>43445</v>
      </c>
      <c r="I49">
        <v>1</v>
      </c>
      <c r="J49" t="s">
        <v>15</v>
      </c>
      <c r="K49" s="158">
        <v>7312.11</v>
      </c>
      <c r="L49" s="158">
        <v>5948.41</v>
      </c>
      <c r="M49" t="s">
        <v>126</v>
      </c>
      <c r="N49" t="s">
        <v>144</v>
      </c>
    </row>
    <row r="50" spans="8:14">
      <c r="H50" s="49">
        <v>43452</v>
      </c>
      <c r="I50">
        <v>1</v>
      </c>
      <c r="J50" t="s">
        <v>15</v>
      </c>
      <c r="K50">
        <v>533.28</v>
      </c>
      <c r="L50">
        <v>428.49</v>
      </c>
      <c r="M50" t="s">
        <v>126</v>
      </c>
      <c r="N50" t="s">
        <v>147</v>
      </c>
    </row>
    <row r="51" spans="8:14">
      <c r="H51" s="49">
        <v>43452</v>
      </c>
      <c r="I51">
        <v>1</v>
      </c>
      <c r="J51" t="s">
        <v>15</v>
      </c>
      <c r="K51">
        <v>534.36</v>
      </c>
      <c r="L51">
        <v>434.71</v>
      </c>
      <c r="M51" t="s">
        <v>126</v>
      </c>
      <c r="N51" t="s">
        <v>148</v>
      </c>
    </row>
    <row r="52" spans="8:14">
      <c r="H52" s="49">
        <v>43452</v>
      </c>
      <c r="I52">
        <v>1</v>
      </c>
      <c r="J52" t="s">
        <v>15</v>
      </c>
      <c r="K52">
        <v>311.70999999999998</v>
      </c>
      <c r="L52">
        <v>253.57</v>
      </c>
      <c r="M52" t="s">
        <v>126</v>
      </c>
      <c r="N52" t="s">
        <v>145</v>
      </c>
    </row>
    <row r="53" spans="8:14">
      <c r="H53" s="49">
        <v>43452</v>
      </c>
      <c r="I53">
        <v>1</v>
      </c>
      <c r="J53" t="s">
        <v>15</v>
      </c>
      <c r="K53">
        <v>888.8</v>
      </c>
      <c r="L53">
        <v>723.03</v>
      </c>
      <c r="M53" t="s">
        <v>126</v>
      </c>
      <c r="N53" t="s">
        <v>170</v>
      </c>
    </row>
    <row r="54" spans="8:14">
      <c r="H54" s="49">
        <v>43437</v>
      </c>
      <c r="I54">
        <v>1</v>
      </c>
      <c r="J54" t="s">
        <v>30</v>
      </c>
      <c r="K54" s="158">
        <v>8394.81</v>
      </c>
      <c r="L54" s="158">
        <v>6577.33</v>
      </c>
      <c r="M54" t="s">
        <v>126</v>
      </c>
      <c r="N54" t="s">
        <v>138</v>
      </c>
    </row>
    <row r="55" spans="8:14">
      <c r="H55" s="49">
        <v>43437</v>
      </c>
      <c r="I55">
        <v>1</v>
      </c>
      <c r="J55" t="s">
        <v>60</v>
      </c>
      <c r="K55" s="158">
        <v>3817.2</v>
      </c>
      <c r="L55" s="158">
        <v>2990.78</v>
      </c>
      <c r="M55" t="s">
        <v>126</v>
      </c>
      <c r="N55" t="s">
        <v>142</v>
      </c>
    </row>
    <row r="56" spans="8:14">
      <c r="H56" s="49">
        <v>43438</v>
      </c>
      <c r="I56">
        <v>1</v>
      </c>
      <c r="J56" t="s">
        <v>129</v>
      </c>
      <c r="K56" s="158">
        <v>7677.83</v>
      </c>
      <c r="L56" s="158">
        <v>6169.14</v>
      </c>
      <c r="M56" t="s">
        <v>126</v>
      </c>
      <c r="N56" t="s">
        <v>162</v>
      </c>
    </row>
    <row r="57" spans="8:14">
      <c r="H57" s="49">
        <v>43438</v>
      </c>
      <c r="I57">
        <v>1</v>
      </c>
      <c r="J57" t="s">
        <v>129</v>
      </c>
      <c r="K57" s="158">
        <v>26087.32</v>
      </c>
      <c r="L57" s="158">
        <v>20439.41</v>
      </c>
      <c r="M57" t="s">
        <v>126</v>
      </c>
      <c r="N57" t="s">
        <v>163</v>
      </c>
    </row>
    <row r="58" spans="8:14">
      <c r="H58" s="49">
        <v>43438</v>
      </c>
      <c r="I58">
        <v>1</v>
      </c>
      <c r="J58" t="s">
        <v>129</v>
      </c>
      <c r="K58" s="158">
        <v>45215.29</v>
      </c>
      <c r="L58" s="158">
        <v>35426.19</v>
      </c>
      <c r="M58" t="s">
        <v>126</v>
      </c>
      <c r="N58" t="s">
        <v>164</v>
      </c>
    </row>
    <row r="59" spans="8:14">
      <c r="H59" s="49">
        <v>43438</v>
      </c>
      <c r="I59">
        <v>1</v>
      </c>
      <c r="J59" t="s">
        <v>129</v>
      </c>
      <c r="K59" s="158">
        <v>32892.54</v>
      </c>
      <c r="L59" s="158">
        <v>26758.07</v>
      </c>
      <c r="M59" t="s">
        <v>126</v>
      </c>
      <c r="N59" t="s">
        <v>165</v>
      </c>
    </row>
    <row r="60" spans="8:14">
      <c r="H60" s="49">
        <v>43438</v>
      </c>
      <c r="I60">
        <v>1</v>
      </c>
      <c r="J60" t="s">
        <v>129</v>
      </c>
      <c r="K60" s="158">
        <v>5099.54</v>
      </c>
      <c r="L60" s="158">
        <v>4148.46</v>
      </c>
      <c r="M60" t="s">
        <v>126</v>
      </c>
      <c r="N60" t="s">
        <v>162</v>
      </c>
    </row>
    <row r="61" spans="8:14">
      <c r="H61" s="49">
        <v>43438</v>
      </c>
      <c r="I61">
        <v>1</v>
      </c>
      <c r="J61" t="s">
        <v>129</v>
      </c>
      <c r="K61" s="158">
        <v>33477.839999999997</v>
      </c>
      <c r="L61" s="158">
        <v>26899.43</v>
      </c>
      <c r="M61" t="s">
        <v>126</v>
      </c>
      <c r="N61" t="s">
        <v>162</v>
      </c>
    </row>
    <row r="62" spans="8:14">
      <c r="H62" s="49">
        <v>43438</v>
      </c>
      <c r="I62">
        <v>1</v>
      </c>
      <c r="J62" t="s">
        <v>129</v>
      </c>
      <c r="K62" s="158">
        <v>15941.88</v>
      </c>
      <c r="L62" s="158">
        <v>12490.46</v>
      </c>
      <c r="M62" t="s">
        <v>126</v>
      </c>
      <c r="N62" t="s">
        <v>166</v>
      </c>
    </row>
    <row r="63" spans="8:14">
      <c r="H63" s="49">
        <v>43438</v>
      </c>
      <c r="I63">
        <v>1</v>
      </c>
      <c r="J63" t="s">
        <v>129</v>
      </c>
      <c r="K63" s="158">
        <v>15390.57</v>
      </c>
      <c r="L63" s="158">
        <v>12520.22</v>
      </c>
      <c r="M63" t="s">
        <v>126</v>
      </c>
      <c r="N63" t="s">
        <v>167</v>
      </c>
    </row>
    <row r="64" spans="8:14">
      <c r="H64" s="49">
        <v>43438</v>
      </c>
      <c r="I64">
        <v>1</v>
      </c>
      <c r="J64" t="s">
        <v>129</v>
      </c>
      <c r="K64" s="158">
        <v>164907.1</v>
      </c>
      <c r="L64" s="158">
        <v>129204.71</v>
      </c>
      <c r="M64" t="s">
        <v>126</v>
      </c>
      <c r="N64" t="s">
        <v>168</v>
      </c>
    </row>
    <row r="65" spans="8:14">
      <c r="H65" s="49">
        <v>43439</v>
      </c>
      <c r="I65">
        <v>1</v>
      </c>
      <c r="J65" t="s">
        <v>78</v>
      </c>
      <c r="K65" s="158">
        <v>453458.92</v>
      </c>
      <c r="L65" s="158">
        <v>368888.83</v>
      </c>
      <c r="M65" t="s">
        <v>126</v>
      </c>
      <c r="N65" t="s">
        <v>169</v>
      </c>
    </row>
    <row r="66" spans="8:14">
      <c r="H66" s="49">
        <v>43455</v>
      </c>
      <c r="I66">
        <v>1</v>
      </c>
      <c r="J66" t="s">
        <v>78</v>
      </c>
      <c r="K66" s="158">
        <v>330007.51</v>
      </c>
      <c r="L66" s="158">
        <v>268461.09000000003</v>
      </c>
      <c r="M66" t="s">
        <v>126</v>
      </c>
      <c r="N66" t="s">
        <v>172</v>
      </c>
    </row>
    <row r="67" spans="8:14">
      <c r="H67" s="49">
        <v>43437</v>
      </c>
      <c r="I67">
        <v>1</v>
      </c>
      <c r="J67" t="s">
        <v>31</v>
      </c>
      <c r="K67" s="158">
        <v>14889.15</v>
      </c>
      <c r="L67" s="158">
        <v>11665.65</v>
      </c>
      <c r="M67" t="s">
        <v>126</v>
      </c>
      <c r="N67" t="s">
        <v>134</v>
      </c>
    </row>
    <row r="68" spans="8:14">
      <c r="H68" s="49">
        <v>43447</v>
      </c>
      <c r="I68">
        <v>1</v>
      </c>
      <c r="J68" t="s">
        <v>32</v>
      </c>
      <c r="K68" s="158">
        <v>5211.9799999999996</v>
      </c>
      <c r="L68" s="158">
        <v>4187.82</v>
      </c>
      <c r="M68" t="s">
        <v>126</v>
      </c>
      <c r="N68" t="s">
        <v>153</v>
      </c>
    </row>
    <row r="69" spans="8:14">
      <c r="H69" s="49">
        <v>43437</v>
      </c>
      <c r="I69">
        <v>1</v>
      </c>
      <c r="J69" t="s">
        <v>127</v>
      </c>
      <c r="K69" s="158">
        <v>3713.9</v>
      </c>
      <c r="L69" s="158">
        <v>2965.54</v>
      </c>
      <c r="M69" t="s">
        <v>126</v>
      </c>
      <c r="N69" t="s">
        <v>137</v>
      </c>
    </row>
    <row r="70" spans="8:14">
      <c r="H70" s="49">
        <v>43437</v>
      </c>
      <c r="I70">
        <v>1</v>
      </c>
      <c r="J70" t="s">
        <v>85</v>
      </c>
      <c r="K70" s="158">
        <v>3713.9</v>
      </c>
      <c r="L70" s="158">
        <v>3021.25</v>
      </c>
      <c r="M70" t="s">
        <v>126</v>
      </c>
      <c r="N70" t="s">
        <v>85</v>
      </c>
    </row>
    <row r="71" spans="8:14">
      <c r="H71" s="49">
        <v>43437</v>
      </c>
      <c r="I71">
        <v>1</v>
      </c>
      <c r="J71" t="s">
        <v>84</v>
      </c>
      <c r="K71" s="158">
        <v>3713.9</v>
      </c>
      <c r="L71" s="158">
        <v>2984.11</v>
      </c>
      <c r="M71" t="s">
        <v>126</v>
      </c>
      <c r="N71" t="s">
        <v>84</v>
      </c>
    </row>
    <row r="72" spans="8:14">
      <c r="H72" s="49">
        <v>43437</v>
      </c>
      <c r="I72">
        <v>1</v>
      </c>
      <c r="J72" t="s">
        <v>135</v>
      </c>
      <c r="K72" s="158">
        <v>3713.9</v>
      </c>
      <c r="L72" s="158">
        <v>2984.11</v>
      </c>
      <c r="M72" t="s">
        <v>126</v>
      </c>
      <c r="N72" t="s">
        <v>135</v>
      </c>
    </row>
    <row r="73" spans="8:14">
      <c r="H73" s="49">
        <v>43437</v>
      </c>
      <c r="I73">
        <v>1</v>
      </c>
      <c r="J73" t="s">
        <v>137</v>
      </c>
      <c r="K73" s="158">
        <v>3713.9</v>
      </c>
      <c r="L73" s="158">
        <v>3021.25</v>
      </c>
      <c r="M73" t="s">
        <v>126</v>
      </c>
      <c r="N73" t="s">
        <v>137</v>
      </c>
    </row>
    <row r="74" spans="8:14">
      <c r="H74" s="49">
        <v>43437</v>
      </c>
      <c r="I74">
        <v>1</v>
      </c>
      <c r="J74" t="s">
        <v>137</v>
      </c>
      <c r="K74" s="158">
        <v>3713.9</v>
      </c>
      <c r="L74" s="158">
        <v>2909.83</v>
      </c>
      <c r="M74" t="s">
        <v>126</v>
      </c>
      <c r="N74" t="s">
        <v>137</v>
      </c>
    </row>
    <row r="75" spans="8:14">
      <c r="H75" s="49">
        <v>43447</v>
      </c>
      <c r="I75">
        <v>1</v>
      </c>
      <c r="J75" t="s">
        <v>33</v>
      </c>
      <c r="K75" s="158">
        <v>18051.82</v>
      </c>
      <c r="L75" s="158">
        <v>14143.6</v>
      </c>
      <c r="M75" t="s">
        <v>126</v>
      </c>
      <c r="N75" t="s">
        <v>154</v>
      </c>
    </row>
    <row r="76" spans="8:14">
      <c r="H76" s="49">
        <v>43437</v>
      </c>
      <c r="I76">
        <v>1</v>
      </c>
      <c r="J76" t="s">
        <v>173</v>
      </c>
      <c r="K76" s="158">
        <v>22929.93</v>
      </c>
      <c r="L76" s="158">
        <v>18309.55</v>
      </c>
      <c r="M76" t="s">
        <v>126</v>
      </c>
      <c r="N76" t="s">
        <v>131</v>
      </c>
    </row>
    <row r="77" spans="8:14">
      <c r="H77" s="49">
        <v>43439</v>
      </c>
      <c r="I77">
        <v>1</v>
      </c>
      <c r="J77" t="s">
        <v>36</v>
      </c>
      <c r="K77" s="158">
        <v>16973.439999999999</v>
      </c>
      <c r="L77" s="158">
        <v>13298.7</v>
      </c>
      <c r="M77" t="s">
        <v>126</v>
      </c>
      <c r="N77" t="s">
        <v>136</v>
      </c>
    </row>
    <row r="78" spans="8:14">
      <c r="H78" s="49">
        <v>43439</v>
      </c>
      <c r="I78">
        <v>1</v>
      </c>
      <c r="J78" t="s">
        <v>130</v>
      </c>
      <c r="K78" s="158">
        <v>6438</v>
      </c>
      <c r="L78" s="158">
        <v>5172.93</v>
      </c>
      <c r="M78" t="s">
        <v>126</v>
      </c>
      <c r="N78" t="s">
        <v>136</v>
      </c>
    </row>
    <row r="79" spans="8:14">
      <c r="H79" s="49">
        <v>43439</v>
      </c>
      <c r="I79">
        <v>1</v>
      </c>
      <c r="J79" t="s">
        <v>130</v>
      </c>
      <c r="K79" s="158">
        <v>17868.82</v>
      </c>
      <c r="L79" s="158">
        <v>14268.25</v>
      </c>
      <c r="M79" t="s">
        <v>126</v>
      </c>
      <c r="N79" t="s">
        <v>136</v>
      </c>
    </row>
  </sheetData>
  <autoFilter ref="H4:N79">
    <sortState ref="H5:N90">
      <sortCondition ref="J4"/>
    </sortState>
  </autoFilter>
  <sortState ref="H5:N90">
    <sortCondition ref="H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35"/>
  <sheetViews>
    <sheetView topLeftCell="A10" workbookViewId="0">
      <selection activeCell="H21" sqref="H21"/>
    </sheetView>
  </sheetViews>
  <sheetFormatPr defaultRowHeight="15"/>
  <cols>
    <col min="4" max="4" width="62.5703125" bestFit="1" customWidth="1"/>
    <col min="5" max="5" width="15.85546875" style="52" bestFit="1" customWidth="1"/>
  </cols>
  <sheetData>
    <row r="5" spans="4:5">
      <c r="D5" s="51" t="s">
        <v>53</v>
      </c>
      <c r="E5" s="52" t="s">
        <v>178</v>
      </c>
    </row>
    <row r="6" spans="4:5">
      <c r="D6" s="122" t="s">
        <v>76</v>
      </c>
      <c r="E6" s="52">
        <v>95505.150000000009</v>
      </c>
    </row>
    <row r="7" spans="4:5">
      <c r="D7" s="122" t="s">
        <v>45</v>
      </c>
      <c r="E7" s="52">
        <v>3995.39</v>
      </c>
    </row>
    <row r="8" spans="4:5">
      <c r="D8" s="122" t="s">
        <v>75</v>
      </c>
      <c r="E8" s="52">
        <v>16607.25</v>
      </c>
    </row>
    <row r="9" spans="4:5">
      <c r="D9" s="122" t="s">
        <v>46</v>
      </c>
      <c r="E9" s="52">
        <v>59410.82</v>
      </c>
    </row>
    <row r="10" spans="4:5">
      <c r="D10" s="122" t="s">
        <v>132</v>
      </c>
      <c r="E10" s="52">
        <v>32012.639999999999</v>
      </c>
    </row>
    <row r="11" spans="4:5">
      <c r="D11" s="122" t="s">
        <v>133</v>
      </c>
      <c r="E11" s="52">
        <v>47301.53</v>
      </c>
    </row>
    <row r="12" spans="4:5">
      <c r="D12" s="122" t="s">
        <v>156</v>
      </c>
      <c r="E12" s="52">
        <v>36309.07</v>
      </c>
    </row>
    <row r="13" spans="4:5">
      <c r="D13" s="122" t="s">
        <v>143</v>
      </c>
      <c r="E13" s="52">
        <v>3346.19</v>
      </c>
    </row>
    <row r="14" spans="4:5">
      <c r="D14" s="122" t="s">
        <v>161</v>
      </c>
      <c r="E14" s="52">
        <v>251593.23</v>
      </c>
    </row>
    <row r="15" spans="4:5">
      <c r="D15" s="122" t="s">
        <v>128</v>
      </c>
      <c r="E15" s="52">
        <v>192809.92</v>
      </c>
    </row>
    <row r="16" spans="4:5">
      <c r="D16" s="122" t="s">
        <v>177</v>
      </c>
      <c r="E16" s="52">
        <v>187145.7</v>
      </c>
    </row>
    <row r="17" spans="4:5">
      <c r="D17" s="122" t="s">
        <v>28</v>
      </c>
      <c r="E17" s="52">
        <v>51561.869999999995</v>
      </c>
    </row>
    <row r="18" spans="4:5">
      <c r="D18" s="122" t="s">
        <v>155</v>
      </c>
      <c r="E18" s="52">
        <v>14215</v>
      </c>
    </row>
    <row r="19" spans="4:5">
      <c r="D19" s="122" t="s">
        <v>15</v>
      </c>
      <c r="E19" s="52">
        <v>60078.049999999988</v>
      </c>
    </row>
    <row r="20" spans="4:5">
      <c r="D20" s="122" t="s">
        <v>30</v>
      </c>
      <c r="E20" s="52">
        <v>8394.81</v>
      </c>
    </row>
    <row r="21" spans="4:5">
      <c r="D21" s="122" t="s">
        <v>60</v>
      </c>
      <c r="E21" s="52">
        <v>3817.2</v>
      </c>
    </row>
    <row r="22" spans="4:5">
      <c r="D22" s="122" t="s">
        <v>129</v>
      </c>
      <c r="E22" s="52">
        <v>346689.91000000003</v>
      </c>
    </row>
    <row r="23" spans="4:5">
      <c r="D23" s="122" t="s">
        <v>78</v>
      </c>
      <c r="E23" s="52">
        <v>783466.42999999993</v>
      </c>
    </row>
    <row r="24" spans="4:5">
      <c r="D24" s="122" t="s">
        <v>31</v>
      </c>
      <c r="E24" s="52">
        <v>14889.15</v>
      </c>
    </row>
    <row r="25" spans="4:5">
      <c r="D25" s="122" t="s">
        <v>32</v>
      </c>
      <c r="E25" s="52">
        <v>5211.9799999999996</v>
      </c>
    </row>
    <row r="26" spans="4:5">
      <c r="D26" s="122" t="s">
        <v>127</v>
      </c>
      <c r="E26" s="52">
        <v>3713.9</v>
      </c>
    </row>
    <row r="27" spans="4:5">
      <c r="D27" s="122" t="s">
        <v>85</v>
      </c>
      <c r="E27" s="52">
        <v>3713.9</v>
      </c>
    </row>
    <row r="28" spans="4:5">
      <c r="D28" s="122" t="s">
        <v>84</v>
      </c>
      <c r="E28" s="52">
        <v>3713.9</v>
      </c>
    </row>
    <row r="29" spans="4:5">
      <c r="D29" s="122" t="s">
        <v>135</v>
      </c>
      <c r="E29" s="52">
        <v>3713.9</v>
      </c>
    </row>
    <row r="30" spans="4:5">
      <c r="D30" s="122" t="s">
        <v>137</v>
      </c>
      <c r="E30" s="52">
        <v>7427.8</v>
      </c>
    </row>
    <row r="31" spans="4:5">
      <c r="D31" s="122" t="s">
        <v>33</v>
      </c>
      <c r="E31" s="52">
        <v>18051.82</v>
      </c>
    </row>
    <row r="32" spans="4:5">
      <c r="D32" s="122" t="s">
        <v>173</v>
      </c>
      <c r="E32" s="52">
        <v>22929.93</v>
      </c>
    </row>
    <row r="33" spans="4:5">
      <c r="D33" s="122" t="s">
        <v>36</v>
      </c>
      <c r="E33" s="52">
        <v>16973.439999999999</v>
      </c>
    </row>
    <row r="34" spans="4:5">
      <c r="D34" s="122" t="s">
        <v>130</v>
      </c>
      <c r="E34" s="52">
        <v>24306.82</v>
      </c>
    </row>
    <row r="35" spans="4:5">
      <c r="D35" s="122" t="s">
        <v>54</v>
      </c>
      <c r="E35" s="52">
        <v>2318906.6999999993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ANALISE GERAL</vt:lpstr>
      <vt:lpstr>FATURAMENTO GERAL 2018</vt:lpstr>
      <vt:lpstr>COM DADOS BANCARIOS</vt:lpstr>
      <vt:lpstr>Plan1</vt:lpstr>
      <vt:lpstr>Plan2</vt:lpstr>
      <vt:lpstr>Plan5</vt:lpstr>
      <vt:lpstr>Plan6</vt:lpstr>
      <vt:lpstr>'FATURAMENTO GERAL 2018'!Area_de_impressao</vt:lpstr>
      <vt:lpstr>Plan2!Area_de_impressao</vt:lpstr>
      <vt:lpstr>'FATURAMENTO GERAL 2018'!Titulos_de_impressao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DIOM03</dc:creator>
  <cp:lastModifiedBy>Lidiane Gomes</cp:lastModifiedBy>
  <cp:lastPrinted>2018-12-19T13:35:39Z</cp:lastPrinted>
  <dcterms:created xsi:type="dcterms:W3CDTF">2016-05-19T20:59:09Z</dcterms:created>
  <dcterms:modified xsi:type="dcterms:W3CDTF">2020-02-20T14:29:00Z</dcterms:modified>
</cp:coreProperties>
</file>