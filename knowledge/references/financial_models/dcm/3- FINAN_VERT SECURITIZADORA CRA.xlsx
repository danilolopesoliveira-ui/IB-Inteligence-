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K:\Contabilidade\CONTABILIDADE 2022\"/>
    </mc:Choice>
  </mc:AlternateContent>
  <bookViews>
    <workbookView xWindow="0" yWindow="0" windowWidth="20490" windowHeight="7755" tabRatio="878"/>
  </bookViews>
  <sheets>
    <sheet name="CRA - VERT" sheetId="28" r:id="rId1"/>
    <sheet name="JUROS" sheetId="31" r:id="rId2"/>
    <sheet name="Detalhamento VERT" sheetId="34" r:id="rId3"/>
    <sheet name="Conversão de Taxas" sheetId="32" r:id="rId4"/>
    <sheet name="Saldo IMPLANTAÇÃO" sheetId="33" r:id="rId5"/>
    <sheet name="Relac. Notas Fiscais" sheetId="35" r:id="rId6"/>
  </sheets>
  <externalReferences>
    <externalReference r:id="rId7"/>
  </externalReferences>
  <definedNames>
    <definedName name="_xlnm.Print_Area" localSheetId="0">'CRA - VERT'!$A$1:$L$158</definedName>
  </definedNames>
  <calcPr calcId="152511"/>
</workbook>
</file>

<file path=xl/calcChain.xml><?xml version="1.0" encoding="utf-8"?>
<calcChain xmlns="http://schemas.openxmlformats.org/spreadsheetml/2006/main">
  <c r="B301" i="28" l="1"/>
  <c r="A291" i="28" l="1"/>
  <c r="G302" i="28" l="1"/>
  <c r="J302" i="28"/>
  <c r="D289" i="28"/>
  <c r="D295" i="28"/>
  <c r="D287" i="28"/>
  <c r="D292" i="28" s="1"/>
  <c r="B297" i="28"/>
  <c r="B291" i="28"/>
  <c r="D299" i="28" l="1"/>
  <c r="D297" i="28"/>
  <c r="D293" i="28"/>
  <c r="D298" i="28"/>
  <c r="D294" i="28"/>
  <c r="D290" i="28"/>
  <c r="F287" i="28"/>
  <c r="D300" i="28"/>
  <c r="D296" i="28"/>
  <c r="D291" i="28"/>
  <c r="F289" i="28"/>
  <c r="I259" i="28"/>
  <c r="D302" i="28" l="1"/>
  <c r="D267" i="28"/>
  <c r="G283" i="28"/>
  <c r="I279" i="28"/>
  <c r="A275" i="28"/>
  <c r="I273" i="28"/>
  <c r="B271" i="28"/>
  <c r="D249" i="28"/>
  <c r="G263" i="28"/>
  <c r="I261" i="28"/>
  <c r="B259" i="28"/>
  <c r="A257" i="28"/>
  <c r="B253" i="28"/>
  <c r="D271" i="28" l="1"/>
  <c r="F271" i="28" s="1"/>
  <c r="F267" i="28"/>
  <c r="F298" i="28"/>
  <c r="F296" i="28"/>
  <c r="F291" i="28"/>
  <c r="F299" i="28"/>
  <c r="F297" i="28"/>
  <c r="F293" i="28"/>
  <c r="F300" i="28"/>
  <c r="F292" i="28"/>
  <c r="F295" i="28"/>
  <c r="F294" i="28"/>
  <c r="D275" i="28"/>
  <c r="F275" i="28" s="1"/>
  <c r="D276" i="28"/>
  <c r="F276" i="28" s="1"/>
  <c r="D272" i="28"/>
  <c r="F272" i="28" s="1"/>
  <c r="D280" i="28"/>
  <c r="F280" i="28" s="1"/>
  <c r="D279" i="28"/>
  <c r="F279" i="28" s="1"/>
  <c r="D268" i="28"/>
  <c r="D278" i="28"/>
  <c r="F278" i="28" s="1"/>
  <c r="D274" i="28"/>
  <c r="F274" i="28" s="1"/>
  <c r="D270" i="28"/>
  <c r="F270" i="28" s="1"/>
  <c r="D281" i="28"/>
  <c r="F281" i="28" s="1"/>
  <c r="D277" i="28"/>
  <c r="F277" i="28" s="1"/>
  <c r="D273" i="28"/>
  <c r="F273" i="28" s="1"/>
  <c r="D269" i="28"/>
  <c r="F269" i="28" s="1"/>
  <c r="B277" i="28"/>
  <c r="F249" i="28"/>
  <c r="D258" i="28"/>
  <c r="F258" i="28" s="1"/>
  <c r="D254" i="28"/>
  <c r="F254" i="28" s="1"/>
  <c r="D250" i="28"/>
  <c r="F250" i="28" s="1"/>
  <c r="D256" i="28"/>
  <c r="F256" i="28" s="1"/>
  <c r="D252" i="28"/>
  <c r="F252" i="28" s="1"/>
  <c r="D257" i="28"/>
  <c r="F257" i="28" s="1"/>
  <c r="D253" i="28"/>
  <c r="F253" i="28" s="1"/>
  <c r="D259" i="28"/>
  <c r="F259" i="28" s="1"/>
  <c r="D255" i="28"/>
  <c r="F255" i="28" s="1"/>
  <c r="D251" i="28"/>
  <c r="F251" i="28" s="1"/>
  <c r="A231" i="28"/>
  <c r="I245" i="28"/>
  <c r="F290" i="28" l="1"/>
  <c r="F302" i="28" s="1"/>
  <c r="D283" i="28"/>
  <c r="F268" i="28"/>
  <c r="F283" i="28" s="1"/>
  <c r="G237" i="28"/>
  <c r="B233" i="28"/>
  <c r="B227" i="28"/>
  <c r="D223" i="28"/>
  <c r="F223" i="28" s="1"/>
  <c r="B223" i="28"/>
  <c r="D225" i="28" l="1"/>
  <c r="D229" i="28"/>
  <c r="D233" i="28"/>
  <c r="F233" i="28" s="1"/>
  <c r="D224" i="28"/>
  <c r="D226" i="28"/>
  <c r="D230" i="28"/>
  <c r="D234" i="28"/>
  <c r="F234" i="28" s="1"/>
  <c r="D227" i="28"/>
  <c r="D231" i="28"/>
  <c r="D235" i="28"/>
  <c r="F235" i="28" s="1"/>
  <c r="D228" i="28"/>
  <c r="D232" i="28"/>
  <c r="D236" i="28"/>
  <c r="F236" i="28" s="1"/>
  <c r="I210" i="28"/>
  <c r="I214" i="28"/>
  <c r="I216" i="28" s="1"/>
  <c r="G218" i="28"/>
  <c r="B214" i="28"/>
  <c r="A212" i="28"/>
  <c r="B208" i="28"/>
  <c r="D204" i="28"/>
  <c r="D211" i="28" s="1"/>
  <c r="F211" i="28" s="1"/>
  <c r="B204" i="28"/>
  <c r="F204" i="28" l="1"/>
  <c r="D207" i="28"/>
  <c r="F207" i="28" s="1"/>
  <c r="D215" i="28"/>
  <c r="F215" i="28" s="1"/>
  <c r="D214" i="28"/>
  <c r="F214" i="28" s="1"/>
  <c r="D210" i="28"/>
  <c r="F210" i="28" s="1"/>
  <c r="D206" i="28"/>
  <c r="F206" i="28" s="1"/>
  <c r="D205" i="28"/>
  <c r="D213" i="28"/>
  <c r="F213" i="28" s="1"/>
  <c r="D209" i="28"/>
  <c r="F209" i="28" s="1"/>
  <c r="D216" i="28"/>
  <c r="F216" i="28" s="1"/>
  <c r="D212" i="28"/>
  <c r="F212" i="28" s="1"/>
  <c r="D208" i="28"/>
  <c r="F208" i="28" s="1"/>
  <c r="D263" i="28" l="1"/>
  <c r="F263" i="28"/>
  <c r="F205" i="28"/>
  <c r="F218" i="28" s="1"/>
  <c r="D218" i="28"/>
  <c r="I200" i="28"/>
  <c r="D184" i="28"/>
  <c r="G198" i="28"/>
  <c r="B194" i="28"/>
  <c r="A192" i="28"/>
  <c r="B188" i="28"/>
  <c r="B184" i="28"/>
  <c r="F184" i="28" l="1"/>
  <c r="F230" i="28"/>
  <c r="F228" i="28"/>
  <c r="F225" i="28"/>
  <c r="F224" i="28"/>
  <c r="F232" i="28"/>
  <c r="F229" i="28"/>
  <c r="F227" i="28"/>
  <c r="F231" i="28"/>
  <c r="F226" i="28"/>
  <c r="D193" i="28"/>
  <c r="F193" i="28" s="1"/>
  <c r="D189" i="28"/>
  <c r="F189" i="28" s="1"/>
  <c r="D190" i="28"/>
  <c r="F190" i="28" s="1"/>
  <c r="D194" i="28"/>
  <c r="F194" i="28" s="1"/>
  <c r="D186" i="28"/>
  <c r="F186" i="28" s="1"/>
  <c r="D187" i="28"/>
  <c r="D185" i="28"/>
  <c r="D196" i="28"/>
  <c r="F196" i="28" s="1"/>
  <c r="D192" i="28"/>
  <c r="F192" i="28" s="1"/>
  <c r="D188" i="28"/>
  <c r="F188" i="28" s="1"/>
  <c r="D195" i="28"/>
  <c r="F195" i="28" s="1"/>
  <c r="D191" i="28"/>
  <c r="F191" i="28" s="1"/>
  <c r="B161" i="28"/>
  <c r="D237" i="28" l="1"/>
  <c r="F185" i="28"/>
  <c r="E187" i="28"/>
  <c r="F187" i="28" s="1"/>
  <c r="D198" i="28"/>
  <c r="G179" i="28"/>
  <c r="A176" i="28"/>
  <c r="A169" i="28"/>
  <c r="B165" i="28"/>
  <c r="B171" i="28"/>
  <c r="F198" i="28" l="1"/>
  <c r="F237" i="28"/>
  <c r="D163" i="28"/>
  <c r="D167" i="28"/>
  <c r="F167" i="28" s="1"/>
  <c r="D172" i="28"/>
  <c r="F172" i="28" s="1"/>
  <c r="D169" i="28"/>
  <c r="F169" i="28" s="1"/>
  <c r="D166" i="28"/>
  <c r="F166" i="28" s="1"/>
  <c r="D174" i="28"/>
  <c r="F174" i="28" s="1"/>
  <c r="D165" i="28"/>
  <c r="F165" i="28" s="1"/>
  <c r="D173" i="28"/>
  <c r="F173" i="28" s="1"/>
  <c r="D164" i="28"/>
  <c r="F164" i="28" s="1"/>
  <c r="D176" i="28"/>
  <c r="F176" i="28" s="1"/>
  <c r="D168" i="28"/>
  <c r="F168" i="28" s="1"/>
  <c r="D178" i="28"/>
  <c r="F178" i="28" s="1"/>
  <c r="D170" i="28"/>
  <c r="F170" i="28" s="1"/>
  <c r="D177" i="28"/>
  <c r="F177" i="28" s="1"/>
  <c r="D175" i="28"/>
  <c r="F175" i="28" s="1"/>
  <c r="D171" i="28"/>
  <c r="F171" i="28" s="1"/>
  <c r="D161" i="28"/>
  <c r="F161" i="28" s="1"/>
  <c r="J106" i="28"/>
  <c r="I59" i="28"/>
  <c r="E156" i="28" l="1"/>
  <c r="A154" i="28" l="1"/>
  <c r="G156" i="28"/>
  <c r="B144" i="28"/>
  <c r="A144" i="28"/>
  <c r="B140" i="28"/>
  <c r="D140" i="28" l="1"/>
  <c r="F140" i="28" s="1"/>
  <c r="F163" i="28"/>
  <c r="D143" i="28"/>
  <c r="F143" i="28" s="1"/>
  <c r="D147" i="28"/>
  <c r="F147" i="28" s="1"/>
  <c r="D151" i="28"/>
  <c r="F151" i="28" s="1"/>
  <c r="D142" i="28"/>
  <c r="D148" i="28"/>
  <c r="F148" i="28" s="1"/>
  <c r="D152" i="28"/>
  <c r="F152" i="28" s="1"/>
  <c r="D153" i="28"/>
  <c r="F153" i="28" s="1"/>
  <c r="D146" i="28"/>
  <c r="D144" i="28"/>
  <c r="F144" i="28" s="1"/>
  <c r="D150" i="28"/>
  <c r="F150" i="28" s="1"/>
  <c r="D145" i="28"/>
  <c r="F145" i="28" s="1"/>
  <c r="D149" i="28"/>
  <c r="F149" i="28" s="1"/>
  <c r="D154" i="28"/>
  <c r="F154" i="28" s="1"/>
  <c r="B150" i="28"/>
  <c r="I132" i="28"/>
  <c r="I133" i="28" s="1"/>
  <c r="G132" i="28"/>
  <c r="E132" i="28"/>
  <c r="A133" i="28"/>
  <c r="B123" i="28"/>
  <c r="A123" i="28"/>
  <c r="E119" i="28"/>
  <c r="B119" i="28"/>
  <c r="D120" i="28" l="1"/>
  <c r="F179" i="28"/>
  <c r="D179" i="28"/>
  <c r="D156" i="28"/>
  <c r="F146" i="28"/>
  <c r="K143" i="28"/>
  <c r="K156" i="28"/>
  <c r="F142" i="28"/>
  <c r="D119" i="28"/>
  <c r="F119" i="28" s="1"/>
  <c r="D124" i="28"/>
  <c r="D127" i="28"/>
  <c r="D123" i="28"/>
  <c r="D130" i="28"/>
  <c r="F130" i="28" s="1"/>
  <c r="D126" i="28"/>
  <c r="D122" i="28"/>
  <c r="D129" i="28"/>
  <c r="F129" i="28" s="1"/>
  <c r="D125" i="28"/>
  <c r="D121" i="28"/>
  <c r="D128" i="28"/>
  <c r="B129" i="28"/>
  <c r="H110" i="28"/>
  <c r="K124" i="28" l="1"/>
  <c r="K129" i="28"/>
  <c r="F156" i="28"/>
  <c r="A100" i="28"/>
  <c r="G110" i="28" l="1"/>
  <c r="D100" i="28" s="1"/>
  <c r="E110" i="28"/>
  <c r="A110" i="28"/>
  <c r="B100" i="28"/>
  <c r="B106" i="28"/>
  <c r="E96" i="28"/>
  <c r="B96" i="28"/>
  <c r="D97" i="28" l="1"/>
  <c r="F97" i="28" s="1"/>
  <c r="F123" i="28"/>
  <c r="F128" i="28"/>
  <c r="F127" i="28"/>
  <c r="F125" i="28"/>
  <c r="F122" i="28"/>
  <c r="F126" i="28"/>
  <c r="F124" i="28"/>
  <c r="F121" i="28"/>
  <c r="D108" i="28"/>
  <c r="F108" i="28" s="1"/>
  <c r="D106" i="28"/>
  <c r="F106" i="28" s="1"/>
  <c r="D104" i="28"/>
  <c r="F104" i="28" s="1"/>
  <c r="D107" i="28"/>
  <c r="F107" i="28" s="1"/>
  <c r="D103" i="28"/>
  <c r="F103" i="28" s="1"/>
  <c r="D99" i="28"/>
  <c r="F99" i="28" s="1"/>
  <c r="F100" i="28"/>
  <c r="D102" i="28"/>
  <c r="F102" i="28" s="1"/>
  <c r="D98" i="28"/>
  <c r="F98" i="28" s="1"/>
  <c r="D109" i="28"/>
  <c r="F109" i="28" s="1"/>
  <c r="D105" i="28"/>
  <c r="F105" i="28" s="1"/>
  <c r="D101" i="28"/>
  <c r="F101" i="28" s="1"/>
  <c r="D96" i="28"/>
  <c r="F96" i="28" s="1"/>
  <c r="F87" i="28"/>
  <c r="F120" i="28" l="1"/>
  <c r="F132" i="28" s="1"/>
  <c r="D132" i="28"/>
  <c r="F110" i="28"/>
  <c r="D110" i="28"/>
  <c r="G87" i="28"/>
  <c r="A87" i="28" l="1"/>
  <c r="E87" i="28"/>
  <c r="B77" i="28"/>
  <c r="A77" i="28"/>
  <c r="D73" i="28" s="1"/>
  <c r="E73" i="28"/>
  <c r="B73" i="28"/>
  <c r="D79" i="28" l="1"/>
  <c r="D83" i="28"/>
  <c r="D75" i="28"/>
  <c r="D76" i="28"/>
  <c r="D80" i="28"/>
  <c r="D84" i="28"/>
  <c r="D81" i="28"/>
  <c r="D78" i="28"/>
  <c r="D85" i="28"/>
  <c r="D82" i="28"/>
  <c r="D77" i="28"/>
  <c r="D86" i="28"/>
  <c r="B83" i="28"/>
  <c r="A65" i="28"/>
  <c r="A53" i="28" s="1"/>
  <c r="B51" i="28"/>
  <c r="C2" i="32"/>
  <c r="G64" i="28"/>
  <c r="E51" i="28"/>
  <c r="B55" i="28"/>
  <c r="E64" i="28"/>
  <c r="I82" i="28" l="1"/>
  <c r="F73" i="28"/>
  <c r="D74" i="28"/>
  <c r="A55" i="28"/>
  <c r="G15" i="28"/>
  <c r="G17" i="34"/>
  <c r="A34" i="28"/>
  <c r="E28" i="28" s="1"/>
  <c r="A32" i="28"/>
  <c r="A30" i="28"/>
  <c r="D17" i="34"/>
  <c r="A11" i="28"/>
  <c r="E5" i="28" s="1"/>
  <c r="A9" i="28"/>
  <c r="D5" i="28" s="1"/>
  <c r="A7" i="28"/>
  <c r="G22" i="34"/>
  <c r="G42" i="28"/>
  <c r="J41" i="28"/>
  <c r="J34" i="28"/>
  <c r="B32" i="28"/>
  <c r="J30" i="28"/>
  <c r="D87" i="28" l="1"/>
  <c r="D51" i="28"/>
  <c r="B61" i="28"/>
  <c r="E29" i="28"/>
  <c r="E31" i="28"/>
  <c r="E39" i="28"/>
  <c r="E37" i="28"/>
  <c r="E33" i="28"/>
  <c r="E41" i="28"/>
  <c r="E35" i="28"/>
  <c r="D11" i="28"/>
  <c r="D12" i="28"/>
  <c r="D8" i="28"/>
  <c r="E8" i="28"/>
  <c r="E12" i="28"/>
  <c r="E11" i="28"/>
  <c r="E9" i="28"/>
  <c r="E13" i="28"/>
  <c r="E10" i="28"/>
  <c r="E14" i="28"/>
  <c r="E7" i="28"/>
  <c r="E6" i="28"/>
  <c r="D9" i="28"/>
  <c r="D13" i="28"/>
  <c r="D6" i="28"/>
  <c r="D10" i="28"/>
  <c r="D14" i="28"/>
  <c r="E40" i="28"/>
  <c r="E38" i="28"/>
  <c r="E36" i="28"/>
  <c r="E34" i="28"/>
  <c r="E32" i="28"/>
  <c r="E30" i="28"/>
  <c r="F5" i="28"/>
  <c r="D7" i="28"/>
  <c r="K41" i="28"/>
  <c r="A13" i="28"/>
  <c r="A36" i="28"/>
  <c r="E42" i="34"/>
  <c r="E37" i="34"/>
  <c r="E38" i="34"/>
  <c r="E39" i="34"/>
  <c r="E40" i="34"/>
  <c r="E36" i="34"/>
  <c r="G38" i="34"/>
  <c r="G43" i="34"/>
  <c r="X37" i="35"/>
  <c r="X35" i="35"/>
  <c r="D53" i="28" l="1"/>
  <c r="D63" i="28"/>
  <c r="D58" i="28"/>
  <c r="D61" i="28"/>
  <c r="D59" i="28"/>
  <c r="D54" i="28"/>
  <c r="D57" i="28"/>
  <c r="D55" i="28"/>
  <c r="D56" i="28"/>
  <c r="F51" i="28"/>
  <c r="D60" i="28"/>
  <c r="D62" i="28"/>
  <c r="D52" i="28"/>
  <c r="D15" i="28"/>
  <c r="E15" i="28"/>
  <c r="D28" i="28"/>
  <c r="B38" i="28"/>
  <c r="D42" i="34"/>
  <c r="G40" i="34"/>
  <c r="G41" i="34" s="1"/>
  <c r="D30" i="34"/>
  <c r="G20" i="34"/>
  <c r="D20" i="34"/>
  <c r="G37" i="34" s="1"/>
  <c r="D22" i="34" s="1"/>
  <c r="G19" i="34"/>
  <c r="D19" i="34"/>
  <c r="F64" i="28" l="1"/>
  <c r="D64" i="28"/>
  <c r="F28" i="28"/>
  <c r="D30" i="28"/>
  <c r="D32" i="28"/>
  <c r="D34" i="28"/>
  <c r="D36" i="28"/>
  <c r="D38" i="28"/>
  <c r="D40" i="28"/>
  <c r="D33" i="28"/>
  <c r="D35" i="28"/>
  <c r="D39" i="28"/>
  <c r="D29" i="28"/>
  <c r="D31" i="28"/>
  <c r="D37" i="28"/>
  <c r="D41" i="28"/>
  <c r="G23" i="34"/>
  <c r="D23" i="34"/>
  <c r="D42" i="28" l="1"/>
  <c r="G26" i="34"/>
  <c r="G24" i="34"/>
  <c r="G25" i="34" s="1"/>
  <c r="E31" i="34"/>
  <c r="D26" i="34"/>
  <c r="D24" i="34"/>
  <c r="D25" i="34" s="1"/>
  <c r="J18" i="28" l="1"/>
  <c r="K18" i="28" l="1"/>
  <c r="J11" i="28"/>
  <c r="J7" i="28"/>
  <c r="E42" i="28" l="1"/>
  <c r="B15" i="28"/>
  <c r="J2" i="33"/>
  <c r="I2" i="33"/>
  <c r="K2" i="33" s="1"/>
  <c r="H2" i="33"/>
  <c r="D2" i="33"/>
  <c r="C8" i="32" l="1"/>
  <c r="C7" i="32"/>
  <c r="C6" i="32"/>
  <c r="C4" i="32"/>
  <c r="F2" i="32" s="1"/>
  <c r="J2" i="32" s="1"/>
  <c r="I2" i="32" s="1"/>
  <c r="C3" i="32"/>
  <c r="F38" i="28" l="1"/>
  <c r="F35" i="28"/>
  <c r="F32" i="28"/>
  <c r="F41" i="28"/>
  <c r="F39" i="28"/>
  <c r="F36" i="28"/>
  <c r="F33" i="28"/>
  <c r="F30" i="28"/>
  <c r="F40" i="28"/>
  <c r="F37" i="28"/>
  <c r="F34" i="28"/>
  <c r="F31" i="28"/>
  <c r="F9" i="28"/>
  <c r="F13" i="28"/>
  <c r="F7" i="28"/>
  <c r="F8" i="28"/>
  <c r="F10" i="28"/>
  <c r="F14" i="28"/>
  <c r="F11" i="28"/>
  <c r="F12" i="28"/>
  <c r="B9" i="28"/>
  <c r="F6" i="28" l="1"/>
  <c r="F15" i="28" s="1"/>
  <c r="F29" i="28"/>
  <c r="F42" i="28" s="1"/>
  <c r="B5" i="31" l="1"/>
  <c r="C14" i="31" l="1"/>
  <c r="C10" i="31" l="1"/>
  <c r="C6" i="31" l="1"/>
  <c r="B14" i="31" l="1"/>
  <c r="D13" i="31"/>
  <c r="D14" i="31" s="1"/>
  <c r="D9" i="31"/>
  <c r="D5" i="31"/>
  <c r="D10" i="31" l="1"/>
  <c r="D6" i="31"/>
  <c r="B10" i="31" l="1"/>
  <c r="B6" i="31"/>
  <c r="I152" i="28"/>
  <c r="I154" i="28"/>
</calcChain>
</file>

<file path=xl/sharedStrings.xml><?xml version="1.0" encoding="utf-8"?>
<sst xmlns="http://schemas.openxmlformats.org/spreadsheetml/2006/main" count="689" uniqueCount="212">
  <si>
    <t>TOTAL</t>
  </si>
  <si>
    <t>TX. JUROS AA</t>
  </si>
  <si>
    <t>TX. JUROS AM</t>
  </si>
  <si>
    <t>CONTRATO</t>
  </si>
  <si>
    <t>Total</t>
  </si>
  <si>
    <t>DATA DESEMB.</t>
  </si>
  <si>
    <t>JUROS</t>
  </si>
  <si>
    <t>VLR CONTRATADO</t>
  </si>
  <si>
    <t>ENCARGOS</t>
  </si>
  <si>
    <t>APROP. JUROS</t>
  </si>
  <si>
    <t>VLR PRODUTOS</t>
  </si>
  <si>
    <t>Capitalização</t>
  </si>
  <si>
    <t>CP</t>
  </si>
  <si>
    <t>LP</t>
  </si>
  <si>
    <t>SALDO DE JUROS MENSAL</t>
  </si>
  <si>
    <t>TX. JUROS AD</t>
  </si>
  <si>
    <t>BCO SAFRA</t>
  </si>
  <si>
    <t>Taxa que você tem</t>
  </si>
  <si>
    <t>Taxa que você quer</t>
  </si>
  <si>
    <t>N</t>
  </si>
  <si>
    <t>I</t>
  </si>
  <si>
    <t>PV</t>
  </si>
  <si>
    <t>PMT</t>
  </si>
  <si>
    <t>FV</t>
  </si>
  <si>
    <r>
      <t xml:space="preserve">Mês para ano: </t>
    </r>
    <r>
      <rPr>
        <sz val="10"/>
        <color indexed="8"/>
        <rFont val="Verdana"/>
        <family val="2"/>
      </rPr>
      <t>(1+Taxa)^12-1</t>
    </r>
  </si>
  <si>
    <r>
      <t>Ano para mês:</t>
    </r>
    <r>
      <rPr>
        <sz val="10"/>
        <color indexed="8"/>
        <rFont val="Verdana"/>
        <family val="2"/>
      </rPr>
      <t xml:space="preserve"> (1+Taxa)^(1/12)-1</t>
    </r>
  </si>
  <si>
    <r>
      <t>Ano para dia:</t>
    </r>
    <r>
      <rPr>
        <sz val="10"/>
        <color indexed="8"/>
        <rFont val="Verdana"/>
        <family val="2"/>
      </rPr>
      <t xml:space="preserve"> (1+Taxa)^(1/360)-1</t>
    </r>
  </si>
  <si>
    <r>
      <t xml:space="preserve">Dia para mês: </t>
    </r>
    <r>
      <rPr>
        <sz val="10"/>
        <color indexed="8"/>
        <rFont val="Verdana"/>
        <family val="2"/>
      </rPr>
      <t>(1+Taxa)^30-1</t>
    </r>
  </si>
  <si>
    <r>
      <t>Dia para ano:</t>
    </r>
    <r>
      <rPr>
        <sz val="10"/>
        <color indexed="8"/>
        <rFont val="Verdana"/>
        <family val="2"/>
      </rPr>
      <t xml:space="preserve"> (1+Taxa)^360-1</t>
    </r>
  </si>
  <si>
    <r>
      <t xml:space="preserve">Mês para dia: </t>
    </r>
    <r>
      <rPr>
        <sz val="10"/>
        <color indexed="8"/>
        <rFont val="Verdana"/>
        <family val="2"/>
      </rPr>
      <t>(1+Taxa)^(1/30)-1</t>
    </r>
  </si>
  <si>
    <t xml:space="preserve">GARANTIA: </t>
  </si>
  <si>
    <t>CRA - Vert Securitizadora</t>
  </si>
  <si>
    <t>Faturado Nufarm</t>
  </si>
  <si>
    <t>Liberado CRA</t>
  </si>
  <si>
    <t>Crédito a utilizar</t>
  </si>
  <si>
    <t>Liberação Nufarm</t>
  </si>
  <si>
    <t>Liberação Dow</t>
  </si>
  <si>
    <t>Custos CTR</t>
  </si>
  <si>
    <t>CRA NUFARM II - RELATÓRIO DE DESEMBOLSOS</t>
  </si>
  <si>
    <t>DATA DO RELATÓRIO</t>
  </si>
  <si>
    <t>PARTICIPANTE</t>
  </si>
  <si>
    <t>Razão Social</t>
  </si>
  <si>
    <t>CULTIVAR - COMERCIO E REPRESENTACOES LTD</t>
  </si>
  <si>
    <t>CNPJ</t>
  </si>
  <si>
    <t>22.055.456/0001-91</t>
  </si>
  <si>
    <t>CDCA/CPR-F</t>
  </si>
  <si>
    <t>Data de Desembolso</t>
  </si>
  <si>
    <t>Data de Vencimento</t>
  </si>
  <si>
    <t>Prazo (dias úteis)</t>
  </si>
  <si>
    <t>VALOR DEVIDO NO VENCIMENTO DO CDCA/CPR</t>
  </si>
  <si>
    <t>Taxa de juros compostos CRA (a.a.) 101% CDI</t>
  </si>
  <si>
    <t>Taxa de juros compostos CRA (a.m.) 101% CDI</t>
  </si>
  <si>
    <t>VALOR PRESENTE DO CDCA/CPR</t>
  </si>
  <si>
    <t>Custos cobrados</t>
  </si>
  <si>
    <t>PREÇO DE AQUISIÇÃO DE INSUMOS</t>
  </si>
  <si>
    <t>TAXA (a.a.) incluindo custos e juros dos investidores</t>
  </si>
  <si>
    <t>TAXA (a.m.) incluindo custos e juros dos investidores</t>
  </si>
  <si>
    <t>Taxa no período incluindo custos e juros investidores</t>
  </si>
  <si>
    <t>PAGAMENTOS DE FORNECEDORES</t>
  </si>
  <si>
    <t>NUFARM</t>
  </si>
  <si>
    <t>OUTROS FORNECEDORES</t>
  </si>
  <si>
    <t>Valor Utilizado</t>
  </si>
  <si>
    <t>Saldo Disponível</t>
  </si>
  <si>
    <t>CUSTOS</t>
  </si>
  <si>
    <t>DETALHAMENTO DOS CUSTOS TOTAIS DA EMISSÃO DE CRA</t>
  </si>
  <si>
    <t>PARTICIPAÇÃO DE SUA EMISSÃO NOS CUSTOS TOTAIS</t>
  </si>
  <si>
    <t>Comissões</t>
  </si>
  <si>
    <t>Valor Total da Emissão de CRA vendido</t>
  </si>
  <si>
    <t>Seguro de Crédito</t>
  </si>
  <si>
    <t>Valor total presenta de sua emissão</t>
  </si>
  <si>
    <t>Hedge (Opção DI)</t>
  </si>
  <si>
    <t>% SUA PARTICIPAÇÃO NOS CUSTOS</t>
  </si>
  <si>
    <t>Advogados</t>
  </si>
  <si>
    <t>Outros Prestadores de Serviço</t>
  </si>
  <si>
    <t>% CRA com Vcto. em Maio/18</t>
  </si>
  <si>
    <t>% CRA com Vcto. em Setembro/18</t>
  </si>
  <si>
    <t>Cliente:</t>
  </si>
  <si>
    <t>20808-6 - CULTIVAR - COMERCIO E REPRESENTACOES LTDA</t>
  </si>
  <si>
    <t>Fone:</t>
  </si>
  <si>
    <t>67 3454-3287/67 3454-5623</t>
  </si>
  <si>
    <t>FAX:</t>
  </si>
  <si>
    <t>Moeda</t>
  </si>
  <si>
    <t>R$</t>
  </si>
  <si>
    <t>US$</t>
  </si>
  <si>
    <t>Taxa:</t>
  </si>
  <si>
    <t>%</t>
  </si>
  <si>
    <t>Pontual:</t>
  </si>
  <si>
    <t>Desc Fin:</t>
  </si>
  <si>
    <t>Tar Bcia:</t>
  </si>
  <si>
    <t>Cotação Dia:</t>
  </si>
  <si>
    <t>Cotação Utl:</t>
  </si>
  <si>
    <t>Deságio Ptax</t>
  </si>
  <si>
    <t>Dt.Base:</t>
  </si>
  <si>
    <t>Valor Adiantado:</t>
  </si>
  <si>
    <t>Est</t>
  </si>
  <si>
    <t>Esp</t>
  </si>
  <si>
    <t>Ser</t>
  </si>
  <si>
    <t>Título</t>
  </si>
  <si>
    <t>PA</t>
  </si>
  <si>
    <t>Portador</t>
  </si>
  <si>
    <t>Emissão</t>
  </si>
  <si>
    <t>Vencto</t>
  </si>
  <si>
    <t>Vl Original</t>
  </si>
  <si>
    <t>Saldo Pnd</t>
  </si>
  <si>
    <t>Vl Mov R$</t>
  </si>
  <si>
    <t>VL Mov R$ DIA</t>
  </si>
  <si>
    <t>Dias</t>
  </si>
  <si>
    <t>Moe Ped</t>
  </si>
  <si>
    <t>Cot Fat</t>
  </si>
  <si>
    <t>Tot Moeda</t>
  </si>
  <si>
    <t>Tot Moeda Mov</t>
  </si>
  <si>
    <t>Cot Dia</t>
  </si>
  <si>
    <t>Vl Líquido II</t>
  </si>
  <si>
    <t>OBS</t>
  </si>
  <si>
    <t>Produto</t>
  </si>
  <si>
    <t>Qtde Total</t>
  </si>
  <si>
    <t>Vl Unit</t>
  </si>
  <si>
    <t>Vl Total NF</t>
  </si>
  <si>
    <t>Pedido</t>
  </si>
  <si>
    <t>Nat. DP</t>
  </si>
  <si>
    <t>Cliente</t>
  </si>
  <si>
    <t>Dt Impl Ped</t>
  </si>
  <si>
    <t>Carteira</t>
  </si>
  <si>
    <t>11</t>
  </si>
  <si>
    <t>DP</t>
  </si>
  <si>
    <t>1</t>
  </si>
  <si>
    <t>0087079</t>
  </si>
  <si>
    <t>CRA CLIENTE</t>
  </si>
  <si>
    <t>REAL</t>
  </si>
  <si>
    <t>LIQUIDAR</t>
  </si>
  <si>
    <t>U46 PRIME - 20L</t>
  </si>
  <si>
    <t>DN</t>
  </si>
  <si>
    <t>CAR</t>
  </si>
  <si>
    <t>CRUCIAL - 20L</t>
  </si>
  <si>
    <t>0087746</t>
  </si>
  <si>
    <t>NUPRID 700 WG (10X1) KG</t>
  </si>
  <si>
    <t>0087748</t>
  </si>
  <si>
    <t>13</t>
  </si>
  <si>
    <t>0016110</t>
  </si>
  <si>
    <t>PLATINUM NEO (4X5)L</t>
  </si>
  <si>
    <t>0016111</t>
  </si>
  <si>
    <t>ZETHAPYR 106 SL - 20 L (BALDE)</t>
  </si>
  <si>
    <t>0016115</t>
  </si>
  <si>
    <t>ABAMEX (4X5)L</t>
  </si>
  <si>
    <t>DIMAX 480 SC (12X1L)</t>
  </si>
  <si>
    <t>KROMO 250 WG - 20X500G</t>
  </si>
  <si>
    <t>0087970</t>
  </si>
  <si>
    <t>0086920</t>
  </si>
  <si>
    <t>0016116</t>
  </si>
  <si>
    <t>0016117</t>
  </si>
  <si>
    <t>12</t>
  </si>
  <si>
    <t>0055535</t>
  </si>
  <si>
    <t>0016096</t>
  </si>
  <si>
    <t>0016090</t>
  </si>
  <si>
    <t>TOTAL PEDIDOS</t>
  </si>
  <si>
    <t>CRA CLIENTE VERT</t>
  </si>
  <si>
    <t>A CREDITO DO CLIENTE</t>
  </si>
  <si>
    <t>Credito</t>
  </si>
  <si>
    <t>JUROS S/ A OPERAÇÃO</t>
  </si>
  <si>
    <t>VENCIMENTO</t>
  </si>
  <si>
    <t>JUROS S/ FINANCIAMENTO CRA VERT SECURITIZADORA CTR N° 200518</t>
  </si>
  <si>
    <t>CÉDULA DE CREDITO BANCÁRIO - CTR 200518</t>
  </si>
  <si>
    <t>CÉDULA DE CREDITO BANCÁRIO - CTR 200918</t>
  </si>
  <si>
    <t>JUROS S/ FINANCIAMENTO CRA VERT SECURITIZADORA CTR N° 200918</t>
  </si>
  <si>
    <t>PERÍODO</t>
  </si>
  <si>
    <t>DOW</t>
  </si>
  <si>
    <t>FORTGREEN</t>
  </si>
  <si>
    <t>JUROS S/ FINANCIAMENTO CRA VERT SECURITIZADORA CTR N° 020519</t>
  </si>
  <si>
    <t>CÉDULA DE CREDITO BANCÁRIO - CTR 020519</t>
  </si>
  <si>
    <t>CALÇÃO DE DUPLICATAS</t>
  </si>
  <si>
    <t>DESEMBOLSOS</t>
  </si>
  <si>
    <t>CÉDULA DE CREDITO BANCÁRIO - CTR 040919</t>
  </si>
  <si>
    <t>JUROS S/ FINANCIAMENTO CRA VERT SECURITIZADORA CTR N° 040919</t>
  </si>
  <si>
    <t>&lt;-</t>
  </si>
  <si>
    <t>3 dias de setembro + 31 dias de outubro</t>
  </si>
  <si>
    <t>CAUÇÃO DE DUPLICATAS</t>
  </si>
  <si>
    <t>CÉDULA DE CREDITO BANCÁRIO - CTR 020520</t>
  </si>
  <si>
    <t>JUROS S/ FINANCIAMENTO CRA VERT SECURITIZADORA CTR N° 020520</t>
  </si>
  <si>
    <t>Data Desembolso</t>
  </si>
  <si>
    <t>Início da Apropriação 25/06, pelo software</t>
  </si>
  <si>
    <t>CÉDULA DE CREDITO BANCÁRIO - CTR 26082019</t>
  </si>
  <si>
    <t>AVAL SÓCIOS</t>
  </si>
  <si>
    <t>JUROS S/ FINANCIAMENTO CRA VERT SECURITIZADORA CTR N° 26082019</t>
  </si>
  <si>
    <t>CÉDULA DE CREDITO BANCÁRIO - CDCA 030920</t>
  </si>
  <si>
    <t>PARCIAL</t>
  </si>
  <si>
    <t>ANTECIPAÇÃO DE 1,2% - 180 DIAS</t>
  </si>
  <si>
    <t>JUROS S/ FINANCIAMENTO CRA VERT SECURITIZADORA CTR N° 030920</t>
  </si>
  <si>
    <t>Outubro</t>
  </si>
  <si>
    <t xml:space="preserve">Nufarm </t>
  </si>
  <si>
    <t>Nufarm</t>
  </si>
  <si>
    <t>Bayer</t>
  </si>
  <si>
    <t>CÉDULA DE CREDITO BANCÁRIO - CDCA 040921</t>
  </si>
  <si>
    <t>Coop. Boa Esperancense</t>
  </si>
  <si>
    <t>Sementes Ponteio</t>
  </si>
  <si>
    <t>Sumitomo</t>
  </si>
  <si>
    <t>Vencimento  30/09/2021</t>
  </si>
  <si>
    <t>AVAL DOS SÓCIOS</t>
  </si>
  <si>
    <t>NF</t>
  </si>
  <si>
    <t>Vencimento</t>
  </si>
  <si>
    <t>CÉDULA DE CREDITO BANCÁRIO - CDCA 300920 - BAYER</t>
  </si>
  <si>
    <t>CÉDULA DE CREDITO BANCÁRIO - CDCA 030921</t>
  </si>
  <si>
    <t>Desembolsos</t>
  </si>
  <si>
    <t xml:space="preserve">NF </t>
  </si>
  <si>
    <t xml:space="preserve">R$ </t>
  </si>
  <si>
    <t>Longping</t>
  </si>
  <si>
    <t>Pedidos</t>
  </si>
  <si>
    <t>parcial</t>
  </si>
  <si>
    <t>CÉDULA DE CREDITO BANCÁRIO - CDCA 000244 - BAYER</t>
  </si>
  <si>
    <t xml:space="preserve">CÉDULA DE CREDITO BANCÁRIO - CDCA </t>
  </si>
  <si>
    <t>Parcial</t>
  </si>
  <si>
    <t>CÉDULA DE CREDITO BANCÁRIO - CDCA - Bayer</t>
  </si>
  <si>
    <t>Encargos julho 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</si>
</sst>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[$-416]mmmm\-yy;@"/>
    <numFmt numFmtId="167" formatCode="0.000000%"/>
    <numFmt numFmtId="168" formatCode="0.000%"/>
    <numFmt numFmtId="169" formatCode="0.000000"/>
    <numFmt numFmtId="170" formatCode="_-* #,##0.000000_-;\-* #,##0.000000_-;_-* &quot;-&quot;??????_-;_-@_-"/>
    <numFmt numFmtId="171" formatCode="_-* #,##0_-;\-* #,##0_-;_-* &quot;-&quot;??_-;_-@_-"/>
    <numFmt numFmtId="172" formatCode="0.0000"/>
    <numFmt numFmtId="173" formatCode="#,##0.0000"/>
    <numFmt numFmtId="174" formatCode="#,##0.000"/>
    <numFmt numFmtId="175" formatCode="#,##0.00;[Red]#,##0.00"/>
    <numFmt numFmtId="176" formatCode="0.000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30"/>
      <name val="Arial"/>
      <family val="2"/>
    </font>
    <font>
      <b/>
      <sz val="10"/>
      <color indexed="10"/>
      <name val="Arial"/>
      <family val="2"/>
    </font>
    <font>
      <b/>
      <sz val="20"/>
      <color rgb="FFFF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indexed="8"/>
      <name val="Verdana"/>
      <family val="2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FF0000"/>
      <name val="Arial"/>
      <family val="2"/>
    </font>
    <font>
      <b/>
      <sz val="9"/>
      <color theme="3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70C0"/>
      <name val="Arial"/>
      <family val="2"/>
    </font>
    <font>
      <b/>
      <sz val="8"/>
      <color rgb="FF0070C0"/>
      <name val="Arial"/>
      <family val="2"/>
    </font>
    <font>
      <sz val="8"/>
      <color rgb="FF0070C0"/>
      <name val="Arial"/>
      <family val="2"/>
    </font>
    <font>
      <sz val="10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93">
    <xf numFmtId="0" fontId="0" fillId="0" borderId="0" xfId="0"/>
    <xf numFmtId="0" fontId="4" fillId="0" borderId="1" xfId="0" applyFont="1" applyBorder="1" applyAlignment="1">
      <alignment horizontal="center"/>
    </xf>
    <xf numFmtId="14" fontId="5" fillId="2" borderId="1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164" fontId="2" fillId="0" borderId="0" xfId="0" applyNumberFormat="1" applyFont="1" applyFill="1" applyBorder="1" applyAlignment="1">
      <alignment horizontal="center"/>
    </xf>
    <xf numFmtId="164" fontId="4" fillId="2" borderId="1" xfId="2" applyNumberFormat="1" applyFont="1" applyFill="1" applyBorder="1"/>
    <xf numFmtId="164" fontId="2" fillId="2" borderId="1" xfId="2" applyNumberFormat="1" applyFont="1" applyFill="1" applyBorder="1"/>
    <xf numFmtId="17" fontId="2" fillId="0" borderId="0" xfId="2" applyNumberFormat="1" applyFont="1" applyFill="1" applyBorder="1"/>
    <xf numFmtId="164" fontId="4" fillId="0" borderId="1" xfId="1" applyFont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7" fillId="2" borderId="1" xfId="2" applyNumberFormat="1" applyFont="1" applyFill="1" applyBorder="1"/>
    <xf numFmtId="164" fontId="6" fillId="2" borderId="1" xfId="2" applyNumberFormat="1" applyFont="1" applyFill="1" applyBorder="1"/>
    <xf numFmtId="164" fontId="4" fillId="2" borderId="1" xfId="2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0" fillId="0" borderId="0" xfId="0" applyNumberFormat="1"/>
    <xf numFmtId="0" fontId="11" fillId="0" borderId="0" xfId="0" applyFont="1" applyAlignment="1">
      <alignment horizontal="center"/>
    </xf>
    <xf numFmtId="0" fontId="0" fillId="0" borderId="2" xfId="0" applyBorder="1"/>
    <xf numFmtId="4" fontId="12" fillId="0" borderId="2" xfId="0" applyNumberFormat="1" applyFont="1" applyBorder="1" applyAlignment="1">
      <alignment horizontal="center"/>
    </xf>
    <xf numFmtId="4" fontId="0" fillId="3" borderId="0" xfId="0" applyNumberFormat="1" applyFill="1"/>
    <xf numFmtId="0" fontId="11" fillId="0" borderId="4" xfId="0" applyFont="1" applyBorder="1" applyAlignment="1">
      <alignment horizontal="center"/>
    </xf>
    <xf numFmtId="4" fontId="3" fillId="0" borderId="4" xfId="0" applyNumberFormat="1" applyFont="1" applyFill="1" applyBorder="1"/>
    <xf numFmtId="4" fontId="11" fillId="0" borderId="3" xfId="0" applyNumberFormat="1" applyFont="1" applyBorder="1" applyAlignment="1">
      <alignment horizontal="center"/>
    </xf>
    <xf numFmtId="164" fontId="1" fillId="0" borderId="2" xfId="0" applyNumberFormat="1" applyFont="1" applyBorder="1"/>
    <xf numFmtId="0" fontId="1" fillId="0" borderId="0" xfId="0" applyFont="1"/>
    <xf numFmtId="164" fontId="14" fillId="2" borderId="1" xfId="2" applyNumberFormat="1" applyFont="1" applyFill="1" applyBorder="1"/>
    <xf numFmtId="0" fontId="15" fillId="0" borderId="1" xfId="0" applyFont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7" fontId="5" fillId="2" borderId="1" xfId="0" applyNumberFormat="1" applyFont="1" applyFill="1" applyBorder="1" applyAlignment="1">
      <alignment horizontal="center"/>
    </xf>
    <xf numFmtId="164" fontId="15" fillId="2" borderId="1" xfId="2" applyNumberFormat="1" applyFont="1" applyFill="1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8" fillId="0" borderId="0" xfId="0" applyFont="1" applyAlignment="1">
      <alignment horizontal="left" vertical="center" indent="2"/>
    </xf>
    <xf numFmtId="168" fontId="0" fillId="0" borderId="0" xfId="3" applyNumberFormat="1" applyFont="1"/>
    <xf numFmtId="168" fontId="0" fillId="0" borderId="4" xfId="3" applyNumberFormat="1" applyFont="1" applyBorder="1"/>
    <xf numFmtId="167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17" fillId="0" borderId="0" xfId="0" applyNumberFormat="1" applyFont="1"/>
    <xf numFmtId="167" fontId="0" fillId="0" borderId="4" xfId="3" applyNumberFormat="1" applyFont="1" applyBorder="1"/>
    <xf numFmtId="168" fontId="0" fillId="0" borderId="0" xfId="3" applyNumberFormat="1" applyFont="1" applyFill="1" applyBorder="1"/>
    <xf numFmtId="169" fontId="0" fillId="0" borderId="0" xfId="0" applyNumberFormat="1"/>
    <xf numFmtId="0" fontId="0" fillId="0" borderId="0" xfId="0" applyAlignment="1">
      <alignment horizontal="center"/>
    </xf>
    <xf numFmtId="4" fontId="17" fillId="0" borderId="0" xfId="0" applyNumberFormat="1" applyFont="1"/>
    <xf numFmtId="4" fontId="20" fillId="0" borderId="0" xfId="0" applyNumberFormat="1" applyFont="1"/>
    <xf numFmtId="4" fontId="3" fillId="0" borderId="2" xfId="0" applyNumberFormat="1" applyFont="1" applyBorder="1"/>
    <xf numFmtId="4" fontId="1" fillId="0" borderId="0" xfId="0" applyNumberFormat="1" applyFont="1"/>
    <xf numFmtId="43" fontId="0" fillId="0" borderId="0" xfId="0" applyNumberFormat="1"/>
    <xf numFmtId="170" fontId="0" fillId="0" borderId="0" xfId="0" applyNumberFormat="1"/>
    <xf numFmtId="16" fontId="0" fillId="0" borderId="0" xfId="0" applyNumberFormat="1"/>
    <xf numFmtId="0" fontId="0" fillId="5" borderId="0" xfId="0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1" fillId="0" borderId="5" xfId="0" applyFont="1" applyBorder="1"/>
    <xf numFmtId="0" fontId="22" fillId="0" borderId="5" xfId="0" applyFont="1" applyBorder="1"/>
    <xf numFmtId="0" fontId="0" fillId="0" borderId="13" xfId="0" applyBorder="1"/>
    <xf numFmtId="0" fontId="0" fillId="0" borderId="0" xfId="0" applyBorder="1"/>
    <xf numFmtId="0" fontId="23" fillId="6" borderId="14" xfId="0" applyFont="1" applyFill="1" applyBorder="1"/>
    <xf numFmtId="14" fontId="23" fillId="6" borderId="14" xfId="0" applyNumberFormat="1" applyFont="1" applyFill="1" applyBorder="1"/>
    <xf numFmtId="0" fontId="24" fillId="6" borderId="14" xfId="0" applyFont="1" applyFill="1" applyBorder="1"/>
    <xf numFmtId="0" fontId="25" fillId="0" borderId="0" xfId="0" applyFont="1" applyBorder="1"/>
    <xf numFmtId="0" fontId="26" fillId="6" borderId="5" xfId="0" applyFont="1" applyFill="1" applyBorder="1"/>
    <xf numFmtId="0" fontId="0" fillId="6" borderId="5" xfId="0" applyFill="1" applyBorder="1"/>
    <xf numFmtId="0" fontId="25" fillId="0" borderId="0" xfId="0" applyFont="1" applyBorder="1" applyAlignment="1">
      <alignment horizontal="left"/>
    </xf>
    <xf numFmtId="165" fontId="25" fillId="0" borderId="0" xfId="2" applyFont="1" applyBorder="1"/>
    <xf numFmtId="165" fontId="25" fillId="6" borderId="5" xfId="2" applyFont="1" applyFill="1" applyBorder="1"/>
    <xf numFmtId="17" fontId="26" fillId="0" borderId="14" xfId="0" applyNumberFormat="1" applyFont="1" applyBorder="1" applyAlignment="1">
      <alignment horizontal="left"/>
    </xf>
    <xf numFmtId="165" fontId="25" fillId="0" borderId="14" xfId="2" applyFont="1" applyBorder="1"/>
    <xf numFmtId="0" fontId="0" fillId="0" borderId="14" xfId="0" applyBorder="1"/>
    <xf numFmtId="14" fontId="25" fillId="0" borderId="0" xfId="2" applyNumberFormat="1" applyFont="1" applyBorder="1"/>
    <xf numFmtId="14" fontId="25" fillId="0" borderId="0" xfId="0" applyNumberFormat="1" applyFont="1" applyBorder="1"/>
    <xf numFmtId="171" fontId="25" fillId="0" borderId="0" xfId="2" applyNumberFormat="1" applyFont="1" applyBorder="1"/>
    <xf numFmtId="0" fontId="26" fillId="0" borderId="0" xfId="0" applyFont="1" applyBorder="1"/>
    <xf numFmtId="165" fontId="26" fillId="0" borderId="0" xfId="2" applyFont="1" applyBorder="1"/>
    <xf numFmtId="0" fontId="25" fillId="0" borderId="0" xfId="0" applyFont="1" applyFill="1" applyBorder="1"/>
    <xf numFmtId="10" fontId="25" fillId="0" borderId="0" xfId="3" applyNumberFormat="1" applyFont="1" applyFill="1" applyBorder="1"/>
    <xf numFmtId="0" fontId="0" fillId="0" borderId="0" xfId="0" applyFill="1" applyBorder="1"/>
    <xf numFmtId="0" fontId="25" fillId="0" borderId="5" xfId="0" applyFont="1" applyFill="1" applyBorder="1"/>
    <xf numFmtId="10" fontId="25" fillId="0" borderId="5" xfId="3" applyNumberFormat="1" applyFont="1" applyFill="1" applyBorder="1"/>
    <xf numFmtId="0" fontId="0" fillId="0" borderId="5" xfId="0" applyFill="1" applyBorder="1"/>
    <xf numFmtId="0" fontId="17" fillId="0" borderId="0" xfId="0" applyFont="1" applyBorder="1"/>
    <xf numFmtId="0" fontId="25" fillId="0" borderId="5" xfId="0" applyFont="1" applyBorder="1"/>
    <xf numFmtId="43" fontId="0" fillId="0" borderId="5" xfId="0" applyNumberFormat="1" applyBorder="1"/>
    <xf numFmtId="0" fontId="0" fillId="0" borderId="0" xfId="0" applyFont="1" applyBorder="1"/>
    <xf numFmtId="0" fontId="26" fillId="0" borderId="0" xfId="0" applyFont="1" applyFill="1" applyBorder="1"/>
    <xf numFmtId="10" fontId="26" fillId="0" borderId="0" xfId="3" applyNumberFormat="1" applyFont="1" applyFill="1" applyBorder="1"/>
    <xf numFmtId="0" fontId="17" fillId="0" borderId="0" xfId="0" applyFont="1" applyFill="1" applyBorder="1"/>
    <xf numFmtId="43" fontId="25" fillId="0" borderId="0" xfId="0" applyNumberFormat="1" applyFont="1" applyBorder="1" applyAlignment="1"/>
    <xf numFmtId="0" fontId="25" fillId="0" borderId="0" xfId="0" applyFont="1" applyBorder="1" applyAlignment="1"/>
    <xf numFmtId="165" fontId="25" fillId="0" borderId="0" xfId="2" applyFont="1" applyFill="1" applyBorder="1"/>
    <xf numFmtId="0" fontId="26" fillId="0" borderId="5" xfId="0" applyFont="1" applyFill="1" applyBorder="1"/>
    <xf numFmtId="43" fontId="0" fillId="0" borderId="0" xfId="0" applyNumberFormat="1" applyFill="1" applyBorder="1"/>
    <xf numFmtId="43" fontId="0" fillId="0" borderId="0" xfId="0" applyNumberFormat="1" applyBorder="1"/>
    <xf numFmtId="165" fontId="25" fillId="0" borderId="5" xfId="0" applyNumberFormat="1" applyFont="1" applyBorder="1"/>
    <xf numFmtId="0" fontId="0" fillId="0" borderId="5" xfId="0" applyBorder="1"/>
    <xf numFmtId="0" fontId="25" fillId="0" borderId="2" xfId="0" applyFont="1" applyBorder="1"/>
    <xf numFmtId="165" fontId="25" fillId="0" borderId="5" xfId="2" applyFont="1" applyFill="1" applyBorder="1"/>
    <xf numFmtId="165" fontId="26" fillId="0" borderId="0" xfId="2" applyFont="1" applyFill="1" applyBorder="1"/>
    <xf numFmtId="0" fontId="0" fillId="0" borderId="15" xfId="0" applyBorder="1"/>
    <xf numFmtId="0" fontId="0" fillId="0" borderId="16" xfId="0" applyBorder="1"/>
    <xf numFmtId="43" fontId="0" fillId="0" borderId="16" xfId="0" applyNumberFormat="1" applyBorder="1"/>
    <xf numFmtId="0" fontId="0" fillId="0" borderId="17" xfId="0" applyBorder="1"/>
    <xf numFmtId="49" fontId="7" fillId="0" borderId="0" xfId="4" applyNumberFormat="1" applyFont="1" applyAlignment="1" applyProtection="1">
      <alignment horizontal="left"/>
      <protection locked="0"/>
    </xf>
    <xf numFmtId="0" fontId="1" fillId="0" borderId="0" xfId="4"/>
    <xf numFmtId="14" fontId="7" fillId="0" borderId="0" xfId="4" applyNumberFormat="1" applyFont="1" applyAlignment="1" applyProtection="1">
      <alignment horizontal="right"/>
      <protection locked="0"/>
    </xf>
    <xf numFmtId="14" fontId="6" fillId="0" borderId="0" xfId="4" applyNumberFormat="1" applyFont="1" applyProtection="1">
      <protection locked="0"/>
    </xf>
    <xf numFmtId="14" fontId="6" fillId="0" borderId="0" xfId="4" applyNumberFormat="1" applyFont="1" applyAlignment="1" applyProtection="1">
      <alignment horizontal="center"/>
      <protection locked="0"/>
    </xf>
    <xf numFmtId="4" fontId="6" fillId="0" borderId="0" xfId="4" applyNumberFormat="1" applyFont="1" applyAlignment="1" applyProtection="1">
      <alignment horizontal="center"/>
      <protection locked="0"/>
    </xf>
    <xf numFmtId="172" fontId="6" fillId="0" borderId="0" xfId="4" applyNumberFormat="1" applyFont="1" applyProtection="1">
      <protection locked="0"/>
    </xf>
    <xf numFmtId="173" fontId="6" fillId="0" borderId="0" xfId="4" applyNumberFormat="1" applyFont="1" applyAlignment="1" applyProtection="1">
      <protection locked="0"/>
    </xf>
    <xf numFmtId="4" fontId="6" fillId="0" borderId="0" xfId="4" applyNumberFormat="1" applyFont="1" applyAlignment="1" applyProtection="1">
      <alignment horizontal="left"/>
      <protection locked="0"/>
    </xf>
    <xf numFmtId="174" fontId="6" fillId="0" borderId="0" xfId="4" applyNumberFormat="1" applyFont="1" applyAlignment="1" applyProtection="1">
      <protection locked="0"/>
    </xf>
    <xf numFmtId="4" fontId="6" fillId="0" borderId="0" xfId="4" applyNumberFormat="1" applyFont="1" applyAlignment="1" applyProtection="1">
      <alignment horizontal="right"/>
      <protection locked="0"/>
    </xf>
    <xf numFmtId="43" fontId="6" fillId="0" borderId="0" xfId="5" applyFont="1" applyProtection="1">
      <protection locked="0"/>
    </xf>
    <xf numFmtId="4" fontId="27" fillId="0" borderId="0" xfId="4" applyNumberFormat="1" applyFont="1" applyAlignment="1" applyProtection="1">
      <alignment horizontal="center"/>
      <protection locked="0"/>
    </xf>
    <xf numFmtId="1" fontId="6" fillId="0" borderId="0" xfId="4" applyNumberFormat="1" applyFont="1" applyAlignment="1" applyProtection="1">
      <alignment horizontal="center"/>
      <protection locked="0"/>
    </xf>
    <xf numFmtId="175" fontId="6" fillId="0" borderId="0" xfId="4" applyNumberFormat="1" applyFont="1" applyAlignment="1" applyProtection="1">
      <alignment horizontal="center"/>
      <protection locked="0"/>
    </xf>
    <xf numFmtId="173" fontId="6" fillId="0" borderId="0" xfId="4" applyNumberFormat="1" applyFont="1" applyAlignment="1" applyProtection="1">
      <alignment horizontal="center"/>
      <protection locked="0"/>
    </xf>
    <xf numFmtId="49" fontId="7" fillId="0" borderId="14" xfId="4" applyNumberFormat="1" applyFont="1" applyBorder="1" applyProtection="1">
      <protection locked="0"/>
    </xf>
    <xf numFmtId="0" fontId="7" fillId="0" borderId="14" xfId="4" applyFont="1" applyBorder="1" applyProtection="1">
      <protection locked="0"/>
    </xf>
    <xf numFmtId="14" fontId="7" fillId="0" borderId="14" xfId="4" applyNumberFormat="1" applyFont="1" applyBorder="1" applyProtection="1">
      <protection locked="0"/>
    </xf>
    <xf numFmtId="4" fontId="7" fillId="0" borderId="14" xfId="4" applyNumberFormat="1" applyFont="1" applyBorder="1" applyAlignment="1" applyProtection="1">
      <alignment horizontal="right"/>
      <protection locked="0"/>
    </xf>
    <xf numFmtId="1" fontId="7" fillId="0" borderId="14" xfId="4" applyNumberFormat="1" applyFont="1" applyBorder="1" applyProtection="1">
      <protection locked="0"/>
    </xf>
    <xf numFmtId="175" fontId="7" fillId="0" borderId="14" xfId="4" applyNumberFormat="1" applyFont="1" applyBorder="1" applyProtection="1">
      <protection locked="0"/>
    </xf>
    <xf numFmtId="173" fontId="7" fillId="0" borderId="14" xfId="4" applyNumberFormat="1" applyFont="1" applyBorder="1" applyProtection="1">
      <protection locked="0"/>
    </xf>
    <xf numFmtId="4" fontId="7" fillId="0" borderId="14" xfId="4" applyNumberFormat="1" applyFont="1" applyBorder="1" applyProtection="1">
      <protection locked="0"/>
    </xf>
    <xf numFmtId="4" fontId="7" fillId="0" borderId="14" xfId="4" applyNumberFormat="1" applyFont="1" applyBorder="1" applyAlignment="1" applyProtection="1">
      <alignment horizontal="center"/>
      <protection locked="0"/>
    </xf>
    <xf numFmtId="49" fontId="7" fillId="0" borderId="14" xfId="4" applyNumberFormat="1" applyFont="1" applyBorder="1" applyAlignment="1" applyProtection="1">
      <alignment horizontal="center"/>
      <protection locked="0"/>
    </xf>
    <xf numFmtId="49" fontId="7" fillId="0" borderId="14" xfId="4" applyNumberFormat="1" applyFont="1" applyBorder="1" applyAlignment="1" applyProtection="1">
      <protection locked="0"/>
    </xf>
    <xf numFmtId="4" fontId="7" fillId="0" borderId="18" xfId="4" applyNumberFormat="1" applyFont="1" applyBorder="1" applyAlignment="1" applyProtection="1">
      <alignment horizontal="right"/>
      <protection locked="0"/>
    </xf>
    <xf numFmtId="4" fontId="7" fillId="0" borderId="19" xfId="4" applyNumberFormat="1" applyFont="1" applyBorder="1" applyAlignment="1" applyProtection="1">
      <alignment horizontal="right"/>
      <protection locked="0"/>
    </xf>
    <xf numFmtId="49" fontId="28" fillId="0" borderId="14" xfId="4" applyNumberFormat="1" applyFont="1" applyBorder="1" applyProtection="1">
      <protection locked="0"/>
    </xf>
    <xf numFmtId="49" fontId="6" fillId="0" borderId="0" xfId="4" applyNumberFormat="1" applyFont="1" applyFill="1" applyProtection="1">
      <protection locked="0"/>
    </xf>
    <xf numFmtId="0" fontId="6" fillId="0" borderId="0" xfId="4" applyFont="1" applyFill="1" applyProtection="1">
      <protection locked="0"/>
    </xf>
    <xf numFmtId="14" fontId="6" fillId="0" borderId="0" xfId="4" applyNumberFormat="1" applyFont="1" applyFill="1" applyProtection="1">
      <protection locked="0"/>
    </xf>
    <xf numFmtId="4" fontId="6" fillId="0" borderId="0" xfId="4" applyNumberFormat="1" applyFont="1" applyFill="1" applyAlignment="1" applyProtection="1">
      <alignment horizontal="right"/>
      <protection locked="0"/>
    </xf>
    <xf numFmtId="4" fontId="6" fillId="0" borderId="0" xfId="5" applyNumberFormat="1" applyFont="1" applyFill="1" applyAlignment="1" applyProtection="1">
      <alignment horizontal="right"/>
    </xf>
    <xf numFmtId="1" fontId="6" fillId="0" borderId="0" xfId="4" applyNumberFormat="1" applyFont="1" applyFill="1" applyAlignment="1" applyProtection="1">
      <alignment horizontal="right"/>
    </xf>
    <xf numFmtId="4" fontId="6" fillId="0" borderId="0" xfId="4" applyNumberFormat="1" applyFont="1" applyFill="1" applyAlignment="1" applyProtection="1">
      <alignment horizontal="right"/>
    </xf>
    <xf numFmtId="173" fontId="6" fillId="0" borderId="0" xfId="4" applyNumberFormat="1" applyFont="1" applyFill="1" applyAlignment="1" applyProtection="1">
      <alignment horizontal="right"/>
    </xf>
    <xf numFmtId="43" fontId="6" fillId="0" borderId="0" xfId="5" applyFont="1" applyFill="1" applyProtection="1">
      <protection locked="0"/>
    </xf>
    <xf numFmtId="176" fontId="6" fillId="0" borderId="0" xfId="4" applyNumberFormat="1" applyFont="1" applyFill="1" applyAlignment="1" applyProtection="1">
      <protection locked="0"/>
    </xf>
    <xf numFmtId="4" fontId="6" fillId="0" borderId="12" xfId="4" applyNumberFormat="1" applyFont="1" applyFill="1" applyBorder="1" applyProtection="1">
      <protection locked="0"/>
    </xf>
    <xf numFmtId="0" fontId="27" fillId="0" borderId="13" xfId="4" applyFont="1" applyFill="1" applyBorder="1" applyProtection="1">
      <protection locked="0"/>
    </xf>
    <xf numFmtId="4" fontId="7" fillId="0" borderId="20" xfId="5" applyNumberFormat="1" applyFont="1" applyFill="1" applyBorder="1" applyAlignment="1" applyProtection="1">
      <alignment horizontal="right"/>
      <protection locked="0"/>
    </xf>
    <xf numFmtId="4" fontId="6" fillId="0" borderId="0" xfId="5" applyNumberFormat="1" applyFont="1" applyFill="1" applyAlignment="1" applyProtection="1">
      <alignment horizontal="right"/>
      <protection locked="0"/>
    </xf>
    <xf numFmtId="1" fontId="6" fillId="0" borderId="0" xfId="4" applyNumberFormat="1" applyFont="1" applyFill="1" applyAlignment="1" applyProtection="1">
      <alignment horizontal="right"/>
      <protection locked="0"/>
    </xf>
    <xf numFmtId="173" fontId="6" fillId="0" borderId="0" xfId="4" applyNumberFormat="1" applyFont="1" applyFill="1" applyAlignment="1" applyProtection="1">
      <alignment horizontal="right"/>
      <protection locked="0"/>
    </xf>
    <xf numFmtId="4" fontId="7" fillId="0" borderId="0" xfId="4" applyNumberFormat="1" applyFont="1" applyFill="1" applyAlignment="1" applyProtection="1">
      <alignment horizontal="left"/>
      <protection locked="0"/>
    </xf>
    <xf numFmtId="4" fontId="7" fillId="0" borderId="0" xfId="4" applyNumberFormat="1" applyFont="1" applyFill="1" applyAlignment="1" applyProtection="1">
      <alignment horizontal="right"/>
      <protection locked="0"/>
    </xf>
    <xf numFmtId="4" fontId="7" fillId="0" borderId="15" xfId="4" applyNumberFormat="1" applyFont="1" applyFill="1" applyBorder="1" applyProtection="1">
      <protection locked="0"/>
    </xf>
    <xf numFmtId="0" fontId="6" fillId="0" borderId="17" xfId="4" applyFont="1" applyFill="1" applyBorder="1" applyProtection="1">
      <protection locked="0"/>
    </xf>
    <xf numFmtId="4" fontId="6" fillId="0" borderId="0" xfId="4" applyNumberFormat="1" applyFont="1" applyFill="1" applyProtection="1">
      <protection locked="0"/>
    </xf>
    <xf numFmtId="4" fontId="7" fillId="7" borderId="0" xfId="4" applyNumberFormat="1" applyFont="1" applyFill="1" applyProtection="1">
      <protection locked="0"/>
    </xf>
    <xf numFmtId="0" fontId="7" fillId="7" borderId="0" xfId="4" applyFont="1" applyFill="1" applyProtection="1">
      <protection locked="0"/>
    </xf>
    <xf numFmtId="167" fontId="26" fillId="0" borderId="0" xfId="3" applyNumberFormat="1" applyFont="1" applyBorder="1"/>
    <xf numFmtId="165" fontId="26" fillId="8" borderId="0" xfId="2" applyFont="1" applyFill="1" applyBorder="1"/>
    <xf numFmtId="0" fontId="29" fillId="0" borderId="0" xfId="0" applyFont="1" applyBorder="1"/>
    <xf numFmtId="165" fontId="29" fillId="0" borderId="0" xfId="2" applyFont="1" applyBorder="1"/>
    <xf numFmtId="0" fontId="30" fillId="0" borderId="5" xfId="0" applyFont="1" applyBorder="1"/>
    <xf numFmtId="165" fontId="30" fillId="0" borderId="5" xfId="2" applyFont="1" applyBorder="1"/>
    <xf numFmtId="43" fontId="4" fillId="0" borderId="0" xfId="0" applyNumberFormat="1" applyFont="1" applyFill="1" applyBorder="1" applyAlignment="1">
      <alignment horizontal="center"/>
    </xf>
    <xf numFmtId="164" fontId="31" fillId="0" borderId="2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43" fontId="32" fillId="0" borderId="0" xfId="0" applyNumberFormat="1" applyFont="1" applyFill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17" fontId="33" fillId="0" borderId="0" xfId="2" applyNumberFormat="1" applyFont="1" applyFill="1" applyBorder="1"/>
    <xf numFmtId="164" fontId="33" fillId="0" borderId="0" xfId="0" applyNumberFormat="1" applyFont="1" applyFill="1" applyBorder="1" applyAlignment="1">
      <alignment horizontal="center"/>
    </xf>
    <xf numFmtId="0" fontId="1" fillId="7" borderId="0" xfId="0" applyFont="1" applyFill="1"/>
    <xf numFmtId="14" fontId="0" fillId="7" borderId="0" xfId="0" applyNumberFormat="1" applyFill="1"/>
    <xf numFmtId="0" fontId="0" fillId="7" borderId="0" xfId="0" applyFill="1"/>
    <xf numFmtId="4" fontId="3" fillId="0" borderId="0" xfId="0" applyNumberFormat="1" applyFont="1"/>
    <xf numFmtId="4" fontId="34" fillId="0" borderId="0" xfId="0" applyNumberFormat="1" applyFont="1"/>
    <xf numFmtId="0" fontId="0" fillId="0" borderId="0" xfId="0" applyFill="1"/>
    <xf numFmtId="0" fontId="2" fillId="0" borderId="0" xfId="0" applyNumberFormat="1" applyFont="1" applyFill="1" applyBorder="1" applyAlignment="1">
      <alignment horizontal="center"/>
    </xf>
    <xf numFmtId="0" fontId="1" fillId="0" borderId="0" xfId="0" applyFont="1" applyFill="1"/>
    <xf numFmtId="14" fontId="0" fillId="0" borderId="0" xfId="0" applyNumberFormat="1" applyFill="1"/>
    <xf numFmtId="165" fontId="0" fillId="0" borderId="0" xfId="2" applyFont="1"/>
    <xf numFmtId="165" fontId="1" fillId="0" borderId="0" xfId="2" applyFont="1" applyFill="1"/>
    <xf numFmtId="165" fontId="0" fillId="0" borderId="0" xfId="0" applyNumberFormat="1"/>
    <xf numFmtId="164" fontId="0" fillId="7" borderId="0" xfId="0" applyNumberFormat="1" applyFill="1"/>
    <xf numFmtId="43" fontId="0" fillId="7" borderId="0" xfId="0" applyNumberFormat="1" applyFill="1"/>
    <xf numFmtId="17" fontId="0" fillId="7" borderId="0" xfId="0" applyNumberFormat="1" applyFill="1"/>
    <xf numFmtId="0" fontId="0" fillId="7" borderId="21" xfId="0" applyFill="1" applyBorder="1" applyAlignment="1">
      <alignment horizontal="center"/>
    </xf>
    <xf numFmtId="43" fontId="0" fillId="7" borderId="22" xfId="0" applyNumberFormat="1" applyFill="1" applyBorder="1" applyAlignment="1">
      <alignment horizontal="center"/>
    </xf>
    <xf numFmtId="164" fontId="1" fillId="0" borderId="0" xfId="0" applyNumberFormat="1" applyFont="1" applyBorder="1"/>
    <xf numFmtId="164" fontId="33" fillId="0" borderId="21" xfId="0" applyNumberFormat="1" applyFont="1" applyFill="1" applyBorder="1" applyAlignment="1">
      <alignment horizontal="center"/>
    </xf>
    <xf numFmtId="164" fontId="33" fillId="0" borderId="23" xfId="0" applyNumberFormat="1" applyFont="1" applyFill="1" applyBorder="1" applyAlignment="1">
      <alignment horizontal="center"/>
    </xf>
    <xf numFmtId="164" fontId="33" fillId="0" borderId="22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43" fontId="3" fillId="0" borderId="0" xfId="0" applyNumberFormat="1" applyFont="1" applyBorder="1" applyAlignment="1">
      <alignment horizontal="center"/>
    </xf>
    <xf numFmtId="43" fontId="32" fillId="0" borderId="21" xfId="0" applyNumberFormat="1" applyFont="1" applyFill="1" applyBorder="1" applyAlignment="1">
      <alignment horizontal="center"/>
    </xf>
    <xf numFmtId="43" fontId="32" fillId="0" borderId="23" xfId="0" applyNumberFormat="1" applyFont="1" applyFill="1" applyBorder="1" applyAlignment="1">
      <alignment horizontal="center"/>
    </xf>
    <xf numFmtId="43" fontId="32" fillId="0" borderId="22" xfId="0" applyNumberFormat="1" applyFont="1" applyFill="1" applyBorder="1" applyAlignment="1">
      <alignment horizontal="center"/>
    </xf>
    <xf numFmtId="4" fontId="34" fillId="0" borderId="21" xfId="0" applyNumberFormat="1" applyFont="1" applyBorder="1"/>
    <xf numFmtId="4" fontId="34" fillId="0" borderId="23" xfId="0" applyNumberFormat="1" applyFont="1" applyBorder="1"/>
    <xf numFmtId="4" fontId="34" fillId="0" borderId="22" xfId="0" applyNumberFormat="1" applyFont="1" applyBorder="1"/>
    <xf numFmtId="4" fontId="0" fillId="7" borderId="0" xfId="0" applyNumberFormat="1" applyFill="1"/>
    <xf numFmtId="164" fontId="0" fillId="7" borderId="22" xfId="0" applyNumberFormat="1" applyFill="1" applyBorder="1" applyAlignment="1">
      <alignment horizontal="center"/>
    </xf>
    <xf numFmtId="164" fontId="4" fillId="2" borderId="24" xfId="2" applyNumberFormat="1" applyFont="1" applyFill="1" applyBorder="1"/>
    <xf numFmtId="164" fontId="0" fillId="7" borderId="22" xfId="0" applyNumberFormat="1" applyFill="1" applyBorder="1"/>
    <xf numFmtId="0" fontId="34" fillId="0" borderId="0" xfId="0" applyFont="1"/>
    <xf numFmtId="165" fontId="0" fillId="0" borderId="0" xfId="2" applyFont="1" applyFill="1" applyBorder="1"/>
    <xf numFmtId="165" fontId="1" fillId="0" borderId="0" xfId="2" applyFont="1" applyFill="1" applyBorder="1"/>
    <xf numFmtId="164" fontId="0" fillId="0" borderId="0" xfId="0" applyNumberFormat="1" applyFill="1" applyBorder="1"/>
    <xf numFmtId="165" fontId="0" fillId="0" borderId="0" xfId="0" applyNumberFormat="1" applyFill="1" applyBorder="1"/>
    <xf numFmtId="4" fontId="3" fillId="0" borderId="0" xfId="0" applyNumberFormat="1" applyFont="1" applyFill="1" applyBorder="1"/>
    <xf numFmtId="17" fontId="0" fillId="0" borderId="0" xfId="0" applyNumberFormat="1" applyFill="1" applyBorder="1"/>
    <xf numFmtId="164" fontId="1" fillId="0" borderId="0" xfId="1" applyFont="1" applyFill="1" applyBorder="1"/>
    <xf numFmtId="0" fontId="4" fillId="0" borderId="25" xfId="0" applyFont="1" applyBorder="1" applyAlignment="1">
      <alignment horizontal="center"/>
    </xf>
    <xf numFmtId="167" fontId="5" fillId="2" borderId="25" xfId="0" applyNumberFormat="1" applyFont="1" applyFill="1" applyBorder="1" applyAlignment="1">
      <alignment horizontal="center"/>
    </xf>
    <xf numFmtId="14" fontId="2" fillId="2" borderId="25" xfId="0" applyNumberFormat="1" applyFont="1" applyFill="1" applyBorder="1"/>
    <xf numFmtId="14" fontId="5" fillId="2" borderId="25" xfId="0" applyNumberFormat="1" applyFont="1" applyFill="1" applyBorder="1"/>
    <xf numFmtId="164" fontId="7" fillId="2" borderId="25" xfId="2" applyNumberFormat="1" applyFont="1" applyFill="1" applyBorder="1"/>
    <xf numFmtId="0" fontId="3" fillId="0" borderId="0" xfId="0" applyFont="1" applyBorder="1" applyAlignment="1">
      <alignment horizontal="center"/>
    </xf>
    <xf numFmtId="0" fontId="3" fillId="0" borderId="9" xfId="0" applyFont="1" applyBorder="1"/>
    <xf numFmtId="164" fontId="4" fillId="0" borderId="26" xfId="1" applyFont="1" applyBorder="1" applyAlignment="1">
      <alignment horizontal="center"/>
    </xf>
    <xf numFmtId="164" fontId="4" fillId="0" borderId="27" xfId="1" applyFont="1" applyBorder="1" applyAlignment="1">
      <alignment horizontal="center"/>
    </xf>
    <xf numFmtId="0" fontId="3" fillId="0" borderId="12" xfId="0" applyFont="1" applyBorder="1"/>
    <xf numFmtId="164" fontId="4" fillId="2" borderId="28" xfId="2" applyNumberFormat="1" applyFont="1" applyFill="1" applyBorder="1" applyAlignment="1">
      <alignment horizontal="center"/>
    </xf>
    <xf numFmtId="17" fontId="2" fillId="0" borderId="12" xfId="2" applyNumberFormat="1" applyFont="1" applyFill="1" applyBorder="1"/>
    <xf numFmtId="0" fontId="2" fillId="0" borderId="13" xfId="0" applyNumberFormat="1" applyFont="1" applyFill="1" applyBorder="1" applyAlignment="1">
      <alignment horizontal="center"/>
    </xf>
    <xf numFmtId="17" fontId="2" fillId="0" borderId="15" xfId="2" applyNumberFormat="1" applyFont="1" applyFill="1" applyBorder="1"/>
    <xf numFmtId="164" fontId="2" fillId="0" borderId="16" xfId="0" applyNumberFormat="1" applyFont="1" applyFill="1" applyBorder="1" applyAlignment="1">
      <alignment horizontal="center"/>
    </xf>
    <xf numFmtId="0" fontId="5" fillId="0" borderId="17" xfId="0" applyNumberFormat="1" applyFont="1" applyFill="1" applyBorder="1" applyAlignment="1">
      <alignment horizontal="center"/>
    </xf>
    <xf numFmtId="164" fontId="9" fillId="0" borderId="0" xfId="1" applyFont="1" applyBorder="1" applyAlignment="1"/>
    <xf numFmtId="164" fontId="4" fillId="2" borderId="0" xfId="2" applyNumberFormat="1" applyFont="1" applyFill="1" applyBorder="1" applyAlignment="1">
      <alignment horizontal="center"/>
    </xf>
    <xf numFmtId="164" fontId="4" fillId="0" borderId="0" xfId="2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2" fillId="0" borderId="0" xfId="2" applyNumberFormat="1" applyFont="1" applyFill="1" applyBorder="1"/>
    <xf numFmtId="164" fontId="2" fillId="0" borderId="16" xfId="2" applyNumberFormat="1" applyFont="1" applyFill="1" applyBorder="1"/>
    <xf numFmtId="164" fontId="4" fillId="0" borderId="16" xfId="2" applyNumberFormat="1" applyFont="1" applyFill="1" applyBorder="1" applyAlignment="1">
      <alignment horizontal="center"/>
    </xf>
    <xf numFmtId="165" fontId="0" fillId="0" borderId="0" xfId="2" applyFont="1" applyFill="1" applyAlignment="1">
      <alignment horizontal="center"/>
    </xf>
    <xf numFmtId="14" fontId="0" fillId="0" borderId="0" xfId="0" applyNumberFormat="1" applyFill="1" applyBorder="1"/>
    <xf numFmtId="165" fontId="3" fillId="0" borderId="0" xfId="0" applyNumberFormat="1" applyFont="1"/>
    <xf numFmtId="17" fontId="2" fillId="7" borderId="12" xfId="0" applyNumberFormat="1" applyFont="1" applyFill="1" applyBorder="1"/>
    <xf numFmtId="17" fontId="2" fillId="7" borderId="12" xfId="2" applyNumberFormat="1" applyFont="1" applyFill="1" applyBorder="1"/>
    <xf numFmtId="164" fontId="33" fillId="7" borderId="0" xfId="2" applyNumberFormat="1" applyFont="1" applyFill="1" applyBorder="1"/>
    <xf numFmtId="164" fontId="33" fillId="7" borderId="0" xfId="2" applyNumberFormat="1" applyFont="1" applyFill="1" applyBorder="1" applyAlignment="1">
      <alignment horizontal="center"/>
    </xf>
    <xf numFmtId="164" fontId="32" fillId="7" borderId="0" xfId="2" applyNumberFormat="1" applyFont="1" applyFill="1" applyBorder="1" applyAlignment="1">
      <alignment horizontal="center"/>
    </xf>
    <xf numFmtId="164" fontId="33" fillId="7" borderId="0" xfId="0" applyNumberFormat="1" applyFont="1" applyFill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1" fillId="0" borderId="0" xfId="2" applyFont="1" applyFill="1" applyBorder="1" applyAlignment="1">
      <alignment horizontal="center"/>
    </xf>
    <xf numFmtId="0" fontId="1" fillId="0" borderId="0" xfId="0" applyFont="1" applyFill="1" applyBorder="1"/>
    <xf numFmtId="165" fontId="3" fillId="0" borderId="0" xfId="2" applyFont="1" applyFill="1" applyBorder="1"/>
    <xf numFmtId="17" fontId="33" fillId="0" borderId="12" xfId="2" applyNumberFormat="1" applyFont="1" applyFill="1" applyBorder="1"/>
    <xf numFmtId="164" fontId="33" fillId="0" borderId="0" xfId="2" applyNumberFormat="1" applyFont="1" applyFill="1" applyBorder="1"/>
    <xf numFmtId="164" fontId="32" fillId="0" borderId="0" xfId="2" applyNumberFormat="1" applyFont="1" applyFill="1" applyBorder="1" applyAlignment="1">
      <alignment horizontal="center"/>
    </xf>
    <xf numFmtId="165" fontId="1" fillId="0" borderId="0" xfId="0" applyNumberFormat="1" applyFont="1"/>
    <xf numFmtId="164" fontId="32" fillId="7" borderId="26" xfId="1" applyFont="1" applyFill="1" applyBorder="1" applyAlignment="1">
      <alignment horizontal="center"/>
    </xf>
    <xf numFmtId="17" fontId="0" fillId="0" borderId="0" xfId="0" applyNumberFormat="1"/>
    <xf numFmtId="17" fontId="33" fillId="7" borderId="12" xfId="2" applyNumberFormat="1" applyFont="1" applyFill="1" applyBorder="1"/>
    <xf numFmtId="0" fontId="34" fillId="0" borderId="0" xfId="0" applyFont="1" applyBorder="1"/>
    <xf numFmtId="0" fontId="34" fillId="0" borderId="0" xfId="0" applyFont="1" applyFill="1" applyBorder="1"/>
    <xf numFmtId="0" fontId="1" fillId="0" borderId="12" xfId="0" applyFont="1" applyFill="1" applyBorder="1" applyAlignment="1">
      <alignment horizontal="center"/>
    </xf>
    <xf numFmtId="165" fontId="1" fillId="0" borderId="0" xfId="2" applyFont="1" applyFill="1" applyBorder="1" applyAlignment="1"/>
    <xf numFmtId="0" fontId="33" fillId="0" borderId="13" xfId="0" applyNumberFormat="1" applyFont="1" applyFill="1" applyBorder="1" applyAlignment="1">
      <alignment horizontal="center"/>
    </xf>
    <xf numFmtId="164" fontId="4" fillId="0" borderId="0" xfId="1" applyFont="1" applyFill="1"/>
    <xf numFmtId="0" fontId="4" fillId="0" borderId="0" xfId="0" applyFont="1"/>
    <xf numFmtId="164" fontId="32" fillId="0" borderId="0" xfId="0" applyNumberFormat="1" applyFont="1" applyFill="1" applyBorder="1" applyAlignment="1">
      <alignment horizontal="center"/>
    </xf>
    <xf numFmtId="0" fontId="4" fillId="0" borderId="0" xfId="0" applyFont="1" applyBorder="1"/>
    <xf numFmtId="0" fontId="32" fillId="0" borderId="0" xfId="0" applyFont="1" applyBorder="1"/>
    <xf numFmtId="0" fontId="32" fillId="0" borderId="0" xfId="0" applyFont="1"/>
    <xf numFmtId="0" fontId="3" fillId="7" borderId="0" xfId="0" applyFont="1" applyFill="1"/>
    <xf numFmtId="164" fontId="3" fillId="7" borderId="0" xfId="0" applyNumberFormat="1" applyFont="1" applyFill="1"/>
    <xf numFmtId="164" fontId="32" fillId="7" borderId="0" xfId="1" applyFont="1" applyFill="1"/>
    <xf numFmtId="0" fontId="32" fillId="0" borderId="0" xfId="0" applyFont="1" applyFill="1"/>
    <xf numFmtId="164" fontId="32" fillId="0" borderId="0" xfId="1" applyFont="1" applyFill="1"/>
    <xf numFmtId="0" fontId="34" fillId="0" borderId="0" xfId="0" applyFont="1" applyFill="1" applyAlignment="1">
      <alignment horizontal="center"/>
    </xf>
    <xf numFmtId="17" fontId="33" fillId="0" borderId="15" xfId="2" applyNumberFormat="1" applyFont="1" applyFill="1" applyBorder="1"/>
    <xf numFmtId="164" fontId="33" fillId="0" borderId="16" xfId="2" applyNumberFormat="1" applyFont="1" applyFill="1" applyBorder="1"/>
    <xf numFmtId="164" fontId="32" fillId="0" borderId="16" xfId="2" applyNumberFormat="1" applyFont="1" applyFill="1" applyBorder="1" applyAlignment="1">
      <alignment horizontal="center"/>
    </xf>
    <xf numFmtId="0" fontId="33" fillId="0" borderId="17" xfId="0" applyNumberFormat="1" applyFont="1" applyFill="1" applyBorder="1" applyAlignment="1">
      <alignment horizontal="center"/>
    </xf>
    <xf numFmtId="164" fontId="9" fillId="0" borderId="0" xfId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25" fillId="0" borderId="0" xfId="0" applyFont="1" applyBorder="1" applyAlignment="1">
      <alignment horizontal="left"/>
    </xf>
    <xf numFmtId="14" fontId="7" fillId="0" borderId="5" xfId="4" applyNumberFormat="1" applyFont="1" applyBorder="1" applyAlignment="1" applyProtection="1">
      <alignment horizontal="right"/>
      <protection locked="0"/>
    </xf>
    <xf numFmtId="0" fontId="6" fillId="0" borderId="5" xfId="4" applyFont="1" applyBorder="1" applyAlignment="1" applyProtection="1">
      <protection locked="0"/>
    </xf>
  </cellXfs>
  <cellStyles count="6">
    <cellStyle name="Moeda" xfId="1" builtinId="4"/>
    <cellStyle name="Normal" xfId="0" builtinId="0"/>
    <cellStyle name="Normal 2" xfId="4"/>
    <cellStyle name="Porcentagem" xfId="3" builtinId="5"/>
    <cellStyle name="Vírgula" xfId="2" builtinId="3"/>
    <cellStyle name="Vírgula 2" xfId="5"/>
  </cellStyles>
  <dxfs count="0"/>
  <tableStyles count="0" defaultTableStyle="TableStyleMedium9" defaultPivotStyle="PivotStyleLight16"/>
  <colors>
    <mruColors>
      <color rgb="FF66FF99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1</xdr:row>
      <xdr:rowOff>180975</xdr:rowOff>
    </xdr:from>
    <xdr:to>
      <xdr:col>2</xdr:col>
      <xdr:colOff>219075</xdr:colOff>
      <xdr:row>5</xdr:row>
      <xdr:rowOff>38100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56DCFBEB-98ED-4ABA-AC8B-724E1B99F4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13" t="36794" r="15932" b="35423"/>
        <a:stretch/>
      </xdr:blipFill>
      <xdr:spPr>
        <a:xfrm>
          <a:off x="504825" y="381000"/>
          <a:ext cx="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1</xdr:row>
      <xdr:rowOff>180975</xdr:rowOff>
    </xdr:from>
    <xdr:to>
      <xdr:col>5</xdr:col>
      <xdr:colOff>568412</xdr:colOff>
      <xdr:row>5</xdr:row>
      <xdr:rowOff>38100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479BCBD-CB71-4828-9F1E-DCA6685BC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13" t="36794" r="15932" b="35423"/>
        <a:stretch/>
      </xdr:blipFill>
      <xdr:spPr>
        <a:xfrm>
          <a:off x="771525" y="381000"/>
          <a:ext cx="1911437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</xdr:row>
      <xdr:rowOff>180975</xdr:rowOff>
    </xdr:from>
    <xdr:to>
      <xdr:col>2</xdr:col>
      <xdr:colOff>219075</xdr:colOff>
      <xdr:row>5</xdr:row>
      <xdr:rowOff>38100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4E42CC8E-171F-4C5B-8B5B-0526936C8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13" t="36794" r="15932" b="35423"/>
        <a:stretch/>
      </xdr:blipFill>
      <xdr:spPr>
        <a:xfrm>
          <a:off x="504825" y="381000"/>
          <a:ext cx="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1</xdr:row>
      <xdr:rowOff>180975</xdr:rowOff>
    </xdr:from>
    <xdr:to>
      <xdr:col>5</xdr:col>
      <xdr:colOff>568412</xdr:colOff>
      <xdr:row>5</xdr:row>
      <xdr:rowOff>38100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DB5EF80-631E-4581-888C-BA9025404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13" t="36794" r="15932" b="35423"/>
        <a:stretch/>
      </xdr:blipFill>
      <xdr:spPr>
        <a:xfrm>
          <a:off x="771525" y="381000"/>
          <a:ext cx="1911437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</xdr:row>
      <xdr:rowOff>180975</xdr:rowOff>
    </xdr:from>
    <xdr:to>
      <xdr:col>2</xdr:col>
      <xdr:colOff>219075</xdr:colOff>
      <xdr:row>5</xdr:row>
      <xdr:rowOff>38100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FDEAE2EA-0BC0-4EB6-9142-1C32B0C47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13" t="36794" r="15932" b="35423"/>
        <a:stretch/>
      </xdr:blipFill>
      <xdr:spPr>
        <a:xfrm>
          <a:off x="504825" y="381000"/>
          <a:ext cx="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1</xdr:row>
      <xdr:rowOff>180975</xdr:rowOff>
    </xdr:from>
    <xdr:to>
      <xdr:col>5</xdr:col>
      <xdr:colOff>568412</xdr:colOff>
      <xdr:row>5</xdr:row>
      <xdr:rowOff>38100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D6E08E8A-5625-44D6-AADD-B401E4C2E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13" t="36794" r="15932" b="35423"/>
        <a:stretch/>
      </xdr:blipFill>
      <xdr:spPr>
        <a:xfrm>
          <a:off x="771525" y="381000"/>
          <a:ext cx="1911437" cy="523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miss&#245;es\Nufarm%20II\NFRM2S1\Lastro\Relat&#243;rios%20de%20Desembolso\MATRIZ%20I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e Lastr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92D050"/>
  </sheetPr>
  <dimension ref="A1:O302"/>
  <sheetViews>
    <sheetView tabSelected="1" topLeftCell="A282" zoomScaleNormal="100" zoomScaleSheetLayoutView="100" workbookViewId="0">
      <selection activeCell="K294" sqref="K294"/>
    </sheetView>
  </sheetViews>
  <sheetFormatPr defaultRowHeight="12.75" x14ac:dyDescent="0.2"/>
  <cols>
    <col min="1" max="1" width="17.85546875" bestFit="1" customWidth="1"/>
    <col min="2" max="2" width="15.85546875" customWidth="1"/>
    <col min="3" max="3" width="11.85546875" bestFit="1" customWidth="1"/>
    <col min="4" max="4" width="14.28515625" bestFit="1" customWidth="1"/>
    <col min="5" max="5" width="13.28515625" bestFit="1" customWidth="1"/>
    <col min="6" max="6" width="14.28515625" bestFit="1" customWidth="1"/>
    <col min="7" max="7" width="11.5703125" customWidth="1"/>
    <col min="8" max="8" width="11.140625" customWidth="1"/>
    <col min="9" max="9" width="13" customWidth="1"/>
    <col min="10" max="10" width="14.42578125" customWidth="1"/>
    <col min="11" max="11" width="14.28515625" customWidth="1"/>
    <col min="12" max="12" width="14.85546875" bestFit="1" customWidth="1"/>
  </cols>
  <sheetData>
    <row r="1" spans="1:12" ht="37.5" x14ac:dyDescent="0.5">
      <c r="A1" s="287">
        <v>2017</v>
      </c>
      <c r="B1" s="287"/>
      <c r="C1" s="287"/>
      <c r="D1" s="287"/>
      <c r="E1" s="287"/>
      <c r="F1" s="287"/>
      <c r="G1" s="287"/>
    </row>
    <row r="2" spans="1:12" x14ac:dyDescent="0.2">
      <c r="A2" s="53"/>
    </row>
    <row r="3" spans="1:12" x14ac:dyDescent="0.2">
      <c r="A3" s="282" t="s">
        <v>161</v>
      </c>
      <c r="B3" s="282"/>
      <c r="C3" s="282"/>
      <c r="D3" s="282"/>
      <c r="E3" s="282"/>
      <c r="F3" s="282"/>
    </row>
    <row r="4" spans="1:12" x14ac:dyDescent="0.2">
      <c r="A4" s="1" t="s">
        <v>3</v>
      </c>
      <c r="B4" s="1" t="s">
        <v>1</v>
      </c>
      <c r="C4" s="3"/>
      <c r="D4" s="11" t="s">
        <v>9</v>
      </c>
      <c r="E4" s="11" t="s">
        <v>37</v>
      </c>
      <c r="F4" s="11" t="s">
        <v>8</v>
      </c>
      <c r="G4" s="11" t="s">
        <v>164</v>
      </c>
    </row>
    <row r="5" spans="1:12" x14ac:dyDescent="0.2">
      <c r="A5" s="5">
        <v>200518</v>
      </c>
      <c r="B5" s="31">
        <v>9.1204149999999998E-2</v>
      </c>
      <c r="C5" s="3"/>
      <c r="D5" s="8">
        <f>A9</f>
        <v>75527.275669632407</v>
      </c>
      <c r="E5" s="16">
        <f>A11</f>
        <v>34032.20919120116</v>
      </c>
      <c r="F5" s="16">
        <f>D5+E5</f>
        <v>109559.48486083356</v>
      </c>
      <c r="G5" s="16" t="s">
        <v>11</v>
      </c>
      <c r="J5" s="18">
        <v>1197452.32</v>
      </c>
      <c r="K5" s="52" t="s">
        <v>32</v>
      </c>
      <c r="L5" s="18"/>
    </row>
    <row r="6" spans="1:12" x14ac:dyDescent="0.2">
      <c r="A6" s="1" t="s">
        <v>10</v>
      </c>
      <c r="B6" s="1" t="s">
        <v>2</v>
      </c>
      <c r="C6" s="10">
        <v>43008</v>
      </c>
      <c r="D6" s="7">
        <f t="shared" ref="D6:D14" si="0">SUM($D$5/$G$15*G6)</f>
        <v>6814.4910378615705</v>
      </c>
      <c r="E6" s="7">
        <f>SUM($E$5/$G$15*G6)</f>
        <v>3070.5752653715331</v>
      </c>
      <c r="F6" s="172">
        <f>SUM(D6:E6)</f>
        <v>9885.0663032331031</v>
      </c>
      <c r="G6" s="12">
        <v>24</v>
      </c>
      <c r="J6" s="18">
        <v>1212936.49</v>
      </c>
      <c r="K6" s="52" t="s">
        <v>33</v>
      </c>
      <c r="L6" s="18"/>
    </row>
    <row r="7" spans="1:12" x14ac:dyDescent="0.2">
      <c r="A7" s="9">
        <f>'Detalhamento VERT'!D23</f>
        <v>802973.84513916646</v>
      </c>
      <c r="B7" s="31">
        <v>7.3000000000000001E-3</v>
      </c>
      <c r="C7" s="10">
        <v>43039</v>
      </c>
      <c r="D7" s="7">
        <f t="shared" si="0"/>
        <v>8802.0509239045277</v>
      </c>
      <c r="E7" s="7">
        <f t="shared" ref="E7:E14" si="1">SUM($E$5/$G$15*G7)</f>
        <v>3966.1597177715639</v>
      </c>
      <c r="F7" s="172">
        <f t="shared" ref="F7:F14" si="2">SUM(D7:E7)</f>
        <v>12768.210641676091</v>
      </c>
      <c r="G7" s="12">
        <v>31</v>
      </c>
      <c r="J7" s="51">
        <f>J6-J5</f>
        <v>15484.169999999925</v>
      </c>
      <c r="K7" s="52" t="s">
        <v>34</v>
      </c>
      <c r="L7" s="18"/>
    </row>
    <row r="8" spans="1:12" x14ac:dyDescent="0.2">
      <c r="A8" s="1" t="s">
        <v>6</v>
      </c>
      <c r="B8" s="1" t="s">
        <v>15</v>
      </c>
      <c r="C8" s="10">
        <v>43069</v>
      </c>
      <c r="D8" s="7">
        <f t="shared" si="0"/>
        <v>8518.1137973269633</v>
      </c>
      <c r="E8" s="7">
        <f t="shared" si="1"/>
        <v>3838.2190817144165</v>
      </c>
      <c r="F8" s="172">
        <f t="shared" si="2"/>
        <v>12356.33287904138</v>
      </c>
      <c r="G8" s="12">
        <v>30</v>
      </c>
      <c r="J8" s="18"/>
      <c r="K8" s="18"/>
      <c r="L8" s="18"/>
    </row>
    <row r="9" spans="1:12" x14ac:dyDescent="0.2">
      <c r="A9" s="32">
        <f>'Detalhamento VERT'!D17</f>
        <v>75527.275669632407</v>
      </c>
      <c r="B9" s="31">
        <f>(1+B7)^(1/30)-1</f>
        <v>2.4247885879713493E-4</v>
      </c>
      <c r="C9" s="10">
        <v>43099</v>
      </c>
      <c r="D9" s="7">
        <f t="shared" si="0"/>
        <v>8802.0509239045277</v>
      </c>
      <c r="E9" s="7">
        <f t="shared" si="1"/>
        <v>3966.1597177715639</v>
      </c>
      <c r="F9" s="172">
        <f t="shared" si="2"/>
        <v>12768.210641676091</v>
      </c>
      <c r="G9" s="12">
        <v>31</v>
      </c>
      <c r="I9" s="55">
        <v>42984</v>
      </c>
      <c r="J9" s="18">
        <v>1180387.52</v>
      </c>
      <c r="K9" s="52" t="s">
        <v>35</v>
      </c>
      <c r="L9" s="18"/>
    </row>
    <row r="10" spans="1:12" x14ac:dyDescent="0.2">
      <c r="A10" s="1" t="s">
        <v>37</v>
      </c>
      <c r="B10" s="1" t="s">
        <v>5</v>
      </c>
      <c r="C10" s="10">
        <v>43130</v>
      </c>
      <c r="D10" s="7">
        <f t="shared" si="0"/>
        <v>8802.0509239045277</v>
      </c>
      <c r="E10" s="7">
        <f t="shared" si="1"/>
        <v>3966.1597177715639</v>
      </c>
      <c r="F10" s="172">
        <f t="shared" si="2"/>
        <v>12768.210641676091</v>
      </c>
      <c r="G10" s="12">
        <v>31</v>
      </c>
      <c r="I10" s="55">
        <v>42984</v>
      </c>
      <c r="J10" s="18">
        <v>32548.97</v>
      </c>
      <c r="K10" s="52" t="s">
        <v>35</v>
      </c>
      <c r="L10" s="18"/>
    </row>
    <row r="11" spans="1:12" x14ac:dyDescent="0.2">
      <c r="A11" s="15">
        <f>'Detalhamento VERT'!D22</f>
        <v>34032.20919120116</v>
      </c>
      <c r="B11" s="6">
        <v>42984</v>
      </c>
      <c r="C11" s="10">
        <v>43159</v>
      </c>
      <c r="D11" s="7">
        <f t="shared" si="0"/>
        <v>7950.2395441718327</v>
      </c>
      <c r="E11" s="7">
        <f t="shared" si="1"/>
        <v>3582.337809600122</v>
      </c>
      <c r="F11" s="172">
        <f t="shared" si="2"/>
        <v>11532.577353771954</v>
      </c>
      <c r="G11" s="12">
        <v>28</v>
      </c>
      <c r="I11">
        <v>14.247</v>
      </c>
      <c r="J11" s="51">
        <f>J9+J10</f>
        <v>1212936.49</v>
      </c>
      <c r="K11" s="18"/>
      <c r="L11" s="18"/>
    </row>
    <row r="12" spans="1:12" x14ac:dyDescent="0.2">
      <c r="A12" s="29" t="s">
        <v>7</v>
      </c>
      <c r="B12" s="1" t="s">
        <v>159</v>
      </c>
      <c r="C12" s="10">
        <v>43189</v>
      </c>
      <c r="D12" s="7">
        <f t="shared" si="0"/>
        <v>8802.0509239045277</v>
      </c>
      <c r="E12" s="7">
        <f t="shared" si="1"/>
        <v>3966.1597177715639</v>
      </c>
      <c r="F12" s="172">
        <f t="shared" si="2"/>
        <v>12768.210641676091</v>
      </c>
      <c r="G12" s="12">
        <v>31</v>
      </c>
      <c r="J12" s="18"/>
      <c r="K12" s="18"/>
      <c r="L12" s="18"/>
    </row>
    <row r="13" spans="1:12" x14ac:dyDescent="0.2">
      <c r="A13" s="28">
        <f>A7+A9+A11</f>
        <v>912533.33</v>
      </c>
      <c r="B13" s="2">
        <v>43250</v>
      </c>
      <c r="C13" s="10">
        <v>43220</v>
      </c>
      <c r="D13" s="7">
        <f t="shared" si="0"/>
        <v>8518.1137973269633</v>
      </c>
      <c r="E13" s="7">
        <f t="shared" si="1"/>
        <v>3838.2190817144165</v>
      </c>
      <c r="F13" s="172">
        <f t="shared" si="2"/>
        <v>12356.33287904138</v>
      </c>
      <c r="G13" s="12">
        <v>30</v>
      </c>
      <c r="J13" s="18"/>
      <c r="K13" s="18"/>
      <c r="L13" s="18"/>
    </row>
    <row r="14" spans="1:12" x14ac:dyDescent="0.2">
      <c r="B14" s="1" t="s">
        <v>8</v>
      </c>
      <c r="C14" s="10">
        <v>43250</v>
      </c>
      <c r="D14" s="7">
        <f t="shared" si="0"/>
        <v>8518.1137973269633</v>
      </c>
      <c r="E14" s="7">
        <f t="shared" si="1"/>
        <v>3838.2190817144165</v>
      </c>
      <c r="F14" s="172">
        <f t="shared" si="2"/>
        <v>12356.33287904138</v>
      </c>
      <c r="G14" s="12">
        <v>30</v>
      </c>
      <c r="I14">
        <v>13.891999999999999</v>
      </c>
      <c r="J14" s="18">
        <v>785768.54</v>
      </c>
      <c r="K14" s="52" t="s">
        <v>36</v>
      </c>
      <c r="L14" s="18"/>
    </row>
    <row r="15" spans="1:12" x14ac:dyDescent="0.2">
      <c r="B15" s="14">
        <f>A9+A11</f>
        <v>109559.48486083356</v>
      </c>
      <c r="C15" s="17" t="s">
        <v>4</v>
      </c>
      <c r="D15" s="26">
        <f>SUM(D6:D14)</f>
        <v>75527.275669632407</v>
      </c>
      <c r="E15" s="26">
        <f>SUM(E6:E14)</f>
        <v>34032.209191201153</v>
      </c>
      <c r="F15" s="170">
        <f>SUM(F6:F14)</f>
        <v>109559.48486083356</v>
      </c>
      <c r="G15" s="17">
        <f>SUM(G6:G14)</f>
        <v>266</v>
      </c>
      <c r="J15" s="18"/>
    </row>
    <row r="16" spans="1:12" x14ac:dyDescent="0.2">
      <c r="A16" s="1" t="s">
        <v>157</v>
      </c>
      <c r="C16" s="3"/>
      <c r="D16" s="4"/>
      <c r="E16" s="4"/>
      <c r="F16" s="13"/>
      <c r="J16" s="18">
        <v>1414448.13</v>
      </c>
    </row>
    <row r="17" spans="1:12" x14ac:dyDescent="0.2">
      <c r="A17" s="14">
        <v>0</v>
      </c>
      <c r="C17" s="3"/>
      <c r="D17" s="4"/>
      <c r="E17" s="4"/>
      <c r="F17" s="13"/>
      <c r="J17" s="18">
        <v>912533.33</v>
      </c>
    </row>
    <row r="18" spans="1:12" x14ac:dyDescent="0.2">
      <c r="B18" s="27"/>
      <c r="C18" s="3"/>
      <c r="D18" s="4"/>
      <c r="E18" s="4"/>
      <c r="F18" s="13"/>
      <c r="J18" s="51">
        <f>J16+J17</f>
        <v>2326981.46</v>
      </c>
      <c r="K18" s="54">
        <f>A7/J18</f>
        <v>0.34507101106820443</v>
      </c>
    </row>
    <row r="19" spans="1:12" x14ac:dyDescent="0.2">
      <c r="A19" s="27" t="s">
        <v>30</v>
      </c>
      <c r="B19" s="27"/>
      <c r="C19" s="3"/>
      <c r="D19" s="4"/>
      <c r="E19" s="4"/>
      <c r="F19" s="13"/>
    </row>
    <row r="20" spans="1:12" x14ac:dyDescent="0.2">
      <c r="A20" s="27" t="s">
        <v>160</v>
      </c>
      <c r="C20" s="3"/>
      <c r="D20" s="4"/>
      <c r="E20" s="4"/>
      <c r="F20" s="13"/>
    </row>
    <row r="22" spans="1:12" x14ac:dyDescent="0.2">
      <c r="A22" s="4"/>
      <c r="B22" s="4"/>
      <c r="C22" s="4"/>
      <c r="D22" s="4"/>
      <c r="E22" s="4"/>
      <c r="F22" s="171"/>
    </row>
    <row r="26" spans="1:12" x14ac:dyDescent="0.2">
      <c r="A26" s="282" t="s">
        <v>162</v>
      </c>
      <c r="B26" s="282"/>
      <c r="C26" s="282"/>
      <c r="D26" s="282"/>
      <c r="E26" s="282"/>
      <c r="F26" s="282"/>
    </row>
    <row r="27" spans="1:12" x14ac:dyDescent="0.2">
      <c r="A27" s="1" t="s">
        <v>3</v>
      </c>
      <c r="B27" s="1" t="s">
        <v>1</v>
      </c>
      <c r="C27" s="3"/>
      <c r="D27" s="11" t="s">
        <v>9</v>
      </c>
      <c r="E27" s="11" t="s">
        <v>37</v>
      </c>
      <c r="F27" s="11" t="s">
        <v>8</v>
      </c>
      <c r="G27" s="11" t="s">
        <v>164</v>
      </c>
    </row>
    <row r="28" spans="1:12" x14ac:dyDescent="0.2">
      <c r="A28" s="5">
        <v>200918</v>
      </c>
      <c r="B28" s="31">
        <v>9.1204149999999998E-2</v>
      </c>
      <c r="C28" s="3"/>
      <c r="D28" s="8">
        <f>A32</f>
        <v>165966.08601403248</v>
      </c>
      <c r="E28" s="16">
        <f>A34</f>
        <v>52750.739125134212</v>
      </c>
      <c r="F28" s="16">
        <f>D28+E28</f>
        <v>218716.8251391667</v>
      </c>
      <c r="G28" s="16" t="s">
        <v>11</v>
      </c>
      <c r="J28" s="18">
        <v>1197452.32</v>
      </c>
      <c r="K28" s="52" t="s">
        <v>32</v>
      </c>
      <c r="L28" s="18"/>
    </row>
    <row r="29" spans="1:12" x14ac:dyDescent="0.2">
      <c r="A29" s="1" t="s">
        <v>10</v>
      </c>
      <c r="B29" s="1" t="s">
        <v>2</v>
      </c>
      <c r="C29" s="10">
        <v>43008</v>
      </c>
      <c r="D29" s="7">
        <f t="shared" ref="D29:D41" si="3">SUM($D$28/$G$42*G29)</f>
        <v>10319.134881701502</v>
      </c>
      <c r="E29" s="7">
        <f t="shared" ref="E29:E41" si="4">SUM($E$28/$G$42*G29)</f>
        <v>3279.8387020808836</v>
      </c>
      <c r="F29" s="172">
        <f>SUM(D29:E29)</f>
        <v>13598.973583782386</v>
      </c>
      <c r="G29" s="12">
        <v>24</v>
      </c>
      <c r="J29" s="18">
        <v>1212936.49</v>
      </c>
      <c r="K29" s="52" t="s">
        <v>33</v>
      </c>
      <c r="L29" s="18"/>
    </row>
    <row r="30" spans="1:12" x14ac:dyDescent="0.2">
      <c r="A30" s="9">
        <f>'Detalhamento VERT'!G23</f>
        <v>1195731.3048608333</v>
      </c>
      <c r="B30" s="31">
        <v>7.3000000000000001E-3</v>
      </c>
      <c r="C30" s="10">
        <v>43039</v>
      </c>
      <c r="D30" s="7">
        <f t="shared" si="3"/>
        <v>13328.882555531107</v>
      </c>
      <c r="E30" s="7">
        <f t="shared" si="4"/>
        <v>4236.4583235211412</v>
      </c>
      <c r="F30" s="172">
        <f t="shared" ref="F30:F41" si="5">SUM(D30:E30)</f>
        <v>17565.340879052248</v>
      </c>
      <c r="G30" s="12">
        <v>31</v>
      </c>
      <c r="J30" s="51">
        <f>J29-J28</f>
        <v>15484.169999999925</v>
      </c>
      <c r="K30" s="52" t="s">
        <v>34</v>
      </c>
      <c r="L30" s="18"/>
    </row>
    <row r="31" spans="1:12" x14ac:dyDescent="0.2">
      <c r="A31" s="1" t="s">
        <v>6</v>
      </c>
      <c r="B31" s="1" t="s">
        <v>15</v>
      </c>
      <c r="C31" s="10">
        <v>43069</v>
      </c>
      <c r="D31" s="7">
        <f t="shared" si="3"/>
        <v>12898.918602126878</v>
      </c>
      <c r="E31" s="7">
        <f t="shared" si="4"/>
        <v>4099.7983776011042</v>
      </c>
      <c r="F31" s="172">
        <f t="shared" si="5"/>
        <v>16998.716979727982</v>
      </c>
      <c r="G31" s="12">
        <v>30</v>
      </c>
      <c r="J31" s="18"/>
      <c r="K31" s="18"/>
      <c r="L31" s="18"/>
    </row>
    <row r="32" spans="1:12" x14ac:dyDescent="0.2">
      <c r="A32" s="32">
        <f>'Detalhamento VERT'!G17</f>
        <v>165966.08601403248</v>
      </c>
      <c r="B32" s="31">
        <f>(1+B30)^(1/30)-1</f>
        <v>2.4247885879713493E-4</v>
      </c>
      <c r="C32" s="10">
        <v>43099</v>
      </c>
      <c r="D32" s="7">
        <f t="shared" si="3"/>
        <v>13328.882555531107</v>
      </c>
      <c r="E32" s="7">
        <f t="shared" si="4"/>
        <v>4236.4583235211412</v>
      </c>
      <c r="F32" s="172">
        <f t="shared" si="5"/>
        <v>17565.340879052248</v>
      </c>
      <c r="G32" s="12">
        <v>31</v>
      </c>
      <c r="I32" s="55">
        <v>42984</v>
      </c>
      <c r="J32" s="18">
        <v>1180387.52</v>
      </c>
      <c r="K32" s="52" t="s">
        <v>35</v>
      </c>
      <c r="L32" s="18"/>
    </row>
    <row r="33" spans="1:12" x14ac:dyDescent="0.2">
      <c r="A33" s="1" t="s">
        <v>37</v>
      </c>
      <c r="B33" s="1" t="s">
        <v>5</v>
      </c>
      <c r="C33" s="10">
        <v>43130</v>
      </c>
      <c r="D33" s="7">
        <f t="shared" si="3"/>
        <v>13328.882555531107</v>
      </c>
      <c r="E33" s="7">
        <f t="shared" si="4"/>
        <v>4236.4583235211412</v>
      </c>
      <c r="F33" s="172">
        <f t="shared" si="5"/>
        <v>17565.340879052248</v>
      </c>
      <c r="G33" s="12">
        <v>31</v>
      </c>
      <c r="I33" s="55">
        <v>42984</v>
      </c>
      <c r="J33" s="18">
        <v>32548.97</v>
      </c>
      <c r="K33" s="52" t="s">
        <v>35</v>
      </c>
      <c r="L33" s="18"/>
    </row>
    <row r="34" spans="1:12" x14ac:dyDescent="0.2">
      <c r="A34" s="15">
        <f>'Detalhamento VERT'!G22</f>
        <v>52750.739125134212</v>
      </c>
      <c r="B34" s="6">
        <v>42984</v>
      </c>
      <c r="C34" s="10">
        <v>43159</v>
      </c>
      <c r="D34" s="7">
        <f t="shared" si="3"/>
        <v>12038.990695318418</v>
      </c>
      <c r="E34" s="7">
        <f t="shared" si="4"/>
        <v>3826.4784857610312</v>
      </c>
      <c r="F34" s="172">
        <f t="shared" si="5"/>
        <v>15865.46918107945</v>
      </c>
      <c r="G34" s="12">
        <v>28</v>
      </c>
      <c r="I34">
        <v>14.247</v>
      </c>
      <c r="J34" s="51">
        <f>J32+J33</f>
        <v>1212936.49</v>
      </c>
      <c r="K34" s="18"/>
      <c r="L34" s="18"/>
    </row>
    <row r="35" spans="1:12" x14ac:dyDescent="0.2">
      <c r="A35" s="29" t="s">
        <v>7</v>
      </c>
      <c r="B35" s="1" t="s">
        <v>159</v>
      </c>
      <c r="C35" s="10">
        <v>43189</v>
      </c>
      <c r="D35" s="7">
        <f t="shared" si="3"/>
        <v>13328.882555531107</v>
      </c>
      <c r="E35" s="7">
        <f t="shared" si="4"/>
        <v>4236.4583235211412</v>
      </c>
      <c r="F35" s="172">
        <f t="shared" si="5"/>
        <v>17565.340879052248</v>
      </c>
      <c r="G35" s="12">
        <v>31</v>
      </c>
      <c r="J35" s="18"/>
      <c r="K35" s="18"/>
      <c r="L35" s="18"/>
    </row>
    <row r="36" spans="1:12" x14ac:dyDescent="0.2">
      <c r="A36" s="28">
        <f>A30+A32+A34</f>
        <v>1414448.1300000001</v>
      </c>
      <c r="B36" s="2">
        <v>43371</v>
      </c>
      <c r="C36" s="10">
        <v>43220</v>
      </c>
      <c r="D36" s="7">
        <f t="shared" si="3"/>
        <v>12898.918602126878</v>
      </c>
      <c r="E36" s="7">
        <f t="shared" si="4"/>
        <v>4099.7983776011042</v>
      </c>
      <c r="F36" s="172">
        <f t="shared" si="5"/>
        <v>16998.716979727982</v>
      </c>
      <c r="G36" s="12">
        <v>30</v>
      </c>
      <c r="J36" s="18"/>
      <c r="K36" s="18"/>
      <c r="L36" s="18"/>
    </row>
    <row r="37" spans="1:12" x14ac:dyDescent="0.2">
      <c r="B37" s="1" t="s">
        <v>8</v>
      </c>
      <c r="C37" s="10">
        <v>43250</v>
      </c>
      <c r="D37" s="7">
        <f t="shared" si="3"/>
        <v>12898.918602126878</v>
      </c>
      <c r="E37" s="7">
        <f t="shared" si="4"/>
        <v>4099.7983776011042</v>
      </c>
      <c r="F37" s="172">
        <f t="shared" si="5"/>
        <v>16998.716979727982</v>
      </c>
      <c r="G37" s="12">
        <v>30</v>
      </c>
      <c r="I37">
        <v>13.891999999999999</v>
      </c>
      <c r="J37" s="18">
        <v>785768.54</v>
      </c>
      <c r="K37" s="52" t="s">
        <v>36</v>
      </c>
      <c r="L37" s="18"/>
    </row>
    <row r="38" spans="1:12" x14ac:dyDescent="0.2">
      <c r="B38" s="14">
        <f>A32+A34</f>
        <v>218716.8251391667</v>
      </c>
      <c r="C38" s="10">
        <v>43281</v>
      </c>
      <c r="D38" s="7">
        <f t="shared" si="3"/>
        <v>12898.918602126878</v>
      </c>
      <c r="E38" s="7">
        <f t="shared" si="4"/>
        <v>4099.7983776011042</v>
      </c>
      <c r="F38" s="172">
        <f t="shared" si="5"/>
        <v>16998.716979727982</v>
      </c>
      <c r="G38" s="12">
        <v>30</v>
      </c>
      <c r="J38" s="18"/>
    </row>
    <row r="39" spans="1:12" x14ac:dyDescent="0.2">
      <c r="C39" s="10">
        <v>43311</v>
      </c>
      <c r="D39" s="7">
        <f t="shared" si="3"/>
        <v>13328.882555531107</v>
      </c>
      <c r="E39" s="7">
        <f t="shared" si="4"/>
        <v>4236.4583235211412</v>
      </c>
      <c r="F39" s="172">
        <f t="shared" si="5"/>
        <v>17565.340879052248</v>
      </c>
      <c r="G39" s="12">
        <v>31</v>
      </c>
      <c r="J39" s="18">
        <v>1414448.13</v>
      </c>
    </row>
    <row r="40" spans="1:12" x14ac:dyDescent="0.2">
      <c r="A40" s="1" t="s">
        <v>157</v>
      </c>
      <c r="C40" s="10">
        <v>43342</v>
      </c>
      <c r="D40" s="7">
        <f t="shared" si="3"/>
        <v>13328.882555531107</v>
      </c>
      <c r="E40" s="7">
        <f t="shared" si="4"/>
        <v>4236.4583235211412</v>
      </c>
      <c r="F40" s="172">
        <f t="shared" si="5"/>
        <v>17565.340879052248</v>
      </c>
      <c r="G40" s="12">
        <v>31</v>
      </c>
      <c r="J40" s="18">
        <v>912533.33</v>
      </c>
    </row>
    <row r="41" spans="1:12" x14ac:dyDescent="0.2">
      <c r="A41" s="14">
        <v>0</v>
      </c>
      <c r="B41" s="27"/>
      <c r="C41" s="10">
        <v>43373</v>
      </c>
      <c r="D41" s="7">
        <f t="shared" si="3"/>
        <v>12038.990695318418</v>
      </c>
      <c r="E41" s="7">
        <f t="shared" si="4"/>
        <v>3826.4784857610312</v>
      </c>
      <c r="F41" s="172">
        <f t="shared" si="5"/>
        <v>15865.46918107945</v>
      </c>
      <c r="G41" s="12">
        <v>28</v>
      </c>
      <c r="J41" s="51">
        <f>J39+J40</f>
        <v>2326981.46</v>
      </c>
      <c r="K41" s="54">
        <f>A30/J41</f>
        <v>0.51385510603115558</v>
      </c>
    </row>
    <row r="42" spans="1:12" x14ac:dyDescent="0.2">
      <c r="B42" s="27"/>
      <c r="C42" s="17" t="s">
        <v>4</v>
      </c>
      <c r="D42" s="26">
        <f>SUM(D29:D41)</f>
        <v>165966.08601403248</v>
      </c>
      <c r="E42" s="26">
        <f>SUM(E29:E41)</f>
        <v>52750.739125134198</v>
      </c>
      <c r="F42" s="170">
        <f>SUM(F29:F41)</f>
        <v>218716.8251391667</v>
      </c>
      <c r="G42" s="17">
        <f>SUM(G29:G41)</f>
        <v>386</v>
      </c>
    </row>
    <row r="43" spans="1:12" x14ac:dyDescent="0.2">
      <c r="C43" s="3"/>
      <c r="D43" s="4"/>
      <c r="E43" s="4"/>
      <c r="F43" s="13"/>
    </row>
    <row r="44" spans="1:12" x14ac:dyDescent="0.2">
      <c r="A44" s="27" t="s">
        <v>30</v>
      </c>
    </row>
    <row r="45" spans="1:12" x14ac:dyDescent="0.2">
      <c r="A45" s="27" t="s">
        <v>163</v>
      </c>
      <c r="F45" s="13"/>
    </row>
    <row r="47" spans="1:12" ht="37.5" x14ac:dyDescent="0.5">
      <c r="A47" s="288">
        <v>2018</v>
      </c>
      <c r="B47" s="288"/>
      <c r="C47" s="288"/>
      <c r="D47" s="288"/>
      <c r="E47" s="288"/>
      <c r="F47" s="288"/>
      <c r="G47" s="288"/>
    </row>
    <row r="49" spans="1:15" x14ac:dyDescent="0.2">
      <c r="A49" s="282" t="s">
        <v>168</v>
      </c>
      <c r="B49" s="282"/>
      <c r="C49" s="282"/>
      <c r="D49" s="282"/>
      <c r="E49" s="282"/>
      <c r="F49" s="282"/>
    </row>
    <row r="50" spans="1:15" x14ac:dyDescent="0.2">
      <c r="A50" s="1" t="s">
        <v>3</v>
      </c>
      <c r="B50" s="1" t="s">
        <v>1</v>
      </c>
      <c r="C50" s="3"/>
      <c r="D50" s="11" t="s">
        <v>9</v>
      </c>
      <c r="E50" s="11" t="s">
        <v>37</v>
      </c>
      <c r="F50" s="11" t="s">
        <v>8</v>
      </c>
      <c r="G50" s="11" t="s">
        <v>164</v>
      </c>
    </row>
    <row r="51" spans="1:15" x14ac:dyDescent="0.2">
      <c r="A51" s="5">
        <v>20519</v>
      </c>
      <c r="B51" s="31">
        <f>(1+B53)^12-1</f>
        <v>9.6415338967120068E-2</v>
      </c>
      <c r="C51" s="3"/>
      <c r="D51" s="8">
        <f>A55</f>
        <v>75817.909999999916</v>
      </c>
      <c r="E51" s="16">
        <f>A57</f>
        <v>0</v>
      </c>
      <c r="F51" s="16">
        <f>D51+E51</f>
        <v>75817.909999999916</v>
      </c>
      <c r="G51" s="16" t="s">
        <v>11</v>
      </c>
      <c r="L51" s="18"/>
    </row>
    <row r="52" spans="1:15" x14ac:dyDescent="0.2">
      <c r="A52" s="1" t="s">
        <v>10</v>
      </c>
      <c r="B52" s="1" t="s">
        <v>2</v>
      </c>
      <c r="C52" s="10">
        <v>43252</v>
      </c>
      <c r="D52" s="7">
        <f t="shared" ref="D52:D63" si="6">SUM($D$51/$G$64*G52)</f>
        <v>2204.0090116279048</v>
      </c>
      <c r="E52" s="7"/>
      <c r="F52" s="172">
        <v>2417.38</v>
      </c>
      <c r="G52" s="12">
        <v>10</v>
      </c>
      <c r="L52" s="18"/>
    </row>
    <row r="53" spans="1:15" x14ac:dyDescent="0.2">
      <c r="A53" s="9">
        <f>A65</f>
        <v>790209.66</v>
      </c>
      <c r="B53" s="31">
        <v>7.7000000000000002E-3</v>
      </c>
      <c r="C53" s="10">
        <v>43282</v>
      </c>
      <c r="D53" s="7">
        <f t="shared" si="6"/>
        <v>6832.4279360465043</v>
      </c>
      <c r="E53" s="7"/>
      <c r="F53" s="172">
        <v>6812.62</v>
      </c>
      <c r="G53" s="12">
        <v>31</v>
      </c>
      <c r="L53" s="18"/>
    </row>
    <row r="54" spans="1:15" x14ac:dyDescent="0.2">
      <c r="A54" s="1" t="s">
        <v>6</v>
      </c>
      <c r="B54" s="1" t="s">
        <v>15</v>
      </c>
      <c r="C54" s="10">
        <v>43313</v>
      </c>
      <c r="D54" s="7">
        <f t="shared" si="6"/>
        <v>6832.4279360465043</v>
      </c>
      <c r="E54" s="7"/>
      <c r="F54" s="172">
        <v>6812.62</v>
      </c>
      <c r="G54" s="12">
        <v>31</v>
      </c>
      <c r="J54" s="18"/>
      <c r="K54" s="18"/>
      <c r="L54" s="18"/>
    </row>
    <row r="55" spans="1:15" x14ac:dyDescent="0.2">
      <c r="A55" s="32">
        <f>A59-A53</f>
        <v>75817.909999999916</v>
      </c>
      <c r="B55" s="31">
        <f>(1+B53)^(1/30)-1</f>
        <v>2.5571623329723181E-4</v>
      </c>
      <c r="C55" s="10">
        <v>43344</v>
      </c>
      <c r="D55" s="7">
        <f t="shared" si="6"/>
        <v>6612.0270348837139</v>
      </c>
      <c r="E55" s="7"/>
      <c r="F55" s="172">
        <v>6592.86</v>
      </c>
      <c r="G55" s="12">
        <v>30</v>
      </c>
      <c r="J55" s="18"/>
      <c r="K55" s="18"/>
      <c r="L55" s="18"/>
    </row>
    <row r="56" spans="1:15" x14ac:dyDescent="0.2">
      <c r="A56" s="1" t="s">
        <v>37</v>
      </c>
      <c r="B56" s="1" t="s">
        <v>5</v>
      </c>
      <c r="C56" s="10">
        <v>43374</v>
      </c>
      <c r="D56" s="7">
        <f t="shared" si="6"/>
        <v>6832.4279360465043</v>
      </c>
      <c r="E56" s="7"/>
      <c r="F56" s="172">
        <v>6812.62</v>
      </c>
      <c r="G56" s="12">
        <v>31</v>
      </c>
      <c r="J56" s="18"/>
      <c r="K56" s="18"/>
      <c r="L56" s="18"/>
    </row>
    <row r="57" spans="1:15" ht="13.5" thickBot="1" x14ac:dyDescent="0.25">
      <c r="A57" s="15">
        <v>0</v>
      </c>
      <c r="B57" s="6">
        <v>43271</v>
      </c>
      <c r="C57" s="10">
        <v>43405</v>
      </c>
      <c r="D57" s="7">
        <f t="shared" si="6"/>
        <v>6612.0270348837139</v>
      </c>
      <c r="E57" s="7"/>
      <c r="F57" s="172">
        <v>6592.86</v>
      </c>
      <c r="G57" s="12">
        <v>30</v>
      </c>
      <c r="J57" s="18"/>
      <c r="K57" s="18"/>
      <c r="L57" s="18"/>
    </row>
    <row r="58" spans="1:15" ht="13.5" thickBot="1" x14ac:dyDescent="0.25">
      <c r="A58" s="29" t="s">
        <v>7</v>
      </c>
      <c r="B58" s="1" t="s">
        <v>159</v>
      </c>
      <c r="C58" s="10">
        <v>43435</v>
      </c>
      <c r="D58" s="7">
        <f t="shared" si="6"/>
        <v>6832.4279360465043</v>
      </c>
      <c r="E58" s="7"/>
      <c r="F58" s="172">
        <v>6812.62</v>
      </c>
      <c r="G58" s="12">
        <v>31</v>
      </c>
      <c r="I58" s="191" t="s">
        <v>188</v>
      </c>
      <c r="J58" s="18"/>
      <c r="K58" s="18"/>
      <c r="L58" s="18"/>
    </row>
    <row r="59" spans="1:15" ht="13.5" thickBot="1" x14ac:dyDescent="0.25">
      <c r="A59" s="28">
        <v>866027.57</v>
      </c>
      <c r="B59" s="2">
        <v>43615</v>
      </c>
      <c r="C59" s="10">
        <v>43466</v>
      </c>
      <c r="D59" s="7">
        <f t="shared" si="6"/>
        <v>6832.4279360465043</v>
      </c>
      <c r="E59" s="7"/>
      <c r="F59" s="199">
        <v>6812.62</v>
      </c>
      <c r="G59" s="12">
        <v>31</v>
      </c>
      <c r="I59" s="192">
        <f>SUM(F59:F63)</f>
        <v>32964.33</v>
      </c>
      <c r="J59" s="18"/>
      <c r="K59" s="18"/>
      <c r="L59" s="18"/>
    </row>
    <row r="60" spans="1:15" x14ac:dyDescent="0.2">
      <c r="B60" s="1" t="s">
        <v>8</v>
      </c>
      <c r="C60" s="10">
        <v>43497</v>
      </c>
      <c r="D60" s="7">
        <f t="shared" si="6"/>
        <v>6171.225232558133</v>
      </c>
      <c r="E60" s="7"/>
      <c r="F60" s="200">
        <v>6153.33</v>
      </c>
      <c r="G60" s="12">
        <v>28</v>
      </c>
      <c r="I60" s="48"/>
      <c r="J60" s="18"/>
      <c r="K60" s="18"/>
      <c r="L60" s="18"/>
    </row>
    <row r="61" spans="1:15" x14ac:dyDescent="0.2">
      <c r="B61" s="14">
        <f>A55+A57</f>
        <v>75817.909999999916</v>
      </c>
      <c r="C61" s="10">
        <v>43525</v>
      </c>
      <c r="D61" s="7">
        <f t="shared" si="6"/>
        <v>6832.4279360465043</v>
      </c>
      <c r="E61" s="7"/>
      <c r="F61" s="200">
        <v>6812.62</v>
      </c>
      <c r="G61" s="12">
        <v>31</v>
      </c>
      <c r="J61" s="18"/>
    </row>
    <row r="62" spans="1:15" x14ac:dyDescent="0.2">
      <c r="A62" s="13" t="s">
        <v>170</v>
      </c>
      <c r="C62" s="10">
        <v>43556</v>
      </c>
      <c r="D62" s="7">
        <f t="shared" si="6"/>
        <v>6612.0270348837139</v>
      </c>
      <c r="E62" s="7"/>
      <c r="F62" s="200">
        <v>6592.86</v>
      </c>
      <c r="G62" s="12">
        <v>30</v>
      </c>
      <c r="J62" s="18"/>
    </row>
    <row r="63" spans="1:15" ht="13.5" thickBot="1" x14ac:dyDescent="0.25">
      <c r="A63" s="18">
        <v>423847.08</v>
      </c>
      <c r="B63" s="52" t="s">
        <v>165</v>
      </c>
      <c r="C63" s="10">
        <v>43586</v>
      </c>
      <c r="D63" s="7">
        <f t="shared" si="6"/>
        <v>6612.0270348837139</v>
      </c>
      <c r="E63" s="7"/>
      <c r="F63" s="201">
        <v>6592.9</v>
      </c>
      <c r="G63" s="12">
        <v>30</v>
      </c>
      <c r="J63" s="18"/>
      <c r="O63">
        <v>0</v>
      </c>
    </row>
    <row r="64" spans="1:15" x14ac:dyDescent="0.2">
      <c r="A64" s="18">
        <v>366362.58</v>
      </c>
      <c r="B64" s="52" t="s">
        <v>166</v>
      </c>
      <c r="C64" s="17" t="s">
        <v>4</v>
      </c>
      <c r="D64" s="26">
        <f>SUM(D52:D63)</f>
        <v>75817.909999999902</v>
      </c>
      <c r="E64" s="26">
        <f>SUM(E52:E63)</f>
        <v>0</v>
      </c>
      <c r="F64" s="198">
        <f>SUM(F52:F63)</f>
        <v>75817.91</v>
      </c>
      <c r="G64" s="17">
        <f>SUM(G52:G63)</f>
        <v>344</v>
      </c>
      <c r="J64" s="18"/>
    </row>
    <row r="65" spans="1:9" x14ac:dyDescent="0.2">
      <c r="A65" s="51">
        <f>A63+A64</f>
        <v>790209.66</v>
      </c>
      <c r="B65" s="18"/>
      <c r="C65" s="3"/>
      <c r="D65" s="4"/>
      <c r="E65" s="4"/>
      <c r="F65" s="13"/>
    </row>
    <row r="67" spans="1:9" x14ac:dyDescent="0.2">
      <c r="A67" s="27" t="s">
        <v>30</v>
      </c>
      <c r="B67" s="27" t="s">
        <v>169</v>
      </c>
      <c r="F67" s="13"/>
    </row>
    <row r="68" spans="1:9" x14ac:dyDescent="0.2">
      <c r="A68" s="27" t="s">
        <v>167</v>
      </c>
    </row>
    <row r="71" spans="1:9" x14ac:dyDescent="0.2">
      <c r="A71" s="282" t="s">
        <v>171</v>
      </c>
      <c r="B71" s="282"/>
      <c r="C71" s="282"/>
      <c r="D71" s="282"/>
      <c r="E71" s="282"/>
      <c r="F71" s="282"/>
    </row>
    <row r="72" spans="1:9" x14ac:dyDescent="0.2">
      <c r="A72" s="1" t="s">
        <v>3</v>
      </c>
      <c r="B72" s="1" t="s">
        <v>1</v>
      </c>
      <c r="C72" s="3"/>
      <c r="D72" s="11" t="s">
        <v>9</v>
      </c>
      <c r="E72" s="11" t="s">
        <v>37</v>
      </c>
      <c r="F72" s="11" t="s">
        <v>8</v>
      </c>
      <c r="G72" s="11" t="s">
        <v>164</v>
      </c>
    </row>
    <row r="73" spans="1:9" x14ac:dyDescent="0.2">
      <c r="A73" s="5">
        <v>40919</v>
      </c>
      <c r="B73" s="31">
        <f>(1+B75)^12-1</f>
        <v>0.12281517904724915</v>
      </c>
      <c r="C73" s="3"/>
      <c r="D73" s="8">
        <f>A77</f>
        <v>142919.15999999992</v>
      </c>
      <c r="E73" s="16">
        <f>A79</f>
        <v>0</v>
      </c>
      <c r="F73" s="16">
        <f>D73+E73</f>
        <v>142919.15999999992</v>
      </c>
      <c r="G73" s="16" t="s">
        <v>11</v>
      </c>
    </row>
    <row r="74" spans="1:9" x14ac:dyDescent="0.2">
      <c r="A74" s="1" t="s">
        <v>10</v>
      </c>
      <c r="B74" s="1" t="s">
        <v>2</v>
      </c>
      <c r="C74" s="10">
        <v>43344</v>
      </c>
      <c r="D74" s="7">
        <f>SUM($D$73/$G$87*G74)</f>
        <v>0</v>
      </c>
      <c r="E74" s="7"/>
      <c r="F74" s="169">
        <v>0</v>
      </c>
      <c r="G74" s="12">
        <v>0</v>
      </c>
    </row>
    <row r="75" spans="1:9" x14ac:dyDescent="0.2">
      <c r="A75" s="9">
        <v>1174099.3700000001</v>
      </c>
      <c r="B75" s="31">
        <v>9.7000000000000003E-3</v>
      </c>
      <c r="C75" s="174">
        <v>43374</v>
      </c>
      <c r="D75" s="175">
        <f>SUM($D$73/$G$87*G75)</f>
        <v>13204.487608695643</v>
      </c>
      <c r="E75" s="7"/>
      <c r="F75" s="169">
        <v>13204.49</v>
      </c>
      <c r="G75" s="12">
        <v>34</v>
      </c>
      <c r="H75" s="27" t="s">
        <v>173</v>
      </c>
      <c r="I75" s="27" t="s">
        <v>174</v>
      </c>
    </row>
    <row r="76" spans="1:9" x14ac:dyDescent="0.2">
      <c r="A76" s="1" t="s">
        <v>6</v>
      </c>
      <c r="B76" s="1" t="s">
        <v>15</v>
      </c>
      <c r="C76" s="174">
        <v>43405</v>
      </c>
      <c r="D76" s="175">
        <f t="shared" ref="D76:D86" si="7">SUM($D$73/$G$87*G76)</f>
        <v>11651.018478260863</v>
      </c>
      <c r="E76" s="7"/>
      <c r="F76" s="169">
        <v>11651.02</v>
      </c>
      <c r="G76" s="12">
        <v>30</v>
      </c>
    </row>
    <row r="77" spans="1:9" ht="13.5" thickBot="1" x14ac:dyDescent="0.25">
      <c r="A77" s="32">
        <f>A81-A75</f>
        <v>142919.15999999992</v>
      </c>
      <c r="B77" s="31">
        <f>(1+B75)^(1/30)-1</f>
        <v>3.2182700947513965E-4</v>
      </c>
      <c r="C77" s="174">
        <v>43435</v>
      </c>
      <c r="D77" s="175">
        <f t="shared" si="7"/>
        <v>12039.385760869558</v>
      </c>
      <c r="E77" s="7"/>
      <c r="F77" s="169">
        <v>12039.39</v>
      </c>
      <c r="G77" s="12">
        <v>31</v>
      </c>
    </row>
    <row r="78" spans="1:9" x14ac:dyDescent="0.2">
      <c r="A78" s="1" t="s">
        <v>37</v>
      </c>
      <c r="B78" s="1" t="s">
        <v>5</v>
      </c>
      <c r="C78" s="174">
        <v>43466</v>
      </c>
      <c r="D78" s="194">
        <f t="shared" si="7"/>
        <v>12039.385760869558</v>
      </c>
      <c r="E78" s="7"/>
      <c r="F78" s="169">
        <v>12039.39</v>
      </c>
      <c r="G78" s="12">
        <v>31</v>
      </c>
    </row>
    <row r="79" spans="1:9" x14ac:dyDescent="0.2">
      <c r="A79" s="15">
        <v>0</v>
      </c>
      <c r="B79" s="6">
        <v>43371</v>
      </c>
      <c r="C79" s="174">
        <v>43497</v>
      </c>
      <c r="D79" s="195">
        <f t="shared" si="7"/>
        <v>10874.283913043471</v>
      </c>
      <c r="E79" s="7"/>
      <c r="F79" s="169">
        <v>10874.28</v>
      </c>
      <c r="G79" s="12">
        <v>28</v>
      </c>
    </row>
    <row r="80" spans="1:9" x14ac:dyDescent="0.2">
      <c r="A80" s="29" t="s">
        <v>7</v>
      </c>
      <c r="B80" s="1" t="s">
        <v>159</v>
      </c>
      <c r="C80" s="174">
        <v>43525</v>
      </c>
      <c r="D80" s="195">
        <f t="shared" si="7"/>
        <v>12039.385760869558</v>
      </c>
      <c r="E80" s="7"/>
      <c r="F80" s="169">
        <v>12039.39</v>
      </c>
      <c r="G80" s="12">
        <v>31</v>
      </c>
    </row>
    <row r="81" spans="1:9" x14ac:dyDescent="0.2">
      <c r="A81" s="28">
        <v>1317018.53</v>
      </c>
      <c r="B81" s="2">
        <v>43738</v>
      </c>
      <c r="C81" s="174">
        <v>43556</v>
      </c>
      <c r="D81" s="195">
        <f t="shared" si="7"/>
        <v>11651.018478260863</v>
      </c>
      <c r="E81" s="7"/>
      <c r="F81" s="169">
        <v>11651.02</v>
      </c>
      <c r="G81" s="12">
        <v>30</v>
      </c>
      <c r="I81" s="197" t="s">
        <v>189</v>
      </c>
    </row>
    <row r="82" spans="1:9" x14ac:dyDescent="0.2">
      <c r="B82" s="1" t="s">
        <v>8</v>
      </c>
      <c r="C82" s="174">
        <v>43586</v>
      </c>
      <c r="D82" s="195">
        <f t="shared" si="7"/>
        <v>12039.385760869558</v>
      </c>
      <c r="E82" s="7"/>
      <c r="F82" s="169">
        <v>12039.39</v>
      </c>
      <c r="G82" s="12">
        <v>31</v>
      </c>
      <c r="I82" s="188">
        <f>SUM(D78:D86)</f>
        <v>106024.26815217384</v>
      </c>
    </row>
    <row r="83" spans="1:9" x14ac:dyDescent="0.2">
      <c r="B83" s="14">
        <f>A77+A79</f>
        <v>142919.15999999992</v>
      </c>
      <c r="C83" s="174">
        <v>43617</v>
      </c>
      <c r="D83" s="195">
        <f t="shared" si="7"/>
        <v>11651.018478260863</v>
      </c>
      <c r="E83" s="7"/>
      <c r="F83" s="169">
        <v>11651.02</v>
      </c>
      <c r="G83" s="12">
        <v>30</v>
      </c>
    </row>
    <row r="84" spans="1:9" x14ac:dyDescent="0.2">
      <c r="A84" s="13" t="s">
        <v>170</v>
      </c>
      <c r="C84" s="174">
        <v>43647</v>
      </c>
      <c r="D84" s="195">
        <f t="shared" si="7"/>
        <v>12039.385760869558</v>
      </c>
      <c r="E84" s="7"/>
      <c r="F84" s="169">
        <v>12039.39</v>
      </c>
      <c r="G84" s="12">
        <v>31</v>
      </c>
    </row>
    <row r="85" spans="1:9" x14ac:dyDescent="0.2">
      <c r="A85" s="18">
        <v>0</v>
      </c>
      <c r="B85" s="52"/>
      <c r="C85" s="174">
        <v>43678</v>
      </c>
      <c r="D85" s="195">
        <f t="shared" si="7"/>
        <v>12039.385760869558</v>
      </c>
      <c r="E85" s="7"/>
      <c r="F85" s="169">
        <v>12039.39</v>
      </c>
      <c r="G85" s="12">
        <v>31</v>
      </c>
    </row>
    <row r="86" spans="1:9" ht="13.5" thickBot="1" x14ac:dyDescent="0.25">
      <c r="A86" s="18">
        <v>0</v>
      </c>
      <c r="B86" s="52"/>
      <c r="C86" s="174">
        <v>43709</v>
      </c>
      <c r="D86" s="196">
        <f t="shared" si="7"/>
        <v>11651.018478260863</v>
      </c>
      <c r="E86" s="7"/>
      <c r="F86" s="169">
        <v>11651.02</v>
      </c>
      <c r="G86" s="12">
        <v>30</v>
      </c>
    </row>
    <row r="87" spans="1:9" x14ac:dyDescent="0.2">
      <c r="A87" s="51">
        <f>A85+A86</f>
        <v>0</v>
      </c>
      <c r="B87" s="18"/>
      <c r="C87" s="17" t="s">
        <v>4</v>
      </c>
      <c r="D87" s="193">
        <f>SUM(D74:D86)</f>
        <v>142919.15999999989</v>
      </c>
      <c r="E87" s="26">
        <f>SUM(E74:E85)</f>
        <v>0</v>
      </c>
      <c r="F87" s="173">
        <f>SUM(F74:F86)</f>
        <v>142919.18999999997</v>
      </c>
      <c r="G87" s="17">
        <f>SUM(G74:G86)</f>
        <v>368</v>
      </c>
    </row>
    <row r="88" spans="1:9" x14ac:dyDescent="0.2">
      <c r="C88" s="3"/>
      <c r="D88" s="4"/>
      <c r="E88" s="4"/>
      <c r="F88" s="13"/>
    </row>
    <row r="89" spans="1:9" x14ac:dyDescent="0.2">
      <c r="A89" s="27" t="s">
        <v>30</v>
      </c>
      <c r="B89" s="27" t="s">
        <v>175</v>
      </c>
    </row>
    <row r="90" spans="1:9" x14ac:dyDescent="0.2">
      <c r="A90" s="27" t="s">
        <v>172</v>
      </c>
      <c r="F90" s="13"/>
    </row>
    <row r="92" spans="1:9" ht="37.5" x14ac:dyDescent="0.5">
      <c r="A92" s="288">
        <v>2019</v>
      </c>
      <c r="B92" s="288"/>
      <c r="C92" s="288"/>
      <c r="D92" s="288"/>
      <c r="E92" s="288"/>
      <c r="F92" s="288"/>
      <c r="G92" s="288"/>
    </row>
    <row r="94" spans="1:9" x14ac:dyDescent="0.2">
      <c r="A94" s="282" t="s">
        <v>176</v>
      </c>
      <c r="B94" s="282"/>
      <c r="C94" s="282"/>
      <c r="D94" s="282"/>
      <c r="E94" s="282"/>
      <c r="F94" s="282"/>
    </row>
    <row r="95" spans="1:9" x14ac:dyDescent="0.2">
      <c r="A95" s="1" t="s">
        <v>3</v>
      </c>
      <c r="B95" s="1" t="s">
        <v>1</v>
      </c>
      <c r="C95" s="3"/>
      <c r="D95" s="11" t="s">
        <v>9</v>
      </c>
      <c r="E95" s="11" t="s">
        <v>37</v>
      </c>
      <c r="F95" s="11" t="s">
        <v>8</v>
      </c>
      <c r="G95" s="11" t="s">
        <v>164</v>
      </c>
    </row>
    <row r="96" spans="1:9" x14ac:dyDescent="0.2">
      <c r="A96" s="5">
        <v>20520</v>
      </c>
      <c r="B96" s="31">
        <f>(1+B98)^12-1</f>
        <v>9.2504811342739135E-2</v>
      </c>
      <c r="C96" s="3"/>
      <c r="D96" s="8">
        <f>A100</f>
        <v>72455.069999999949</v>
      </c>
      <c r="E96" s="16">
        <f>A102</f>
        <v>0</v>
      </c>
      <c r="F96" s="16">
        <f>D96+E96</f>
        <v>72455.069999999949</v>
      </c>
      <c r="G96" s="16" t="s">
        <v>11</v>
      </c>
    </row>
    <row r="97" spans="1:10" ht="13.5" thickBot="1" x14ac:dyDescent="0.25">
      <c r="A97" s="1" t="s">
        <v>10</v>
      </c>
      <c r="B97" s="1" t="s">
        <v>2</v>
      </c>
      <c r="C97" s="174">
        <v>43586</v>
      </c>
      <c r="D97" s="7">
        <f>$A$100/$G$110*G97</f>
        <v>393.7775543478258</v>
      </c>
      <c r="E97" s="7"/>
      <c r="F97" s="169">
        <f>D97+E97</f>
        <v>393.7775543478258</v>
      </c>
      <c r="G97" s="12">
        <v>2</v>
      </c>
    </row>
    <row r="98" spans="1:10" x14ac:dyDescent="0.2">
      <c r="A98" s="9">
        <v>790206.66</v>
      </c>
      <c r="B98" s="31">
        <v>7.4000000000000003E-3</v>
      </c>
      <c r="C98" s="174">
        <v>43617</v>
      </c>
      <c r="D98" s="7">
        <f t="shared" ref="D98:D109" si="8">$A$100/$G$110*G98</f>
        <v>5906.6633152173872</v>
      </c>
      <c r="E98" s="7"/>
      <c r="F98" s="169">
        <f t="shared" ref="F98:F109" si="9">D98+E98</f>
        <v>5906.6633152173872</v>
      </c>
      <c r="G98" s="12">
        <v>30</v>
      </c>
      <c r="H98" s="202">
        <v>1278.6099999999999</v>
      </c>
    </row>
    <row r="99" spans="1:10" x14ac:dyDescent="0.2">
      <c r="A99" s="1" t="s">
        <v>6</v>
      </c>
      <c r="B99" s="1" t="s">
        <v>15</v>
      </c>
      <c r="C99" s="174">
        <v>43647</v>
      </c>
      <c r="D99" s="7">
        <f t="shared" si="8"/>
        <v>6103.5520923913</v>
      </c>
      <c r="E99" s="7"/>
      <c r="F99" s="169">
        <f t="shared" si="9"/>
        <v>6103.5520923913</v>
      </c>
      <c r="G99" s="12">
        <v>31</v>
      </c>
      <c r="H99" s="203">
        <v>6606.19</v>
      </c>
    </row>
    <row r="100" spans="1:10" x14ac:dyDescent="0.2">
      <c r="A100" s="32">
        <f>A104-A98</f>
        <v>72455.069999999949</v>
      </c>
      <c r="B100" s="31">
        <f>(1+B98)^(1/30)-1</f>
        <v>2.4578867873570331E-4</v>
      </c>
      <c r="C100" s="174">
        <v>43678</v>
      </c>
      <c r="D100" s="7">
        <f t="shared" si="8"/>
        <v>6103.5520923913</v>
      </c>
      <c r="E100" s="7"/>
      <c r="F100" s="169">
        <f t="shared" si="9"/>
        <v>6103.5520923913</v>
      </c>
      <c r="G100" s="12">
        <v>31</v>
      </c>
      <c r="H100" s="203">
        <v>6606.19</v>
      </c>
    </row>
    <row r="101" spans="1:10" x14ac:dyDescent="0.2">
      <c r="A101" s="1" t="s">
        <v>37</v>
      </c>
      <c r="B101" s="1" t="s">
        <v>5</v>
      </c>
      <c r="C101" s="174">
        <v>43709</v>
      </c>
      <c r="D101" s="7">
        <f t="shared" si="8"/>
        <v>5906.6633152173872</v>
      </c>
      <c r="E101" s="7"/>
      <c r="F101" s="169">
        <f t="shared" si="9"/>
        <v>5906.6633152173872</v>
      </c>
      <c r="G101" s="12">
        <v>30</v>
      </c>
      <c r="H101" s="203">
        <v>6393.09</v>
      </c>
    </row>
    <row r="102" spans="1:10" x14ac:dyDescent="0.2">
      <c r="A102" s="15">
        <v>0</v>
      </c>
      <c r="B102" s="6">
        <v>43615</v>
      </c>
      <c r="C102" s="174">
        <v>43739</v>
      </c>
      <c r="D102" s="7">
        <f t="shared" si="8"/>
        <v>6103.5520923913</v>
      </c>
      <c r="E102" s="7"/>
      <c r="F102" s="169">
        <f t="shared" si="9"/>
        <v>6103.5520923913</v>
      </c>
      <c r="G102" s="12">
        <v>31</v>
      </c>
      <c r="H102" s="203">
        <v>6606.19</v>
      </c>
    </row>
    <row r="103" spans="1:10" x14ac:dyDescent="0.2">
      <c r="A103" s="29" t="s">
        <v>7</v>
      </c>
      <c r="B103" s="1" t="s">
        <v>159</v>
      </c>
      <c r="C103" s="174">
        <v>43770</v>
      </c>
      <c r="D103" s="7">
        <f t="shared" si="8"/>
        <v>5906.6633152173872</v>
      </c>
      <c r="E103" s="7"/>
      <c r="F103" s="169">
        <f t="shared" si="9"/>
        <v>5906.6633152173872</v>
      </c>
      <c r="G103" s="12">
        <v>30</v>
      </c>
      <c r="H103" s="203">
        <v>6393.09</v>
      </c>
    </row>
    <row r="104" spans="1:10" ht="13.5" thickBot="1" x14ac:dyDescent="0.25">
      <c r="A104" s="28">
        <v>862661.73</v>
      </c>
      <c r="B104" s="2">
        <v>43980</v>
      </c>
      <c r="C104" s="174">
        <v>43800</v>
      </c>
      <c r="D104" s="7">
        <f t="shared" si="8"/>
        <v>6103.5520923913</v>
      </c>
      <c r="E104" s="7"/>
      <c r="F104" s="169">
        <f t="shared" si="9"/>
        <v>6103.5520923913</v>
      </c>
      <c r="G104" s="12">
        <v>31</v>
      </c>
      <c r="H104" s="204">
        <v>6606.19</v>
      </c>
    </row>
    <row r="105" spans="1:10" x14ac:dyDescent="0.2">
      <c r="B105" s="1" t="s">
        <v>8</v>
      </c>
      <c r="C105" s="174">
        <v>43831</v>
      </c>
      <c r="D105" s="7">
        <f t="shared" si="8"/>
        <v>6103.5520923913</v>
      </c>
      <c r="E105" s="7"/>
      <c r="F105" s="169">
        <f t="shared" si="9"/>
        <v>6103.5520923913</v>
      </c>
      <c r="G105" s="12">
        <v>31</v>
      </c>
      <c r="H105" s="180">
        <v>6606.19</v>
      </c>
      <c r="J105" s="197" t="s">
        <v>189</v>
      </c>
    </row>
    <row r="106" spans="1:10" x14ac:dyDescent="0.2">
      <c r="B106" s="14">
        <f>A100+A102</f>
        <v>72455.069999999949</v>
      </c>
      <c r="C106" s="174">
        <v>43862</v>
      </c>
      <c r="D106" s="7">
        <f t="shared" si="8"/>
        <v>5709.7745380434744</v>
      </c>
      <c r="E106" s="7"/>
      <c r="F106" s="169">
        <f t="shared" si="9"/>
        <v>5709.7745380434744</v>
      </c>
      <c r="G106" s="12">
        <v>29</v>
      </c>
      <c r="H106" s="180">
        <v>6179.99</v>
      </c>
      <c r="J106" s="205">
        <f>SUM(H98:H104)</f>
        <v>40489.550000000003</v>
      </c>
    </row>
    <row r="107" spans="1:10" x14ac:dyDescent="0.2">
      <c r="A107" s="13" t="s">
        <v>170</v>
      </c>
      <c r="C107" s="174">
        <v>43891</v>
      </c>
      <c r="D107" s="7">
        <f t="shared" si="8"/>
        <v>6103.5520923913</v>
      </c>
      <c r="E107" s="7"/>
      <c r="F107" s="169">
        <f t="shared" si="9"/>
        <v>6103.5520923913</v>
      </c>
      <c r="G107" s="12">
        <v>31</v>
      </c>
      <c r="H107" s="180">
        <v>6606.19</v>
      </c>
    </row>
    <row r="108" spans="1:10" x14ac:dyDescent="0.2">
      <c r="A108" s="18">
        <v>0</v>
      </c>
      <c r="B108" s="52"/>
      <c r="C108" s="174">
        <v>43922</v>
      </c>
      <c r="D108" s="7">
        <f t="shared" si="8"/>
        <v>5906.6633152173872</v>
      </c>
      <c r="E108" s="7"/>
      <c r="F108" s="169">
        <f t="shared" si="9"/>
        <v>5906.6633152173872</v>
      </c>
      <c r="G108" s="12">
        <v>30</v>
      </c>
      <c r="H108" s="180">
        <v>6393.09</v>
      </c>
    </row>
    <row r="109" spans="1:10" x14ac:dyDescent="0.2">
      <c r="A109" s="18">
        <v>0</v>
      </c>
      <c r="B109" s="52"/>
      <c r="C109" s="174">
        <v>43952</v>
      </c>
      <c r="D109" s="7">
        <f t="shared" si="8"/>
        <v>6103.5520923913</v>
      </c>
      <c r="E109" s="7"/>
      <c r="F109" s="169">
        <f t="shared" si="9"/>
        <v>6103.5520923913</v>
      </c>
      <c r="G109" s="12">
        <v>31</v>
      </c>
      <c r="H109" s="180">
        <v>6180.06</v>
      </c>
    </row>
    <row r="110" spans="1:10" x14ac:dyDescent="0.2">
      <c r="A110" s="51">
        <f>A108+A109</f>
        <v>0</v>
      </c>
      <c r="B110" s="18"/>
      <c r="C110" s="17" t="s">
        <v>4</v>
      </c>
      <c r="D110" s="26">
        <f>SUM(D97:D109)</f>
        <v>72455.069999999934</v>
      </c>
      <c r="E110" s="26">
        <f>SUM(E97:E108)</f>
        <v>0</v>
      </c>
      <c r="F110" s="173">
        <f>SUM(F97:F109)</f>
        <v>72455.069999999934</v>
      </c>
      <c r="G110" s="17">
        <f>SUM(G97:G109)</f>
        <v>368</v>
      </c>
      <c r="H110" s="179">
        <f>SUM(H98:H109)</f>
        <v>72455.070000000007</v>
      </c>
      <c r="J110" s="209"/>
    </row>
    <row r="111" spans="1:10" x14ac:dyDescent="0.2">
      <c r="C111" s="3"/>
      <c r="D111" s="4"/>
      <c r="E111" s="4"/>
      <c r="F111" s="13"/>
    </row>
    <row r="112" spans="1:10" x14ac:dyDescent="0.2">
      <c r="A112" s="27" t="s">
        <v>30</v>
      </c>
      <c r="B112" s="27" t="s">
        <v>175</v>
      </c>
      <c r="F112" s="176" t="s">
        <v>178</v>
      </c>
    </row>
    <row r="113" spans="1:11" x14ac:dyDescent="0.2">
      <c r="A113" s="27" t="s">
        <v>177</v>
      </c>
      <c r="F113" s="177">
        <v>43641</v>
      </c>
    </row>
    <row r="115" spans="1:11" x14ac:dyDescent="0.2">
      <c r="F115" s="176" t="s">
        <v>179</v>
      </c>
      <c r="G115" s="178"/>
      <c r="H115" s="178"/>
    </row>
    <row r="117" spans="1:11" x14ac:dyDescent="0.2">
      <c r="A117" s="282" t="s">
        <v>180</v>
      </c>
      <c r="B117" s="282"/>
      <c r="C117" s="282"/>
      <c r="D117" s="282"/>
      <c r="E117" s="282"/>
      <c r="F117" s="282"/>
      <c r="G117" s="282"/>
      <c r="H117" s="282"/>
      <c r="I117" s="282"/>
    </row>
    <row r="118" spans="1:11" x14ac:dyDescent="0.2">
      <c r="A118" s="1" t="s">
        <v>3</v>
      </c>
      <c r="B118" s="1" t="s">
        <v>1</v>
      </c>
      <c r="C118" s="3"/>
      <c r="D118" s="11" t="s">
        <v>9</v>
      </c>
      <c r="E118" s="11" t="s">
        <v>37</v>
      </c>
      <c r="F118" s="11" t="s">
        <v>8</v>
      </c>
      <c r="G118" s="11" t="s">
        <v>164</v>
      </c>
    </row>
    <row r="119" spans="1:11" ht="13.5" thickBot="1" x14ac:dyDescent="0.25">
      <c r="A119" s="5">
        <v>26082019</v>
      </c>
      <c r="B119" s="31">
        <f>(1+B121)^12-1</f>
        <v>0.14238582227822616</v>
      </c>
      <c r="C119" s="3"/>
      <c r="D119" s="207">
        <f>A123</f>
        <v>346438.60000000009</v>
      </c>
      <c r="E119" s="16">
        <f>A125</f>
        <v>0</v>
      </c>
      <c r="F119" s="16">
        <f>D119+E119</f>
        <v>346438.60000000009</v>
      </c>
      <c r="G119" s="16" t="s">
        <v>11</v>
      </c>
    </row>
    <row r="120" spans="1:11" x14ac:dyDescent="0.2">
      <c r="A120" s="1" t="s">
        <v>10</v>
      </c>
      <c r="B120" s="1" t="s">
        <v>2</v>
      </c>
      <c r="C120" s="174">
        <v>43678</v>
      </c>
      <c r="D120" s="194">
        <f>$A$123/$G$132*G120</f>
        <v>6705.2632258064532</v>
      </c>
      <c r="E120" s="7"/>
      <c r="F120" s="169">
        <f>D120+E120</f>
        <v>6705.2632258064532</v>
      </c>
      <c r="G120" s="12">
        <v>6</v>
      </c>
      <c r="H120">
        <v>10836</v>
      </c>
      <c r="I120" s="185">
        <v>237789.2</v>
      </c>
    </row>
    <row r="121" spans="1:11" x14ac:dyDescent="0.2">
      <c r="A121" s="9">
        <v>3700633.6000000001</v>
      </c>
      <c r="B121" s="31">
        <v>1.1155E-2</v>
      </c>
      <c r="C121" s="174">
        <v>43709</v>
      </c>
      <c r="D121" s="195">
        <f t="shared" ref="D121:D130" si="10">$A$123/$G$132*G121</f>
        <v>33526.316129032261</v>
      </c>
      <c r="E121" s="7"/>
      <c r="F121" s="169">
        <f t="shared" ref="F121:F130" si="11">D121+E121</f>
        <v>33526.316129032261</v>
      </c>
      <c r="G121" s="182">
        <v>30</v>
      </c>
      <c r="H121">
        <v>10839</v>
      </c>
      <c r="I121" s="186">
        <v>150970.79999999999</v>
      </c>
    </row>
    <row r="122" spans="1:11" ht="13.5" thickBot="1" x14ac:dyDescent="0.25">
      <c r="A122" s="1" t="s">
        <v>6</v>
      </c>
      <c r="B122" s="1" t="s">
        <v>15</v>
      </c>
      <c r="C122" s="174">
        <v>43739</v>
      </c>
      <c r="D122" s="195">
        <f t="shared" si="10"/>
        <v>34643.860000000008</v>
      </c>
      <c r="E122" s="7"/>
      <c r="F122" s="169">
        <f t="shared" si="11"/>
        <v>34643.860000000008</v>
      </c>
      <c r="G122" s="182">
        <v>31</v>
      </c>
      <c r="H122">
        <v>10847</v>
      </c>
      <c r="I122" s="186">
        <v>620778.6</v>
      </c>
    </row>
    <row r="123" spans="1:11" x14ac:dyDescent="0.2">
      <c r="A123" s="32">
        <f>A127-A121</f>
        <v>346438.60000000009</v>
      </c>
      <c r="B123" s="31">
        <f>(1+B121)^(1/30)-1</f>
        <v>3.6984310303389556E-4</v>
      </c>
      <c r="C123" s="174">
        <v>43770</v>
      </c>
      <c r="D123" s="195">
        <f t="shared" si="10"/>
        <v>33526.316129032261</v>
      </c>
      <c r="E123" s="7"/>
      <c r="F123" s="169">
        <f t="shared" si="11"/>
        <v>33526.316129032261</v>
      </c>
      <c r="G123" s="182">
        <v>30</v>
      </c>
      <c r="H123">
        <v>10844</v>
      </c>
      <c r="I123" s="186">
        <v>115542.76</v>
      </c>
      <c r="K123" s="191" t="s">
        <v>190</v>
      </c>
    </row>
    <row r="124" spans="1:11" ht="13.5" thickBot="1" x14ac:dyDescent="0.25">
      <c r="A124" s="1" t="s">
        <v>37</v>
      </c>
      <c r="B124" s="1" t="s">
        <v>5</v>
      </c>
      <c r="C124" s="174">
        <v>43800</v>
      </c>
      <c r="D124" s="196">
        <f t="shared" si="10"/>
        <v>34643.860000000008</v>
      </c>
      <c r="E124" s="7"/>
      <c r="F124" s="169">
        <f t="shared" si="11"/>
        <v>34643.860000000008</v>
      </c>
      <c r="G124" s="182">
        <v>31</v>
      </c>
      <c r="H124">
        <v>10882</v>
      </c>
      <c r="I124" s="186">
        <v>127160</v>
      </c>
      <c r="K124" s="206">
        <f>SUM(D120:D124)</f>
        <v>143045.61548387099</v>
      </c>
    </row>
    <row r="125" spans="1:11" x14ac:dyDescent="0.2">
      <c r="A125" s="15">
        <v>0</v>
      </c>
      <c r="B125" s="6">
        <v>43703</v>
      </c>
      <c r="C125" s="174">
        <v>43831</v>
      </c>
      <c r="D125" s="175">
        <f t="shared" si="10"/>
        <v>34643.860000000008</v>
      </c>
      <c r="E125" s="7"/>
      <c r="F125" s="169">
        <f t="shared" si="11"/>
        <v>34643.860000000008</v>
      </c>
      <c r="G125" s="182">
        <v>31</v>
      </c>
      <c r="H125">
        <v>10835</v>
      </c>
      <c r="I125" s="186">
        <v>522555.4</v>
      </c>
    </row>
    <row r="126" spans="1:11" x14ac:dyDescent="0.2">
      <c r="A126" s="29" t="s">
        <v>7</v>
      </c>
      <c r="B126" s="1" t="s">
        <v>159</v>
      </c>
      <c r="C126" s="174">
        <v>43862</v>
      </c>
      <c r="D126" s="175">
        <f t="shared" si="10"/>
        <v>32408.77225806452</v>
      </c>
      <c r="E126" s="7"/>
      <c r="F126" s="169">
        <f t="shared" si="11"/>
        <v>32408.77225806452</v>
      </c>
      <c r="G126" s="182">
        <v>29</v>
      </c>
      <c r="H126">
        <v>10880</v>
      </c>
      <c r="I126" s="186">
        <v>118894.6</v>
      </c>
    </row>
    <row r="127" spans="1:11" x14ac:dyDescent="0.2">
      <c r="A127" s="28">
        <v>4047072.2</v>
      </c>
      <c r="B127" s="2">
        <v>44012</v>
      </c>
      <c r="C127" s="174">
        <v>43891</v>
      </c>
      <c r="D127" s="175">
        <f t="shared" si="10"/>
        <v>34643.860000000008</v>
      </c>
      <c r="E127" s="7"/>
      <c r="F127" s="169">
        <f t="shared" si="11"/>
        <v>34643.860000000008</v>
      </c>
      <c r="G127" s="182">
        <v>31</v>
      </c>
      <c r="H127">
        <v>10837</v>
      </c>
      <c r="I127" s="186">
        <v>723750</v>
      </c>
    </row>
    <row r="128" spans="1:11" x14ac:dyDescent="0.2">
      <c r="B128" s="1" t="s">
        <v>8</v>
      </c>
      <c r="C128" s="174">
        <v>43922</v>
      </c>
      <c r="D128" s="175">
        <f t="shared" si="10"/>
        <v>33526.316129032261</v>
      </c>
      <c r="E128" s="7"/>
      <c r="F128" s="169">
        <f t="shared" si="11"/>
        <v>33526.316129032261</v>
      </c>
      <c r="G128" s="182">
        <v>30</v>
      </c>
      <c r="H128">
        <v>10841</v>
      </c>
      <c r="I128" s="186">
        <v>525000</v>
      </c>
    </row>
    <row r="129" spans="1:12" x14ac:dyDescent="0.2">
      <c r="B129" s="14">
        <f>A123+A125</f>
        <v>346438.60000000009</v>
      </c>
      <c r="C129" s="174">
        <v>43952</v>
      </c>
      <c r="D129" s="175">
        <f t="shared" si="10"/>
        <v>34643.860000000008</v>
      </c>
      <c r="E129" s="7"/>
      <c r="F129" s="169">
        <f t="shared" si="11"/>
        <v>34643.860000000008</v>
      </c>
      <c r="G129" s="182">
        <v>31</v>
      </c>
      <c r="H129">
        <v>10842</v>
      </c>
      <c r="I129" s="186">
        <v>371895.76</v>
      </c>
      <c r="K129" s="188">
        <f>D120+D121+D122</f>
        <v>74875.439354838716</v>
      </c>
      <c r="L129" s="176" t="s">
        <v>187</v>
      </c>
    </row>
    <row r="130" spans="1:12" x14ac:dyDescent="0.2">
      <c r="A130" s="13" t="s">
        <v>170</v>
      </c>
      <c r="C130" s="174">
        <v>43983</v>
      </c>
      <c r="D130" s="175">
        <f t="shared" si="10"/>
        <v>33526.316129032261</v>
      </c>
      <c r="E130" s="7"/>
      <c r="F130" s="169">
        <f t="shared" si="11"/>
        <v>33526.316129032261</v>
      </c>
      <c r="G130" s="182">
        <v>30</v>
      </c>
      <c r="H130">
        <v>10840</v>
      </c>
      <c r="I130" s="186">
        <v>102650</v>
      </c>
    </row>
    <row r="131" spans="1:12" x14ac:dyDescent="0.2">
      <c r="A131" s="18">
        <v>0</v>
      </c>
      <c r="B131" s="52"/>
      <c r="C131" s="10"/>
      <c r="D131" s="7"/>
      <c r="E131" s="7"/>
      <c r="F131" s="169"/>
      <c r="G131" s="12"/>
      <c r="H131">
        <v>11838</v>
      </c>
      <c r="I131" s="186">
        <v>80536.800000000003</v>
      </c>
    </row>
    <row r="132" spans="1:12" x14ac:dyDescent="0.2">
      <c r="A132" s="18">
        <v>0</v>
      </c>
      <c r="B132" s="52"/>
      <c r="C132" s="17" t="s">
        <v>4</v>
      </c>
      <c r="D132" s="26">
        <f>SUM(D120:D131)</f>
        <v>346438.60000000009</v>
      </c>
      <c r="E132" s="26">
        <f>SUM(E120:E130)</f>
        <v>0</v>
      </c>
      <c r="F132" s="173">
        <f>SUM(F120:F131)</f>
        <v>346438.60000000009</v>
      </c>
      <c r="G132" s="17">
        <f>SUM(G120:G131)</f>
        <v>310</v>
      </c>
      <c r="H132" s="179"/>
      <c r="I132" s="187">
        <f>SUM(I120:I131)</f>
        <v>3697523.92</v>
      </c>
    </row>
    <row r="133" spans="1:12" x14ac:dyDescent="0.2">
      <c r="A133" s="51">
        <f>A131+A132</f>
        <v>0</v>
      </c>
      <c r="B133" s="18"/>
      <c r="C133" s="3"/>
      <c r="D133" s="4"/>
      <c r="E133" s="4"/>
      <c r="F133" s="13"/>
      <c r="I133" s="53">
        <f>A121-I132</f>
        <v>3109.6800000001676</v>
      </c>
    </row>
    <row r="134" spans="1:12" x14ac:dyDescent="0.2">
      <c r="F134" s="183"/>
    </row>
    <row r="135" spans="1:12" x14ac:dyDescent="0.2">
      <c r="A135" s="27" t="s">
        <v>30</v>
      </c>
      <c r="B135" s="27" t="s">
        <v>181</v>
      </c>
      <c r="F135" s="184"/>
    </row>
    <row r="136" spans="1:12" x14ac:dyDescent="0.2">
      <c r="A136" s="27" t="s">
        <v>182</v>
      </c>
      <c r="F136" s="181"/>
    </row>
    <row r="137" spans="1:12" x14ac:dyDescent="0.2">
      <c r="F137" s="183"/>
      <c r="G137" s="181"/>
      <c r="H137" s="181"/>
      <c r="I137" s="181"/>
    </row>
    <row r="138" spans="1:12" x14ac:dyDescent="0.2">
      <c r="A138" s="282" t="s">
        <v>183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</row>
    <row r="139" spans="1:12" x14ac:dyDescent="0.2">
      <c r="A139" s="1" t="s">
        <v>3</v>
      </c>
      <c r="B139" s="1" t="s">
        <v>1</v>
      </c>
      <c r="C139" s="3"/>
      <c r="D139" s="11" t="s">
        <v>9</v>
      </c>
      <c r="E139" s="11"/>
      <c r="F139" s="11" t="s">
        <v>8</v>
      </c>
      <c r="G139" s="11" t="s">
        <v>164</v>
      </c>
    </row>
    <row r="140" spans="1:12" x14ac:dyDescent="0.2">
      <c r="A140" s="5">
        <v>30920</v>
      </c>
      <c r="B140" s="31">
        <f>(1+B142)^12-1</f>
        <v>8.8607072706796242E-2</v>
      </c>
      <c r="C140" s="3"/>
      <c r="D140" s="8">
        <f>A144</f>
        <v>102348.92999999993</v>
      </c>
      <c r="E140" s="16"/>
      <c r="F140" s="16">
        <f>D140+E140</f>
        <v>102348.92999999993</v>
      </c>
      <c r="G140" s="16" t="s">
        <v>11</v>
      </c>
    </row>
    <row r="141" spans="1:12" ht="13.5" thickBot="1" x14ac:dyDescent="0.25">
      <c r="A141" s="1" t="s">
        <v>10</v>
      </c>
      <c r="B141" s="1" t="s">
        <v>2</v>
      </c>
      <c r="C141" s="10"/>
      <c r="D141" s="7"/>
      <c r="E141" s="7"/>
      <c r="F141" s="169"/>
      <c r="G141" s="12"/>
      <c r="H141">
        <v>23629</v>
      </c>
      <c r="I141" s="185">
        <v>296900</v>
      </c>
    </row>
    <row r="142" spans="1:12" x14ac:dyDescent="0.2">
      <c r="A142" s="9">
        <v>1214669.6000000001</v>
      </c>
      <c r="B142" s="31">
        <v>7.1000000000000004E-3</v>
      </c>
      <c r="C142" s="174">
        <v>43709</v>
      </c>
      <c r="D142" s="194">
        <f>$A$144/$G$156*G142</f>
        <v>279.64188524590145</v>
      </c>
      <c r="E142" s="7"/>
      <c r="F142" s="172">
        <f>D142-E142</f>
        <v>279.64188524590145</v>
      </c>
      <c r="G142" s="182">
        <v>1</v>
      </c>
      <c r="H142">
        <v>23649</v>
      </c>
      <c r="I142" s="186">
        <v>117800</v>
      </c>
      <c r="K142" s="191" t="s">
        <v>189</v>
      </c>
    </row>
    <row r="143" spans="1:12" ht="13.5" thickBot="1" x14ac:dyDescent="0.25">
      <c r="A143" s="1" t="s">
        <v>6</v>
      </c>
      <c r="B143" s="1" t="s">
        <v>15</v>
      </c>
      <c r="C143" s="174">
        <v>43739</v>
      </c>
      <c r="D143" s="195">
        <f t="shared" ref="D143:D154" si="12">$A$144/$G$156*G143</f>
        <v>8668.8984426229454</v>
      </c>
      <c r="E143" s="7"/>
      <c r="F143" s="172">
        <f t="shared" ref="F143:F154" si="13">D143-E143</f>
        <v>8668.8984426229454</v>
      </c>
      <c r="G143" s="182">
        <v>31</v>
      </c>
      <c r="H143">
        <v>23694</v>
      </c>
      <c r="I143" s="186">
        <v>218444.2</v>
      </c>
      <c r="K143" s="208">
        <f>SUM(D142:D145)</f>
        <v>26006.695327868838</v>
      </c>
    </row>
    <row r="144" spans="1:12" x14ac:dyDescent="0.2">
      <c r="A144" s="32">
        <f>A148-A142</f>
        <v>102348.92999999993</v>
      </c>
      <c r="B144" s="31">
        <f>(1+B142)^(1/30)-1</f>
        <v>2.3585826592009695E-4</v>
      </c>
      <c r="C144" s="174">
        <v>43770</v>
      </c>
      <c r="D144" s="195">
        <f t="shared" si="12"/>
        <v>8389.2565573770444</v>
      </c>
      <c r="E144" s="7"/>
      <c r="F144" s="172">
        <f t="shared" si="13"/>
        <v>8389.2565573770444</v>
      </c>
      <c r="G144" s="182">
        <v>30</v>
      </c>
      <c r="H144">
        <v>24650</v>
      </c>
      <c r="I144" s="186">
        <v>215280</v>
      </c>
    </row>
    <row r="145" spans="1:12" ht="13.5" thickBot="1" x14ac:dyDescent="0.25">
      <c r="A145" s="1" t="s">
        <v>37</v>
      </c>
      <c r="B145" s="1" t="s">
        <v>5</v>
      </c>
      <c r="C145" s="174">
        <v>43800</v>
      </c>
      <c r="D145" s="196">
        <f t="shared" si="12"/>
        <v>8668.8984426229454</v>
      </c>
      <c r="E145" s="7"/>
      <c r="F145" s="172">
        <f t="shared" si="13"/>
        <v>8668.8984426229454</v>
      </c>
      <c r="G145" s="182">
        <v>31</v>
      </c>
      <c r="H145">
        <v>24815</v>
      </c>
      <c r="I145" s="186">
        <v>85820</v>
      </c>
    </row>
    <row r="146" spans="1:12" x14ac:dyDescent="0.2">
      <c r="A146" s="15">
        <v>0</v>
      </c>
      <c r="B146" s="6">
        <v>43738</v>
      </c>
      <c r="C146" s="174">
        <v>43831</v>
      </c>
      <c r="D146" s="175">
        <f t="shared" si="12"/>
        <v>8668.8984426229454</v>
      </c>
      <c r="E146" s="7"/>
      <c r="F146" s="172">
        <f t="shared" si="13"/>
        <v>8668.8984426229454</v>
      </c>
      <c r="G146" s="182">
        <v>31</v>
      </c>
      <c r="H146">
        <v>24813</v>
      </c>
      <c r="I146" s="186">
        <v>10248</v>
      </c>
      <c r="J146" t="s">
        <v>184</v>
      </c>
    </row>
    <row r="147" spans="1:12" x14ac:dyDescent="0.2">
      <c r="A147" s="29" t="s">
        <v>7</v>
      </c>
      <c r="B147" s="1" t="s">
        <v>159</v>
      </c>
      <c r="C147" s="174">
        <v>43862</v>
      </c>
      <c r="D147" s="175">
        <f t="shared" si="12"/>
        <v>8109.6146721311416</v>
      </c>
      <c r="E147" s="7"/>
      <c r="F147" s="172">
        <f t="shared" si="13"/>
        <v>8109.6146721311416</v>
      </c>
      <c r="G147" s="182">
        <v>29</v>
      </c>
      <c r="H147">
        <v>23695</v>
      </c>
      <c r="I147" s="186">
        <v>121200</v>
      </c>
    </row>
    <row r="148" spans="1:12" x14ac:dyDescent="0.2">
      <c r="A148" s="28">
        <v>1317018.53</v>
      </c>
      <c r="B148" s="2">
        <v>44104</v>
      </c>
      <c r="C148" s="174">
        <v>43891</v>
      </c>
      <c r="D148" s="175">
        <f t="shared" si="12"/>
        <v>8668.8984426229454</v>
      </c>
      <c r="E148" s="7"/>
      <c r="F148" s="172">
        <f t="shared" si="13"/>
        <v>8668.8984426229454</v>
      </c>
      <c r="G148" s="182">
        <v>31</v>
      </c>
      <c r="H148">
        <v>24817</v>
      </c>
      <c r="I148" s="186">
        <v>29900</v>
      </c>
    </row>
    <row r="149" spans="1:12" x14ac:dyDescent="0.2">
      <c r="B149" s="1" t="s">
        <v>8</v>
      </c>
      <c r="C149" s="174">
        <v>43922</v>
      </c>
      <c r="D149" s="175">
        <f t="shared" si="12"/>
        <v>8389.2565573770444</v>
      </c>
      <c r="E149" s="7"/>
      <c r="F149" s="172">
        <f t="shared" si="13"/>
        <v>8389.2565573770444</v>
      </c>
      <c r="G149" s="182">
        <v>30</v>
      </c>
      <c r="H149">
        <v>248820</v>
      </c>
      <c r="I149" s="186">
        <v>84500</v>
      </c>
    </row>
    <row r="150" spans="1:12" x14ac:dyDescent="0.2">
      <c r="B150" s="14">
        <f>A144+A146</f>
        <v>102348.92999999993</v>
      </c>
      <c r="C150" s="174">
        <v>43952</v>
      </c>
      <c r="D150" s="175">
        <f t="shared" si="12"/>
        <v>8668.8984426229454</v>
      </c>
      <c r="E150" s="7"/>
      <c r="F150" s="172">
        <f t="shared" si="13"/>
        <v>8668.8984426229454</v>
      </c>
      <c r="G150" s="182">
        <v>31</v>
      </c>
      <c r="H150">
        <v>120219</v>
      </c>
      <c r="I150" s="186">
        <v>121200</v>
      </c>
    </row>
    <row r="151" spans="1:12" x14ac:dyDescent="0.2">
      <c r="A151" s="13" t="s">
        <v>170</v>
      </c>
      <c r="C151" s="174">
        <v>43983</v>
      </c>
      <c r="D151" s="175">
        <f t="shared" si="12"/>
        <v>8389.2565573770444</v>
      </c>
      <c r="E151" s="7"/>
      <c r="F151" s="172">
        <f t="shared" si="13"/>
        <v>8389.2565573770444</v>
      </c>
      <c r="G151" s="182">
        <v>30</v>
      </c>
      <c r="H151">
        <v>122306</v>
      </c>
      <c r="I151" s="186">
        <v>8520</v>
      </c>
    </row>
    <row r="152" spans="1:12" x14ac:dyDescent="0.2">
      <c r="A152" s="18">
        <v>0</v>
      </c>
      <c r="B152" s="52"/>
      <c r="C152" s="174">
        <v>44013</v>
      </c>
      <c r="D152" s="175">
        <f t="shared" si="12"/>
        <v>8668.8984426229454</v>
      </c>
      <c r="E152" s="7"/>
      <c r="F152" s="172">
        <f t="shared" si="13"/>
        <v>8668.8984426229454</v>
      </c>
      <c r="G152" s="182">
        <v>31</v>
      </c>
      <c r="I152" s="187">
        <f ca="1">SUM(I141:I155)</f>
        <v>1309812.2</v>
      </c>
    </row>
    <row r="153" spans="1:12" x14ac:dyDescent="0.2">
      <c r="A153" s="18">
        <v>0</v>
      </c>
      <c r="B153" s="52"/>
      <c r="C153" s="174">
        <v>44044</v>
      </c>
      <c r="D153" s="175">
        <f t="shared" si="12"/>
        <v>8389.2565573770444</v>
      </c>
      <c r="E153" s="7"/>
      <c r="F153" s="172">
        <f t="shared" si="13"/>
        <v>8389.2565573770444</v>
      </c>
      <c r="G153" s="182">
        <v>30</v>
      </c>
      <c r="I153" s="53">
        <v>95142.6</v>
      </c>
      <c r="J153" t="s">
        <v>185</v>
      </c>
    </row>
    <row r="154" spans="1:12" x14ac:dyDescent="0.2">
      <c r="A154" s="51">
        <f>A152+A153</f>
        <v>0</v>
      </c>
      <c r="B154" s="18"/>
      <c r="C154" s="174">
        <v>44075</v>
      </c>
      <c r="D154" s="175">
        <f t="shared" si="12"/>
        <v>8389.2565573770444</v>
      </c>
      <c r="E154" s="175"/>
      <c r="F154" s="172">
        <f t="shared" si="13"/>
        <v>8389.2565573770444</v>
      </c>
      <c r="G154" s="182">
        <v>30</v>
      </c>
      <c r="I154" s="53">
        <f ca="1">I152-I153</f>
        <v>1214669.5999999999</v>
      </c>
    </row>
    <row r="155" spans="1:12" x14ac:dyDescent="0.2">
      <c r="C155" s="10"/>
      <c r="D155" s="7"/>
      <c r="E155" s="7"/>
      <c r="F155" s="169"/>
      <c r="G155" s="12"/>
      <c r="I155" s="186"/>
    </row>
    <row r="156" spans="1:12" x14ac:dyDescent="0.2">
      <c r="A156" s="27" t="s">
        <v>30</v>
      </c>
      <c r="B156" s="27" t="s">
        <v>181</v>
      </c>
      <c r="C156" s="17" t="s">
        <v>4</v>
      </c>
      <c r="D156" s="26">
        <f>SUM(D141:D155)</f>
        <v>102348.92999999992</v>
      </c>
      <c r="E156" s="26">
        <f>SUM(E141:E154)</f>
        <v>0</v>
      </c>
      <c r="F156" s="173">
        <f>SUM(F141:F155)</f>
        <v>102348.92999999992</v>
      </c>
      <c r="G156" s="17">
        <f>SUM(G141:G155)</f>
        <v>366</v>
      </c>
      <c r="H156" s="179"/>
      <c r="K156" s="189">
        <f>D142+D143</f>
        <v>8948.5403278688464</v>
      </c>
      <c r="L156" s="190">
        <v>43739</v>
      </c>
    </row>
    <row r="157" spans="1:12" x14ac:dyDescent="0.2">
      <c r="A157" s="27" t="s">
        <v>186</v>
      </c>
      <c r="C157" s="3"/>
      <c r="D157" s="4"/>
      <c r="E157" s="4"/>
      <c r="F157" s="13"/>
    </row>
    <row r="158" spans="1:12" x14ac:dyDescent="0.2">
      <c r="F158" s="183"/>
    </row>
    <row r="159" spans="1:12" x14ac:dyDescent="0.2">
      <c r="A159" s="282" t="s">
        <v>191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</row>
    <row r="160" spans="1:12" x14ac:dyDescent="0.2">
      <c r="A160" s="1" t="s">
        <v>3</v>
      </c>
      <c r="B160" s="1" t="s">
        <v>1</v>
      </c>
      <c r="C160" s="3"/>
      <c r="D160" s="11" t="s">
        <v>9</v>
      </c>
      <c r="E160" s="11"/>
      <c r="F160" s="11" t="s">
        <v>8</v>
      </c>
      <c r="G160" s="11" t="s">
        <v>164</v>
      </c>
    </row>
    <row r="161" spans="1:13" x14ac:dyDescent="0.2">
      <c r="A161" s="5">
        <v>40921</v>
      </c>
      <c r="B161" s="31">
        <f>(1+B163)^12-1</f>
        <v>9.5110406408293935E-2</v>
      </c>
      <c r="C161" s="3"/>
      <c r="D161" s="8">
        <f>A165</f>
        <v>98572.2</v>
      </c>
      <c r="E161" s="16"/>
      <c r="F161" s="16">
        <f>D161+E161</f>
        <v>98572.2</v>
      </c>
      <c r="G161" s="16" t="s">
        <v>11</v>
      </c>
    </row>
    <row r="162" spans="1:13" x14ac:dyDescent="0.2">
      <c r="A162" s="1" t="s">
        <v>10</v>
      </c>
      <c r="B162" s="1" t="s">
        <v>2</v>
      </c>
      <c r="C162" s="10"/>
      <c r="D162" s="7"/>
      <c r="E162" s="7"/>
      <c r="F162" s="169"/>
      <c r="G162" s="12"/>
      <c r="H162" s="84"/>
      <c r="I162" s="210"/>
      <c r="J162" s="84"/>
      <c r="K162" s="84"/>
      <c r="L162" s="84"/>
      <c r="M162" s="84"/>
    </row>
    <row r="163" spans="1:13" x14ac:dyDescent="0.2">
      <c r="A163" s="9">
        <v>790209.66</v>
      </c>
      <c r="B163" s="31">
        <v>7.6E-3</v>
      </c>
      <c r="C163" s="174">
        <v>43983</v>
      </c>
      <c r="D163" s="175">
        <f>$A$165/$G$179*G163</f>
        <v>3132.5911016949149</v>
      </c>
      <c r="E163" s="7"/>
      <c r="F163" s="172">
        <f>D163-E163</f>
        <v>3132.5911016949149</v>
      </c>
      <c r="G163" s="182">
        <v>15</v>
      </c>
      <c r="H163" s="84"/>
      <c r="I163" s="211" t="s">
        <v>195</v>
      </c>
      <c r="J163" s="84"/>
      <c r="K163" s="37"/>
      <c r="L163" s="84"/>
      <c r="M163" s="84"/>
    </row>
    <row r="164" spans="1:13" x14ac:dyDescent="0.2">
      <c r="A164" s="1" t="s">
        <v>6</v>
      </c>
      <c r="B164" s="1" t="s">
        <v>15</v>
      </c>
      <c r="C164" s="174">
        <v>44013</v>
      </c>
      <c r="D164" s="175">
        <f t="shared" ref="D164:D178" si="14">$A$165/$G$179*G164</f>
        <v>6474.0216101694914</v>
      </c>
      <c r="E164" s="7"/>
      <c r="F164" s="172">
        <f t="shared" ref="F164:F178" si="15">D164-E164</f>
        <v>6474.0216101694914</v>
      </c>
      <c r="G164" s="182">
        <v>31</v>
      </c>
      <c r="H164" s="84"/>
      <c r="I164" s="216">
        <v>888781.86</v>
      </c>
      <c r="J164" s="84"/>
      <c r="K164" s="212"/>
      <c r="L164" s="84"/>
      <c r="M164" s="84"/>
    </row>
    <row r="165" spans="1:13" x14ac:dyDescent="0.2">
      <c r="A165" s="32">
        <v>98572.2</v>
      </c>
      <c r="B165" s="31">
        <f>(1+B163)^(1/30)-1</f>
        <v>2.5240736592380131E-4</v>
      </c>
      <c r="C165" s="174">
        <v>44044</v>
      </c>
      <c r="D165" s="175">
        <f t="shared" si="14"/>
        <v>6474.0216101694914</v>
      </c>
      <c r="E165" s="7"/>
      <c r="F165" s="172">
        <f t="shared" si="15"/>
        <v>6474.0216101694914</v>
      </c>
      <c r="G165" s="182">
        <v>31</v>
      </c>
      <c r="H165" s="84"/>
      <c r="I165" s="211"/>
      <c r="J165" s="84"/>
      <c r="K165" s="84"/>
      <c r="L165" s="84"/>
      <c r="M165" s="84"/>
    </row>
    <row r="166" spans="1:13" x14ac:dyDescent="0.2">
      <c r="A166" s="1" t="s">
        <v>37</v>
      </c>
      <c r="B166" s="1" t="s">
        <v>5</v>
      </c>
      <c r="C166" s="174">
        <v>44075</v>
      </c>
      <c r="D166" s="175">
        <f t="shared" si="14"/>
        <v>6265.1822033898297</v>
      </c>
      <c r="E166" s="7"/>
      <c r="F166" s="172">
        <f t="shared" si="15"/>
        <v>6265.1822033898297</v>
      </c>
      <c r="G166" s="182">
        <v>30</v>
      </c>
      <c r="H166" s="84"/>
      <c r="I166" s="211"/>
      <c r="J166" s="84"/>
      <c r="K166" s="84"/>
      <c r="L166" s="84"/>
      <c r="M166" s="84"/>
    </row>
    <row r="167" spans="1:13" x14ac:dyDescent="0.2">
      <c r="A167" s="15">
        <v>0</v>
      </c>
      <c r="B167" s="6">
        <v>43997</v>
      </c>
      <c r="C167" s="174">
        <v>44105</v>
      </c>
      <c r="D167" s="175">
        <f t="shared" si="14"/>
        <v>6474.0216101694914</v>
      </c>
      <c r="E167" s="175"/>
      <c r="F167" s="172">
        <f t="shared" si="15"/>
        <v>6474.0216101694914</v>
      </c>
      <c r="G167" s="182">
        <v>31</v>
      </c>
      <c r="H167" s="84"/>
      <c r="I167" s="211"/>
      <c r="J167" s="84"/>
      <c r="K167" s="84"/>
      <c r="L167" s="84"/>
      <c r="M167" s="84"/>
    </row>
    <row r="168" spans="1:13" x14ac:dyDescent="0.2">
      <c r="A168" s="29" t="s">
        <v>7</v>
      </c>
      <c r="B168" s="1" t="s">
        <v>159</v>
      </c>
      <c r="C168" s="174">
        <v>44136</v>
      </c>
      <c r="D168" s="175">
        <f t="shared" si="14"/>
        <v>6265.1822033898297</v>
      </c>
      <c r="E168" s="175"/>
      <c r="F168" s="172">
        <f t="shared" si="15"/>
        <v>6265.1822033898297</v>
      </c>
      <c r="G168" s="182">
        <v>30</v>
      </c>
      <c r="H168" s="84"/>
      <c r="I168" s="211"/>
      <c r="J168" s="84"/>
      <c r="K168" s="84"/>
      <c r="L168" s="84"/>
      <c r="M168" s="84"/>
    </row>
    <row r="169" spans="1:13" x14ac:dyDescent="0.2">
      <c r="A169" s="28">
        <f>A163+A165</f>
        <v>888781.86</v>
      </c>
      <c r="B169" s="2">
        <v>44469</v>
      </c>
      <c r="C169" s="174">
        <v>44166</v>
      </c>
      <c r="D169" s="175">
        <f t="shared" si="14"/>
        <v>6474.0216101694914</v>
      </c>
      <c r="E169" s="175"/>
      <c r="F169" s="172">
        <f t="shared" si="15"/>
        <v>6474.0216101694914</v>
      </c>
      <c r="G169" s="182">
        <v>31</v>
      </c>
      <c r="H169" s="84"/>
      <c r="I169" s="211"/>
      <c r="J169" s="84"/>
      <c r="K169" s="84"/>
      <c r="L169" s="84"/>
      <c r="M169" s="84"/>
    </row>
    <row r="170" spans="1:13" x14ac:dyDescent="0.2">
      <c r="B170" s="1" t="s">
        <v>8</v>
      </c>
      <c r="C170" s="174">
        <v>44197</v>
      </c>
      <c r="D170" s="175">
        <f t="shared" si="14"/>
        <v>6474.0216101694914</v>
      </c>
      <c r="E170" s="175"/>
      <c r="F170" s="172">
        <f t="shared" si="15"/>
        <v>6474.0216101694914</v>
      </c>
      <c r="G170" s="182">
        <v>31</v>
      </c>
      <c r="H170" s="84"/>
      <c r="I170" s="211"/>
      <c r="J170" s="84"/>
      <c r="K170" s="84"/>
      <c r="L170" s="84"/>
      <c r="M170" s="84"/>
    </row>
    <row r="171" spans="1:13" x14ac:dyDescent="0.2">
      <c r="B171" s="14">
        <f>A165+A167</f>
        <v>98572.2</v>
      </c>
      <c r="C171" s="174">
        <v>44228</v>
      </c>
      <c r="D171" s="175">
        <f t="shared" si="14"/>
        <v>5847.5033898305082</v>
      </c>
      <c r="E171" s="175"/>
      <c r="F171" s="172">
        <f t="shared" si="15"/>
        <v>5847.5033898305082</v>
      </c>
      <c r="G171" s="182">
        <v>28</v>
      </c>
      <c r="H171" s="84"/>
      <c r="I171" s="211"/>
      <c r="J171" s="84"/>
      <c r="K171" s="84"/>
      <c r="L171" s="84"/>
      <c r="M171" s="84"/>
    </row>
    <row r="172" spans="1:13" x14ac:dyDescent="0.2">
      <c r="A172" s="13" t="s">
        <v>170</v>
      </c>
      <c r="C172" s="174">
        <v>44256</v>
      </c>
      <c r="D172" s="175">
        <f>$A$165/$G$179*G172</f>
        <v>6474.0216101694914</v>
      </c>
      <c r="F172" s="172">
        <f t="shared" si="15"/>
        <v>6474.0216101694914</v>
      </c>
      <c r="G172" s="182">
        <v>31</v>
      </c>
      <c r="H172" s="84"/>
      <c r="I172" s="211"/>
      <c r="J172" s="84"/>
      <c r="K172" s="84"/>
      <c r="L172" s="84"/>
      <c r="M172" s="84"/>
    </row>
    <row r="173" spans="1:13" x14ac:dyDescent="0.2">
      <c r="A173" s="18">
        <v>285427.24</v>
      </c>
      <c r="B173" s="52" t="s">
        <v>192</v>
      </c>
      <c r="C173" s="174">
        <v>44287</v>
      </c>
      <c r="D173" s="175">
        <f t="shared" si="14"/>
        <v>6265.1822033898297</v>
      </c>
      <c r="F173" s="172">
        <f t="shared" si="15"/>
        <v>6265.1822033898297</v>
      </c>
      <c r="G173" s="182">
        <v>30</v>
      </c>
      <c r="H173" s="84"/>
      <c r="I173" s="213"/>
      <c r="J173" s="84"/>
      <c r="K173" s="84"/>
      <c r="L173" s="84"/>
      <c r="M173" s="84"/>
    </row>
    <row r="174" spans="1:13" x14ac:dyDescent="0.2">
      <c r="A174" s="18">
        <v>307230</v>
      </c>
      <c r="B174" s="52" t="s">
        <v>193</v>
      </c>
      <c r="C174" s="174">
        <v>44317</v>
      </c>
      <c r="D174" s="175">
        <f t="shared" si="14"/>
        <v>6474.0216101694914</v>
      </c>
      <c r="F174" s="172">
        <f t="shared" si="15"/>
        <v>6474.0216101694914</v>
      </c>
      <c r="G174" s="182">
        <v>31</v>
      </c>
      <c r="H174" s="84"/>
      <c r="I174" s="99"/>
      <c r="J174" s="84"/>
      <c r="K174" s="84"/>
      <c r="L174" s="84"/>
      <c r="M174" s="84"/>
    </row>
    <row r="175" spans="1:13" x14ac:dyDescent="0.2">
      <c r="A175" s="18">
        <v>197552.42</v>
      </c>
      <c r="B175" s="18" t="s">
        <v>194</v>
      </c>
      <c r="C175" s="174">
        <v>44348</v>
      </c>
      <c r="D175" s="175">
        <f t="shared" si="14"/>
        <v>6265.1822033898297</v>
      </c>
      <c r="E175" s="209"/>
      <c r="F175" s="172">
        <f t="shared" si="15"/>
        <v>6265.1822033898297</v>
      </c>
      <c r="G175" s="182">
        <v>30</v>
      </c>
      <c r="H175" s="84"/>
      <c r="I175" s="99"/>
      <c r="J175" s="84"/>
      <c r="K175" s="84"/>
      <c r="L175" s="84"/>
      <c r="M175" s="84"/>
    </row>
    <row r="176" spans="1:13" x14ac:dyDescent="0.2">
      <c r="A176" s="51">
        <f>SUM(A173:A175)</f>
        <v>790209.66</v>
      </c>
      <c r="C176" s="174">
        <v>44378</v>
      </c>
      <c r="D176" s="175">
        <f t="shared" si="14"/>
        <v>6474.0216101694914</v>
      </c>
      <c r="E176" s="209"/>
      <c r="F176" s="172">
        <f t="shared" si="15"/>
        <v>6474.0216101694914</v>
      </c>
      <c r="G176" s="182">
        <v>31</v>
      </c>
      <c r="H176" s="84"/>
      <c r="I176" s="211"/>
      <c r="J176" s="84"/>
      <c r="K176" s="84"/>
      <c r="L176" s="84"/>
      <c r="M176" s="84"/>
    </row>
    <row r="177" spans="1:13" x14ac:dyDescent="0.2">
      <c r="B177" s="27"/>
      <c r="C177" s="174">
        <v>44409</v>
      </c>
      <c r="D177" s="175">
        <f t="shared" si="14"/>
        <v>6474.0216101694914</v>
      </c>
      <c r="E177" s="209"/>
      <c r="F177" s="172">
        <f t="shared" si="15"/>
        <v>6474.0216101694914</v>
      </c>
      <c r="G177" s="182">
        <v>31</v>
      </c>
      <c r="H177" s="214"/>
      <c r="I177" s="84"/>
      <c r="J177" s="84"/>
      <c r="K177" s="99"/>
      <c r="L177" s="215"/>
      <c r="M177" s="84"/>
    </row>
    <row r="178" spans="1:13" x14ac:dyDescent="0.2">
      <c r="C178" s="174">
        <v>44440</v>
      </c>
      <c r="D178" s="175">
        <f t="shared" si="14"/>
        <v>6265.1822033898297</v>
      </c>
      <c r="E178" s="175"/>
      <c r="F178" s="172">
        <f t="shared" si="15"/>
        <v>6265.1822033898297</v>
      </c>
      <c r="G178" s="12">
        <v>30</v>
      </c>
      <c r="H178" s="84"/>
      <c r="I178" s="84"/>
      <c r="J178" s="84"/>
      <c r="K178" s="84"/>
      <c r="L178" s="84"/>
      <c r="M178" s="84"/>
    </row>
    <row r="179" spans="1:13" x14ac:dyDescent="0.2">
      <c r="A179" s="27"/>
      <c r="C179" s="17" t="s">
        <v>4</v>
      </c>
      <c r="D179" s="26">
        <f>SUM(D162:D178)</f>
        <v>98572.200000000012</v>
      </c>
      <c r="E179" s="26"/>
      <c r="F179" s="173">
        <f>SUM(F162:F178)</f>
        <v>98572.200000000012</v>
      </c>
      <c r="G179" s="17">
        <f>SUM(G162:G178)</f>
        <v>472</v>
      </c>
      <c r="H179" s="84"/>
      <c r="I179" s="84"/>
      <c r="J179" s="84"/>
      <c r="K179" s="84"/>
      <c r="L179" s="84"/>
      <c r="M179" s="84"/>
    </row>
    <row r="180" spans="1:13" x14ac:dyDescent="0.2">
      <c r="A180" s="27" t="s">
        <v>30</v>
      </c>
      <c r="B180" t="s">
        <v>175</v>
      </c>
      <c r="C180" s="3"/>
      <c r="D180" s="4"/>
      <c r="E180" s="4"/>
      <c r="F180" s="13"/>
    </row>
    <row r="182" spans="1:13" ht="13.5" thickBot="1" x14ac:dyDescent="0.25">
      <c r="A182" s="282" t="s">
        <v>199</v>
      </c>
      <c r="B182" s="282"/>
      <c r="C182" s="282"/>
      <c r="D182" s="282"/>
      <c r="E182" s="282"/>
      <c r="F182" s="282"/>
      <c r="G182" s="282"/>
      <c r="H182" s="282"/>
      <c r="I182" s="282"/>
      <c r="J182" s="282"/>
      <c r="K182" s="233"/>
      <c r="L182" s="233"/>
    </row>
    <row r="183" spans="1:13" x14ac:dyDescent="0.2">
      <c r="A183" s="1" t="s">
        <v>3</v>
      </c>
      <c r="B183" s="217" t="s">
        <v>1</v>
      </c>
      <c r="C183" s="223"/>
      <c r="D183" s="224" t="s">
        <v>9</v>
      </c>
      <c r="E183" s="224"/>
      <c r="F183" s="224" t="s">
        <v>4</v>
      </c>
      <c r="G183" s="225" t="s">
        <v>164</v>
      </c>
    </row>
    <row r="184" spans="1:13" x14ac:dyDescent="0.2">
      <c r="A184" s="5">
        <v>300920</v>
      </c>
      <c r="B184" s="218">
        <f>(1+B186)^12-1</f>
        <v>9.5110406408293935E-2</v>
      </c>
      <c r="C184" s="226"/>
      <c r="D184" s="8">
        <f>A188</f>
        <v>393968.04</v>
      </c>
      <c r="E184" s="16"/>
      <c r="F184" s="16">
        <f>D184+E184</f>
        <v>393968.04</v>
      </c>
      <c r="G184" s="227" t="s">
        <v>11</v>
      </c>
      <c r="H184" s="48" t="s">
        <v>197</v>
      </c>
      <c r="I184" s="48" t="s">
        <v>82</v>
      </c>
      <c r="J184" s="234" t="s">
        <v>198</v>
      </c>
      <c r="K184" s="234" t="s">
        <v>82</v>
      </c>
    </row>
    <row r="185" spans="1:13" x14ac:dyDescent="0.2">
      <c r="A185" s="1" t="s">
        <v>10</v>
      </c>
      <c r="B185" s="217" t="s">
        <v>2</v>
      </c>
      <c r="C185" s="243">
        <v>44013</v>
      </c>
      <c r="D185" s="245">
        <f t="shared" ref="D185:D196" si="16">$D$184/$G$198*G185</f>
        <v>9215.626666666667</v>
      </c>
      <c r="E185" s="246"/>
      <c r="F185" s="235">
        <f>D185+E185</f>
        <v>9215.626666666667</v>
      </c>
      <c r="G185" s="229">
        <v>8</v>
      </c>
      <c r="H185" s="236">
        <v>15705</v>
      </c>
      <c r="I185" s="240">
        <v>159800</v>
      </c>
      <c r="J185" s="241">
        <v>44377</v>
      </c>
      <c r="K185" s="210">
        <v>5786933.0700000003</v>
      </c>
      <c r="L185" s="84"/>
    </row>
    <row r="186" spans="1:13" x14ac:dyDescent="0.2">
      <c r="A186" s="9">
        <v>5392965.0300000003</v>
      </c>
      <c r="B186" s="218">
        <v>7.6E-3</v>
      </c>
      <c r="C186" s="243">
        <v>44044</v>
      </c>
      <c r="D186" s="245">
        <f t="shared" si="16"/>
        <v>35710.553333333337</v>
      </c>
      <c r="E186" s="247"/>
      <c r="F186" s="235">
        <f>D186+E186</f>
        <v>35710.553333333337</v>
      </c>
      <c r="G186" s="229">
        <v>31</v>
      </c>
      <c r="H186" s="236">
        <v>15706</v>
      </c>
      <c r="I186" s="240">
        <v>127840</v>
      </c>
      <c r="J186" s="84"/>
      <c r="K186" s="37"/>
      <c r="L186" s="84"/>
    </row>
    <row r="187" spans="1:13" x14ac:dyDescent="0.2">
      <c r="A187" s="1" t="s">
        <v>6</v>
      </c>
      <c r="B187" s="217" t="s">
        <v>15</v>
      </c>
      <c r="C187" s="244">
        <v>44075</v>
      </c>
      <c r="D187" s="245">
        <f t="shared" si="16"/>
        <v>34558.6</v>
      </c>
      <c r="E187" s="248">
        <f>SUM(D185:D187)</f>
        <v>79484.78</v>
      </c>
      <c r="F187" s="235">
        <f t="shared" ref="F187:F196" si="17">D187+E187</f>
        <v>114043.38</v>
      </c>
      <c r="G187" s="229">
        <v>30</v>
      </c>
      <c r="H187" s="37">
        <v>15773</v>
      </c>
      <c r="I187" s="210">
        <v>210936</v>
      </c>
      <c r="J187" s="84"/>
      <c r="K187" s="212"/>
      <c r="L187" s="84"/>
    </row>
    <row r="188" spans="1:13" x14ac:dyDescent="0.2">
      <c r="A188" s="32">
        <v>393968.04</v>
      </c>
      <c r="B188" s="218">
        <f>(1+B186)^(1/30)-1</f>
        <v>2.5240736592380131E-4</v>
      </c>
      <c r="C188" s="254">
        <v>44105</v>
      </c>
      <c r="D188" s="255">
        <f t="shared" si="16"/>
        <v>35710.553333333337</v>
      </c>
      <c r="E188" s="7"/>
      <c r="F188" s="256">
        <f t="shared" si="17"/>
        <v>35710.553333333337</v>
      </c>
      <c r="G188" s="229">
        <v>31</v>
      </c>
      <c r="H188" s="37">
        <v>15779</v>
      </c>
      <c r="I188" s="211">
        <v>524435</v>
      </c>
      <c r="J188" s="84"/>
      <c r="K188" s="84"/>
      <c r="L188" s="84"/>
    </row>
    <row r="189" spans="1:13" x14ac:dyDescent="0.2">
      <c r="A189" s="1" t="s">
        <v>37</v>
      </c>
      <c r="B189" s="217" t="s">
        <v>5</v>
      </c>
      <c r="C189" s="254">
        <v>44136</v>
      </c>
      <c r="D189" s="255">
        <f t="shared" si="16"/>
        <v>34558.6</v>
      </c>
      <c r="E189" s="175"/>
      <c r="F189" s="256">
        <f t="shared" si="17"/>
        <v>34558.6</v>
      </c>
      <c r="G189" s="229">
        <v>30</v>
      </c>
      <c r="H189" s="37">
        <v>15781</v>
      </c>
      <c r="I189" s="211">
        <v>230112</v>
      </c>
      <c r="J189" s="84"/>
      <c r="K189" s="84"/>
      <c r="L189" s="84"/>
    </row>
    <row r="190" spans="1:13" x14ac:dyDescent="0.2">
      <c r="A190" s="15">
        <v>0</v>
      </c>
      <c r="B190" s="219">
        <v>44104</v>
      </c>
      <c r="C190" s="254">
        <v>44166</v>
      </c>
      <c r="D190" s="255">
        <f t="shared" si="16"/>
        <v>35710.553333333337</v>
      </c>
      <c r="E190" s="175"/>
      <c r="F190" s="256">
        <f t="shared" si="17"/>
        <v>35710.553333333337</v>
      </c>
      <c r="G190" s="229">
        <v>31</v>
      </c>
      <c r="H190" s="37">
        <v>15850</v>
      </c>
      <c r="I190" s="211">
        <v>44744</v>
      </c>
      <c r="J190" s="84"/>
      <c r="K190" s="84"/>
      <c r="L190" s="84"/>
    </row>
    <row r="191" spans="1:13" x14ac:dyDescent="0.2">
      <c r="A191" s="29" t="s">
        <v>7</v>
      </c>
      <c r="B191" s="217" t="s">
        <v>159</v>
      </c>
      <c r="C191" s="254">
        <v>44197</v>
      </c>
      <c r="D191" s="255">
        <f t="shared" si="16"/>
        <v>35710.553333333337</v>
      </c>
      <c r="E191" s="175"/>
      <c r="F191" s="256">
        <f t="shared" si="17"/>
        <v>35710.553333333337</v>
      </c>
      <c r="G191" s="229">
        <v>31</v>
      </c>
      <c r="H191" s="37">
        <v>15967</v>
      </c>
      <c r="I191" s="211">
        <v>630075</v>
      </c>
      <c r="J191" s="84"/>
      <c r="K191" s="84"/>
      <c r="L191" s="84"/>
    </row>
    <row r="192" spans="1:13" x14ac:dyDescent="0.2">
      <c r="A192" s="28">
        <f>A186+A188</f>
        <v>5786933.0700000003</v>
      </c>
      <c r="B192" s="220">
        <v>44377</v>
      </c>
      <c r="C192" s="254">
        <v>44228</v>
      </c>
      <c r="D192" s="255">
        <f t="shared" si="16"/>
        <v>32254.693333333336</v>
      </c>
      <c r="E192" s="175"/>
      <c r="F192" s="256">
        <f t="shared" si="17"/>
        <v>32254.693333333336</v>
      </c>
      <c r="G192" s="229">
        <v>28</v>
      </c>
      <c r="H192" s="37">
        <v>15971</v>
      </c>
      <c r="I192" s="211">
        <v>504060</v>
      </c>
      <c r="J192" s="84"/>
      <c r="K192" s="84"/>
      <c r="L192" s="84"/>
    </row>
    <row r="193" spans="1:12" x14ac:dyDescent="0.2">
      <c r="B193" s="217" t="s">
        <v>8</v>
      </c>
      <c r="C193" s="254">
        <v>44256</v>
      </c>
      <c r="D193" s="255">
        <f t="shared" si="16"/>
        <v>35710.553333333337</v>
      </c>
      <c r="E193" s="64"/>
      <c r="F193" s="256">
        <f t="shared" si="17"/>
        <v>35710.553333333337</v>
      </c>
      <c r="G193" s="229">
        <v>31</v>
      </c>
      <c r="H193" s="37">
        <v>16044</v>
      </c>
      <c r="I193" s="211">
        <v>327639</v>
      </c>
      <c r="J193" s="84"/>
      <c r="K193" s="84"/>
      <c r="L193" s="84"/>
    </row>
    <row r="194" spans="1:12" x14ac:dyDescent="0.2">
      <c r="B194" s="221">
        <f>A188+A190</f>
        <v>393968.04</v>
      </c>
      <c r="C194" s="254">
        <v>44287</v>
      </c>
      <c r="D194" s="255">
        <f t="shared" si="16"/>
        <v>34558.6</v>
      </c>
      <c r="E194" s="64"/>
      <c r="F194" s="256">
        <f t="shared" si="17"/>
        <v>34558.6</v>
      </c>
      <c r="G194" s="229">
        <v>30</v>
      </c>
      <c r="H194" s="37">
        <v>16045</v>
      </c>
      <c r="I194" s="211">
        <v>378045.24</v>
      </c>
      <c r="J194" s="84"/>
      <c r="K194" s="84"/>
      <c r="L194" s="84"/>
    </row>
    <row r="195" spans="1:12" x14ac:dyDescent="0.2">
      <c r="A195" s="13"/>
      <c r="C195" s="254">
        <v>44317</v>
      </c>
      <c r="D195" s="255">
        <f t="shared" si="16"/>
        <v>35710.553333333337</v>
      </c>
      <c r="E195" s="261"/>
      <c r="F195" s="256">
        <f t="shared" si="17"/>
        <v>35710.553333333337</v>
      </c>
      <c r="G195" s="229">
        <v>31</v>
      </c>
      <c r="H195" s="37">
        <v>16092</v>
      </c>
      <c r="I195" s="211">
        <v>756089.99</v>
      </c>
      <c r="J195" s="84"/>
      <c r="K195" s="84"/>
      <c r="L195" s="84"/>
    </row>
    <row r="196" spans="1:12" x14ac:dyDescent="0.2">
      <c r="A196" s="18"/>
      <c r="B196" s="52"/>
      <c r="C196" s="254">
        <v>44348</v>
      </c>
      <c r="D196" s="255">
        <f t="shared" si="16"/>
        <v>34558.6</v>
      </c>
      <c r="E196" s="262"/>
      <c r="F196" s="256">
        <f t="shared" si="17"/>
        <v>34558.6</v>
      </c>
      <c r="G196" s="229">
        <v>30</v>
      </c>
      <c r="H196" s="37">
        <v>16404</v>
      </c>
      <c r="I196" s="211">
        <v>254068.8</v>
      </c>
      <c r="J196" s="84"/>
      <c r="K196" s="84"/>
      <c r="L196" s="84"/>
    </row>
    <row r="197" spans="1:12" ht="13.5" thickBot="1" x14ac:dyDescent="0.25">
      <c r="A197" s="27" t="s">
        <v>30</v>
      </c>
      <c r="B197" t="s">
        <v>196</v>
      </c>
      <c r="C197" s="230"/>
      <c r="D197" s="238"/>
      <c r="E197" s="231"/>
      <c r="F197" s="239"/>
      <c r="G197" s="232"/>
      <c r="H197" s="37">
        <v>16374</v>
      </c>
      <c r="I197" s="210">
        <v>101960</v>
      </c>
      <c r="J197" s="84"/>
    </row>
    <row r="198" spans="1:12" x14ac:dyDescent="0.2">
      <c r="C198" s="222" t="s">
        <v>4</v>
      </c>
      <c r="D198" s="193">
        <f>SUM(D185:D197)</f>
        <v>393968.04</v>
      </c>
      <c r="E198" s="193"/>
      <c r="F198" s="198">
        <f>SUM(F185:F197)</f>
        <v>473452.82</v>
      </c>
      <c r="G198" s="222">
        <f>SUM(G185:G197)</f>
        <v>342</v>
      </c>
      <c r="H198" s="37">
        <v>16373</v>
      </c>
      <c r="I198" s="99">
        <v>225520</v>
      </c>
    </row>
    <row r="199" spans="1:12" x14ac:dyDescent="0.2">
      <c r="H199" s="37">
        <v>16377</v>
      </c>
      <c r="I199" s="210">
        <v>917640</v>
      </c>
    </row>
    <row r="200" spans="1:12" x14ac:dyDescent="0.2">
      <c r="I200" s="242">
        <f>SUM(I185:I199)</f>
        <v>5392965.0300000003</v>
      </c>
    </row>
    <row r="202" spans="1:12" ht="13.5" thickBot="1" x14ac:dyDescent="0.25">
      <c r="A202" s="282" t="s">
        <v>200</v>
      </c>
      <c r="B202" s="282"/>
      <c r="C202" s="282"/>
      <c r="D202" s="282"/>
      <c r="E202" s="282"/>
      <c r="F202" s="282"/>
      <c r="G202" s="282"/>
      <c r="H202" s="282"/>
      <c r="I202" s="282"/>
      <c r="J202" s="282"/>
      <c r="K202" s="233"/>
    </row>
    <row r="203" spans="1:12" x14ac:dyDescent="0.2">
      <c r="A203" s="1" t="s">
        <v>3</v>
      </c>
      <c r="B203" s="217" t="s">
        <v>1</v>
      </c>
      <c r="C203" s="223"/>
      <c r="D203" s="224" t="s">
        <v>9</v>
      </c>
      <c r="E203" s="224"/>
      <c r="F203" s="224" t="s">
        <v>4</v>
      </c>
      <c r="G203" s="225" t="s">
        <v>164</v>
      </c>
    </row>
    <row r="204" spans="1:12" x14ac:dyDescent="0.2">
      <c r="A204" s="5">
        <v>30921</v>
      </c>
      <c r="B204" s="218">
        <f>(1+B206)^12-1</f>
        <v>8.4722085025153548E-2</v>
      </c>
      <c r="C204" s="226"/>
      <c r="D204" s="8">
        <f>A208</f>
        <v>96545.73</v>
      </c>
      <c r="E204" s="16"/>
      <c r="F204" s="16">
        <f t="shared" ref="F204:F213" si="18">D204+E204</f>
        <v>96545.73</v>
      </c>
      <c r="G204" s="227" t="s">
        <v>11</v>
      </c>
      <c r="H204" s="283" t="s">
        <v>201</v>
      </c>
      <c r="I204" s="284"/>
      <c r="J204" s="234" t="s">
        <v>198</v>
      </c>
      <c r="K204" s="234" t="s">
        <v>82</v>
      </c>
    </row>
    <row r="205" spans="1:12" x14ac:dyDescent="0.2">
      <c r="A205" s="1" t="s">
        <v>10</v>
      </c>
      <c r="B205" s="217" t="s">
        <v>2</v>
      </c>
      <c r="C205" s="254">
        <v>44105</v>
      </c>
      <c r="D205" s="255">
        <f>$D$204/$G$218*G205</f>
        <v>4413.5190857142852</v>
      </c>
      <c r="E205" s="7"/>
      <c r="F205" s="256">
        <f t="shared" si="18"/>
        <v>4413.5190857142852</v>
      </c>
      <c r="G205" s="229">
        <v>16</v>
      </c>
      <c r="H205" s="236"/>
      <c r="I205" s="240"/>
      <c r="J205" s="241">
        <v>44469</v>
      </c>
      <c r="K205" s="210">
        <v>1270645.0900000001</v>
      </c>
    </row>
    <row r="206" spans="1:12" x14ac:dyDescent="0.2">
      <c r="A206" s="9">
        <v>1174099.3700000001</v>
      </c>
      <c r="B206" s="218">
        <v>6.7999999999999996E-3</v>
      </c>
      <c r="C206" s="254">
        <v>44136</v>
      </c>
      <c r="D206" s="255">
        <f t="shared" ref="D206:D216" si="19">$D$204/$G$218*G206</f>
        <v>8275.3482857142844</v>
      </c>
      <c r="E206" s="175"/>
      <c r="F206" s="256">
        <f t="shared" si="18"/>
        <v>8275.3482857142844</v>
      </c>
      <c r="G206" s="229">
        <v>30</v>
      </c>
      <c r="H206" s="285" t="s">
        <v>194</v>
      </c>
      <c r="I206" s="286"/>
      <c r="J206" s="84"/>
      <c r="K206" s="37"/>
    </row>
    <row r="207" spans="1:12" x14ac:dyDescent="0.2">
      <c r="A207" s="1" t="s">
        <v>6</v>
      </c>
      <c r="B207" s="217" t="s">
        <v>15</v>
      </c>
      <c r="C207" s="254">
        <v>44166</v>
      </c>
      <c r="D207" s="255">
        <f t="shared" si="19"/>
        <v>8551.1932285714283</v>
      </c>
      <c r="E207" s="175"/>
      <c r="F207" s="256">
        <f t="shared" si="18"/>
        <v>8551.1932285714283</v>
      </c>
      <c r="G207" s="229">
        <v>31</v>
      </c>
      <c r="H207" s="250" t="s">
        <v>202</v>
      </c>
      <c r="I207" s="251" t="s">
        <v>203</v>
      </c>
      <c r="J207" s="84"/>
      <c r="K207" s="212"/>
    </row>
    <row r="208" spans="1:12" x14ac:dyDescent="0.2">
      <c r="A208" s="32">
        <v>96545.73</v>
      </c>
      <c r="B208" s="218">
        <f>(1+B206)^(1/30)-1</f>
        <v>2.2592499317553028E-4</v>
      </c>
      <c r="C208" s="254">
        <v>44197</v>
      </c>
      <c r="D208" s="255">
        <f t="shared" si="19"/>
        <v>8551.1932285714283</v>
      </c>
      <c r="E208" s="175"/>
      <c r="F208" s="256">
        <f t="shared" si="18"/>
        <v>8551.1932285714283</v>
      </c>
      <c r="G208" s="229">
        <v>31</v>
      </c>
      <c r="H208" s="37">
        <v>27755</v>
      </c>
      <c r="I208" s="211">
        <v>716800</v>
      </c>
      <c r="J208" s="84"/>
      <c r="K208" s="84"/>
    </row>
    <row r="209" spans="1:11" x14ac:dyDescent="0.2">
      <c r="A209" s="1" t="s">
        <v>37</v>
      </c>
      <c r="B209" s="217" t="s">
        <v>5</v>
      </c>
      <c r="C209" s="254">
        <v>44228</v>
      </c>
      <c r="D209" s="255">
        <f t="shared" si="19"/>
        <v>7723.6583999999993</v>
      </c>
      <c r="E209" s="175"/>
      <c r="F209" s="256">
        <f t="shared" si="18"/>
        <v>7723.6583999999993</v>
      </c>
      <c r="G209" s="229">
        <v>28</v>
      </c>
      <c r="H209" s="37">
        <v>27843</v>
      </c>
      <c r="I209" s="211">
        <v>67498.37</v>
      </c>
      <c r="J209" s="84"/>
      <c r="K209" s="84"/>
    </row>
    <row r="210" spans="1:11" x14ac:dyDescent="0.2">
      <c r="A210" s="15">
        <v>0</v>
      </c>
      <c r="B210" s="219">
        <v>44119</v>
      </c>
      <c r="C210" s="254">
        <v>44256</v>
      </c>
      <c r="D210" s="255">
        <f t="shared" si="19"/>
        <v>8551.1932285714283</v>
      </c>
      <c r="E210" s="64"/>
      <c r="F210" s="256">
        <f t="shared" si="18"/>
        <v>8551.1932285714283</v>
      </c>
      <c r="G210" s="229">
        <v>31</v>
      </c>
      <c r="H210" s="37"/>
      <c r="I210" s="253">
        <f>SUM(I208:I209)</f>
        <v>784298.37</v>
      </c>
      <c r="J210" s="84"/>
      <c r="K210" s="84"/>
    </row>
    <row r="211" spans="1:11" x14ac:dyDescent="0.2">
      <c r="A211" s="29" t="s">
        <v>7</v>
      </c>
      <c r="B211" s="249"/>
      <c r="C211" s="254">
        <v>44287</v>
      </c>
      <c r="D211" s="255">
        <f t="shared" si="19"/>
        <v>8275.3482857142844</v>
      </c>
      <c r="E211" s="64"/>
      <c r="F211" s="256">
        <f t="shared" si="18"/>
        <v>8275.3482857142844</v>
      </c>
      <c r="G211" s="229">
        <v>30</v>
      </c>
      <c r="H211" s="37"/>
      <c r="I211" s="211"/>
      <c r="J211" s="84"/>
      <c r="K211" s="84"/>
    </row>
    <row r="212" spans="1:11" x14ac:dyDescent="0.2">
      <c r="A212" s="28">
        <f>A206+A208</f>
        <v>1270645.1000000001</v>
      </c>
      <c r="B212" s="220">
        <v>44469</v>
      </c>
      <c r="C212" s="254">
        <v>44317</v>
      </c>
      <c r="D212" s="255">
        <f t="shared" si="19"/>
        <v>8551.1932285714283</v>
      </c>
      <c r="E212" s="64"/>
      <c r="F212" s="256">
        <f t="shared" si="18"/>
        <v>8551.1932285714283</v>
      </c>
      <c r="G212" s="229">
        <v>31</v>
      </c>
      <c r="H212" s="285" t="s">
        <v>204</v>
      </c>
      <c r="I212" s="286"/>
      <c r="J212" s="84"/>
      <c r="K212" s="84"/>
    </row>
    <row r="213" spans="1:11" x14ac:dyDescent="0.2">
      <c r="B213" s="217" t="s">
        <v>8</v>
      </c>
      <c r="C213" s="254">
        <v>44348</v>
      </c>
      <c r="D213" s="255">
        <f t="shared" si="19"/>
        <v>8275.3482857142844</v>
      </c>
      <c r="E213" s="261"/>
      <c r="F213" s="256">
        <f t="shared" si="18"/>
        <v>8275.3482857142844</v>
      </c>
      <c r="G213" s="229">
        <v>30</v>
      </c>
      <c r="H213" s="250" t="s">
        <v>205</v>
      </c>
      <c r="I213" s="251" t="s">
        <v>203</v>
      </c>
      <c r="J213" s="84"/>
      <c r="K213" s="84"/>
    </row>
    <row r="214" spans="1:11" x14ac:dyDescent="0.2">
      <c r="B214" s="221">
        <f>A208+A210</f>
        <v>96545.73</v>
      </c>
      <c r="C214" s="254">
        <v>44378</v>
      </c>
      <c r="D214" s="255">
        <f t="shared" si="19"/>
        <v>8551.1932285714283</v>
      </c>
      <c r="E214" s="209"/>
      <c r="F214" s="256">
        <f t="shared" ref="F214:F216" si="20">D214+E214</f>
        <v>8551.1932285714283</v>
      </c>
      <c r="G214" s="229">
        <v>31</v>
      </c>
      <c r="H214" s="37">
        <v>340315</v>
      </c>
      <c r="I214" s="211">
        <f>35800-7799.01</f>
        <v>28000.989999999998</v>
      </c>
      <c r="J214" s="252" t="s">
        <v>206</v>
      </c>
      <c r="K214" s="84"/>
    </row>
    <row r="215" spans="1:11" x14ac:dyDescent="0.2">
      <c r="A215" s="13"/>
      <c r="C215" s="254">
        <v>44409</v>
      </c>
      <c r="D215" s="255">
        <f t="shared" si="19"/>
        <v>8551.1932285714283</v>
      </c>
      <c r="E215" s="209"/>
      <c r="F215" s="256">
        <f t="shared" si="20"/>
        <v>8551.1932285714283</v>
      </c>
      <c r="G215" s="265">
        <v>31</v>
      </c>
      <c r="H215" s="37">
        <v>340920</v>
      </c>
      <c r="I215" s="211">
        <v>361800</v>
      </c>
      <c r="J215" s="84"/>
      <c r="K215" s="84"/>
    </row>
    <row r="216" spans="1:11" x14ac:dyDescent="0.2">
      <c r="A216" s="18"/>
      <c r="B216" s="52"/>
      <c r="C216" s="254">
        <v>44440</v>
      </c>
      <c r="D216" s="255">
        <f t="shared" si="19"/>
        <v>8275.3482857142844</v>
      </c>
      <c r="E216" s="209"/>
      <c r="F216" s="256">
        <f t="shared" si="20"/>
        <v>8275.3482857142844</v>
      </c>
      <c r="G216" s="265">
        <v>30</v>
      </c>
      <c r="H216" s="37"/>
      <c r="I216" s="253">
        <f>SUM(I214:I215)</f>
        <v>389800.99</v>
      </c>
      <c r="J216" s="84"/>
      <c r="K216" s="84"/>
    </row>
    <row r="217" spans="1:11" ht="13.5" thickBot="1" x14ac:dyDescent="0.25">
      <c r="A217" s="27" t="s">
        <v>30</v>
      </c>
      <c r="B217" t="s">
        <v>196</v>
      </c>
      <c r="C217" s="230"/>
      <c r="D217" s="238"/>
      <c r="E217" s="231"/>
      <c r="F217" s="239"/>
      <c r="G217" s="232"/>
      <c r="H217" s="37"/>
      <c r="I217" s="210"/>
      <c r="J217" s="84"/>
    </row>
    <row r="218" spans="1:11" x14ac:dyDescent="0.2">
      <c r="C218" s="222" t="s">
        <v>4</v>
      </c>
      <c r="D218" s="193">
        <f>SUM(D205:D217)</f>
        <v>96545.729999999981</v>
      </c>
      <c r="E218" s="193"/>
      <c r="F218" s="198">
        <f>SUM(F205:F217)</f>
        <v>96545.729999999981</v>
      </c>
      <c r="G218" s="222">
        <f>SUM(G205:G217)</f>
        <v>350</v>
      </c>
      <c r="H218" s="37"/>
      <c r="I218" s="99"/>
    </row>
    <row r="219" spans="1:11" x14ac:dyDescent="0.2">
      <c r="H219" s="37"/>
      <c r="I219" s="210"/>
    </row>
    <row r="220" spans="1:11" x14ac:dyDescent="0.2">
      <c r="I220" s="242"/>
    </row>
    <row r="221" spans="1:11" ht="13.5" thickBot="1" x14ac:dyDescent="0.25">
      <c r="A221" s="282" t="s">
        <v>207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33"/>
    </row>
    <row r="222" spans="1:11" x14ac:dyDescent="0.2">
      <c r="A222" s="1" t="s">
        <v>3</v>
      </c>
      <c r="B222" s="217" t="s">
        <v>1</v>
      </c>
      <c r="C222" s="223"/>
      <c r="D222" s="224" t="s">
        <v>9</v>
      </c>
      <c r="E222" s="258">
        <v>142390.01999999999</v>
      </c>
      <c r="F222" s="224" t="s">
        <v>4</v>
      </c>
      <c r="G222" s="225" t="s">
        <v>164</v>
      </c>
    </row>
    <row r="223" spans="1:11" x14ac:dyDescent="0.2">
      <c r="A223" s="5">
        <v>244</v>
      </c>
      <c r="B223" s="218">
        <f>(1+B225)^12-1</f>
        <v>9.3806897670984268E-2</v>
      </c>
      <c r="C223" s="226"/>
      <c r="D223" s="8">
        <f>A227</f>
        <v>339688.61</v>
      </c>
      <c r="E223" s="16"/>
      <c r="F223" s="16">
        <f t="shared" ref="F223:F236" si="21">D223+E223</f>
        <v>339688.61</v>
      </c>
      <c r="G223" s="227" t="s">
        <v>11</v>
      </c>
      <c r="H223" s="48" t="s">
        <v>197</v>
      </c>
      <c r="I223" s="48" t="s">
        <v>82</v>
      </c>
      <c r="J223" s="234" t="s">
        <v>198</v>
      </c>
      <c r="K223" s="234" t="s">
        <v>82</v>
      </c>
    </row>
    <row r="224" spans="1:11" x14ac:dyDescent="0.2">
      <c r="A224" s="1" t="s">
        <v>10</v>
      </c>
      <c r="B224" s="217" t="s">
        <v>2</v>
      </c>
      <c r="C224" s="260">
        <v>44105</v>
      </c>
      <c r="D224" s="245">
        <f>$A$227/$G$237*G224</f>
        <v>1861.3074520547943</v>
      </c>
      <c r="E224" s="7"/>
      <c r="F224" s="235">
        <f t="shared" si="21"/>
        <v>1861.3074520547943</v>
      </c>
      <c r="G224" s="229">
        <v>2</v>
      </c>
      <c r="H224" s="236">
        <v>18594</v>
      </c>
      <c r="I224" s="240">
        <v>100200</v>
      </c>
      <c r="J224" s="241">
        <v>44498</v>
      </c>
      <c r="K224" s="210">
        <v>4000000</v>
      </c>
    </row>
    <row r="225" spans="1:11" x14ac:dyDescent="0.2">
      <c r="A225" s="9">
        <v>3660311.39</v>
      </c>
      <c r="B225" s="218">
        <v>7.4999999999999997E-3</v>
      </c>
      <c r="C225" s="260">
        <v>44136</v>
      </c>
      <c r="D225" s="245">
        <f t="shared" ref="D225:D236" si="22">$A$227/$G$237*G225</f>
        <v>27919.611780821913</v>
      </c>
      <c r="E225" s="7"/>
      <c r="F225" s="235">
        <f t="shared" si="21"/>
        <v>27919.611780821913</v>
      </c>
      <c r="G225" s="229">
        <v>30</v>
      </c>
      <c r="H225" s="236">
        <v>18579</v>
      </c>
      <c r="I225" s="240">
        <v>48096</v>
      </c>
      <c r="J225" s="84"/>
      <c r="K225" s="37"/>
    </row>
    <row r="226" spans="1:11" x14ac:dyDescent="0.2">
      <c r="A226" s="1" t="s">
        <v>6</v>
      </c>
      <c r="B226" s="217" t="s">
        <v>15</v>
      </c>
      <c r="C226" s="260">
        <v>44166</v>
      </c>
      <c r="D226" s="245">
        <f t="shared" si="22"/>
        <v>28850.265506849311</v>
      </c>
      <c r="E226" s="7"/>
      <c r="F226" s="235">
        <f t="shared" si="21"/>
        <v>28850.265506849311</v>
      </c>
      <c r="G226" s="229">
        <v>31</v>
      </c>
      <c r="H226" s="37">
        <v>18918</v>
      </c>
      <c r="I226" s="210">
        <v>102830.39999999999</v>
      </c>
      <c r="J226" s="84"/>
      <c r="K226" s="212"/>
    </row>
    <row r="227" spans="1:11" x14ac:dyDescent="0.2">
      <c r="A227" s="32">
        <v>339688.61</v>
      </c>
      <c r="B227" s="218">
        <f>(1+B225)^(1/30)-1</f>
        <v>2.4909818109075665E-4</v>
      </c>
      <c r="C227" s="260">
        <v>44197</v>
      </c>
      <c r="D227" s="245">
        <f t="shared" si="22"/>
        <v>28850.265506849311</v>
      </c>
      <c r="E227" s="7"/>
      <c r="F227" s="235">
        <f t="shared" si="21"/>
        <v>28850.265506849311</v>
      </c>
      <c r="G227" s="229">
        <v>31</v>
      </c>
      <c r="H227" s="37">
        <v>18930</v>
      </c>
      <c r="I227" s="211">
        <v>111399.6</v>
      </c>
      <c r="J227" s="84"/>
      <c r="K227" s="84"/>
    </row>
    <row r="228" spans="1:11" x14ac:dyDescent="0.2">
      <c r="A228" s="1" t="s">
        <v>37</v>
      </c>
      <c r="B228" s="217" t="s">
        <v>5</v>
      </c>
      <c r="C228" s="260">
        <v>44228</v>
      </c>
      <c r="D228" s="245">
        <f t="shared" si="22"/>
        <v>26058.304328767121</v>
      </c>
      <c r="E228" s="7"/>
      <c r="F228" s="235">
        <f t="shared" si="21"/>
        <v>26058.304328767121</v>
      </c>
      <c r="G228" s="229">
        <v>28</v>
      </c>
      <c r="H228" s="37">
        <v>18545</v>
      </c>
      <c r="I228" s="211">
        <v>29392</v>
      </c>
      <c r="J228" s="84"/>
      <c r="K228" s="84"/>
    </row>
    <row r="229" spans="1:11" x14ac:dyDescent="0.2">
      <c r="A229" s="15">
        <v>0</v>
      </c>
      <c r="B229" s="219">
        <v>44133</v>
      </c>
      <c r="C229" s="260">
        <v>44256</v>
      </c>
      <c r="D229" s="245">
        <f t="shared" si="22"/>
        <v>28850.265506849311</v>
      </c>
      <c r="E229" s="252"/>
      <c r="F229" s="235">
        <f t="shared" si="21"/>
        <v>28850.265506849311</v>
      </c>
      <c r="G229" s="229">
        <v>31</v>
      </c>
      <c r="H229" s="37">
        <v>18581</v>
      </c>
      <c r="I229" s="211">
        <v>48096</v>
      </c>
      <c r="J229" s="84"/>
      <c r="K229" s="84"/>
    </row>
    <row r="230" spans="1:11" x14ac:dyDescent="0.2">
      <c r="A230" s="29" t="s">
        <v>7</v>
      </c>
      <c r="B230" s="217" t="s">
        <v>159</v>
      </c>
      <c r="C230" s="254">
        <v>44287</v>
      </c>
      <c r="D230" s="255">
        <f t="shared" si="22"/>
        <v>27919.611780821913</v>
      </c>
      <c r="E230" s="252"/>
      <c r="F230" s="235">
        <f t="shared" si="21"/>
        <v>27919.611780821913</v>
      </c>
      <c r="G230" s="229">
        <v>30</v>
      </c>
      <c r="H230" s="37">
        <v>18478</v>
      </c>
      <c r="I230" s="211">
        <v>499870</v>
      </c>
      <c r="J230" s="84"/>
      <c r="K230" s="84"/>
    </row>
    <row r="231" spans="1:11" x14ac:dyDescent="0.2">
      <c r="A231" s="28">
        <f>A225+A227</f>
        <v>4000000</v>
      </c>
      <c r="B231" s="220">
        <v>44498</v>
      </c>
      <c r="C231" s="254">
        <v>44317</v>
      </c>
      <c r="D231" s="255">
        <f t="shared" si="22"/>
        <v>28850.265506849311</v>
      </c>
      <c r="E231" s="64"/>
      <c r="F231" s="235">
        <f t="shared" si="21"/>
        <v>28850.265506849311</v>
      </c>
      <c r="G231" s="229">
        <v>31</v>
      </c>
      <c r="H231" s="37">
        <v>18495</v>
      </c>
      <c r="I231" s="211">
        <v>225588</v>
      </c>
      <c r="J231" s="84"/>
      <c r="K231" s="84"/>
    </row>
    <row r="232" spans="1:11" x14ac:dyDescent="0.2">
      <c r="B232" s="217" t="s">
        <v>8</v>
      </c>
      <c r="C232" s="254">
        <v>44348</v>
      </c>
      <c r="D232" s="255">
        <f t="shared" si="22"/>
        <v>27919.611780821913</v>
      </c>
      <c r="E232" s="64"/>
      <c r="F232" s="235">
        <f t="shared" si="21"/>
        <v>27919.611780821913</v>
      </c>
      <c r="G232" s="229">
        <v>30</v>
      </c>
      <c r="H232" s="37">
        <v>18542</v>
      </c>
      <c r="I232" s="211">
        <v>78156</v>
      </c>
      <c r="J232" s="84"/>
      <c r="K232" s="84"/>
    </row>
    <row r="233" spans="1:11" x14ac:dyDescent="0.2">
      <c r="B233" s="221">
        <f>A227+A229</f>
        <v>339688.61</v>
      </c>
      <c r="C233" s="254">
        <v>44378</v>
      </c>
      <c r="D233" s="255">
        <f t="shared" si="22"/>
        <v>28850.265506849311</v>
      </c>
      <c r="E233" s="209"/>
      <c r="F233" s="256">
        <f t="shared" si="21"/>
        <v>28850.265506849311</v>
      </c>
      <c r="G233" s="229">
        <v>31</v>
      </c>
      <c r="H233" s="37">
        <v>18589</v>
      </c>
      <c r="I233" s="211">
        <v>54108</v>
      </c>
      <c r="J233" s="84"/>
      <c r="K233" s="84"/>
    </row>
    <row r="234" spans="1:11" x14ac:dyDescent="0.2">
      <c r="A234" s="13"/>
      <c r="C234" s="254">
        <v>44409</v>
      </c>
      <c r="D234" s="255">
        <f t="shared" si="22"/>
        <v>28850.265506849311</v>
      </c>
      <c r="E234" s="209"/>
      <c r="F234" s="256">
        <f t="shared" si="21"/>
        <v>28850.265506849311</v>
      </c>
      <c r="G234" s="265">
        <v>31</v>
      </c>
      <c r="H234" s="37">
        <v>18541</v>
      </c>
      <c r="I234" s="211">
        <v>179024</v>
      </c>
      <c r="J234" s="84"/>
      <c r="K234" s="84"/>
    </row>
    <row r="235" spans="1:11" x14ac:dyDescent="0.2">
      <c r="A235" s="18"/>
      <c r="B235" s="52"/>
      <c r="C235" s="254">
        <v>44440</v>
      </c>
      <c r="D235" s="255">
        <f t="shared" si="22"/>
        <v>27919.611780821913</v>
      </c>
      <c r="E235" s="209"/>
      <c r="F235" s="256">
        <f t="shared" si="21"/>
        <v>27919.611780821913</v>
      </c>
      <c r="G235" s="265">
        <v>30</v>
      </c>
      <c r="H235" s="37">
        <v>18616</v>
      </c>
      <c r="I235" s="211">
        <v>214230</v>
      </c>
      <c r="J235" s="84"/>
      <c r="K235" s="84"/>
    </row>
    <row r="236" spans="1:11" ht="13.5" thickBot="1" x14ac:dyDescent="0.25">
      <c r="A236" s="27" t="s">
        <v>30</v>
      </c>
      <c r="B236" t="s">
        <v>196</v>
      </c>
      <c r="C236" s="278">
        <v>44470</v>
      </c>
      <c r="D236" s="279">
        <f t="shared" si="22"/>
        <v>26988.958054794519</v>
      </c>
      <c r="E236" s="231"/>
      <c r="F236" s="280">
        <f t="shared" si="21"/>
        <v>26988.958054794519</v>
      </c>
      <c r="G236" s="281">
        <v>29</v>
      </c>
      <c r="H236" s="37">
        <v>18615</v>
      </c>
      <c r="I236" s="210">
        <v>214230</v>
      </c>
      <c r="J236" s="84"/>
    </row>
    <row r="237" spans="1:11" x14ac:dyDescent="0.2">
      <c r="C237" s="222" t="s">
        <v>4</v>
      </c>
      <c r="D237" s="193">
        <f>SUM(D224:D236)</f>
        <v>339688.60999999993</v>
      </c>
      <c r="E237" s="193"/>
      <c r="F237" s="198">
        <f>SUM(F224:F236)</f>
        <v>339688.60999999993</v>
      </c>
      <c r="G237" s="222">
        <f>SUM(G224:G236)</f>
        <v>365</v>
      </c>
      <c r="H237" s="37">
        <v>19039</v>
      </c>
      <c r="I237" s="99">
        <v>214230</v>
      </c>
    </row>
    <row r="238" spans="1:11" x14ac:dyDescent="0.2">
      <c r="H238" s="37">
        <v>18591</v>
      </c>
      <c r="I238" s="210">
        <v>285904</v>
      </c>
    </row>
    <row r="239" spans="1:11" x14ac:dyDescent="0.2">
      <c r="C239" s="259">
        <v>44470</v>
      </c>
      <c r="D239">
        <v>27058.35</v>
      </c>
      <c r="H239" s="37">
        <v>18262</v>
      </c>
      <c r="I239" s="257">
        <v>5344</v>
      </c>
    </row>
    <row r="240" spans="1:11" x14ac:dyDescent="0.2">
      <c r="H240" s="37">
        <v>18593</v>
      </c>
      <c r="I240" s="257">
        <v>100200</v>
      </c>
    </row>
    <row r="241" spans="1:12" x14ac:dyDescent="0.2">
      <c r="H241" s="37">
        <v>18592</v>
      </c>
      <c r="I241" s="257">
        <v>85504</v>
      </c>
    </row>
    <row r="242" spans="1:12" x14ac:dyDescent="0.2">
      <c r="H242" s="37">
        <v>17800</v>
      </c>
      <c r="I242" s="257">
        <v>187990</v>
      </c>
    </row>
    <row r="243" spans="1:12" x14ac:dyDescent="0.2">
      <c r="H243" s="37">
        <v>18476</v>
      </c>
      <c r="I243" s="257">
        <v>499870</v>
      </c>
    </row>
    <row r="244" spans="1:12" x14ac:dyDescent="0.2">
      <c r="H244" s="37">
        <v>17797</v>
      </c>
      <c r="I244" s="257">
        <v>375979.99</v>
      </c>
    </row>
    <row r="245" spans="1:12" x14ac:dyDescent="0.2">
      <c r="I245" s="242">
        <f>SUM(I224:I244)</f>
        <v>3660241.99</v>
      </c>
    </row>
    <row r="247" spans="1:12" ht="13.5" thickBot="1" x14ac:dyDescent="0.25">
      <c r="A247" s="282" t="s">
        <v>208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33"/>
    </row>
    <row r="248" spans="1:12" x14ac:dyDescent="0.2">
      <c r="A248" s="1" t="s">
        <v>3</v>
      </c>
      <c r="B248" s="217" t="s">
        <v>1</v>
      </c>
      <c r="C248" s="223"/>
      <c r="D248" s="224" t="s">
        <v>9</v>
      </c>
      <c r="E248" s="224"/>
      <c r="F248" s="224" t="s">
        <v>4</v>
      </c>
      <c r="G248" s="225" t="s">
        <v>164</v>
      </c>
    </row>
    <row r="249" spans="1:12" x14ac:dyDescent="0.2">
      <c r="A249" s="5">
        <v>310522</v>
      </c>
      <c r="B249" s="218">
        <v>0.158</v>
      </c>
      <c r="C249" s="226"/>
      <c r="D249" s="8">
        <f>A253</f>
        <v>224250.38</v>
      </c>
      <c r="E249" s="16"/>
      <c r="F249" s="16">
        <f t="shared" ref="F249" si="23">D249+E249</f>
        <v>224250.38</v>
      </c>
      <c r="G249" s="227" t="s">
        <v>11</v>
      </c>
      <c r="H249" s="283" t="s">
        <v>201</v>
      </c>
      <c r="I249" s="284"/>
      <c r="J249" s="234" t="s">
        <v>198</v>
      </c>
      <c r="K249" s="234" t="s">
        <v>82</v>
      </c>
    </row>
    <row r="250" spans="1:12" x14ac:dyDescent="0.2">
      <c r="A250" s="1" t="s">
        <v>10</v>
      </c>
      <c r="B250" s="217" t="s">
        <v>2</v>
      </c>
      <c r="C250" s="254">
        <v>44409</v>
      </c>
      <c r="D250" s="255">
        <f>$D$249/$G$263*G250</f>
        <v>10939.042926829268</v>
      </c>
      <c r="E250" s="209"/>
      <c r="F250" s="256">
        <f>D250+E250</f>
        <v>10939.042926829268</v>
      </c>
      <c r="G250" s="265">
        <v>14</v>
      </c>
      <c r="H250" s="236"/>
      <c r="I250" s="240"/>
      <c r="J250" s="241">
        <v>44712</v>
      </c>
      <c r="K250" s="210">
        <v>1874354.36</v>
      </c>
    </row>
    <row r="251" spans="1:12" x14ac:dyDescent="0.2">
      <c r="A251" s="9">
        <v>1650000</v>
      </c>
      <c r="B251" s="218">
        <v>1.23E-2</v>
      </c>
      <c r="C251" s="254">
        <v>44440</v>
      </c>
      <c r="D251" s="255">
        <f t="shared" ref="D251:D259" si="24">$D$249/$G$263*G251</f>
        <v>23440.806271777004</v>
      </c>
      <c r="E251" s="209"/>
      <c r="F251" s="256">
        <f>D251+E251</f>
        <v>23440.806271777004</v>
      </c>
      <c r="G251" s="265">
        <v>30</v>
      </c>
      <c r="H251" s="285" t="s">
        <v>204</v>
      </c>
      <c r="I251" s="286"/>
      <c r="J251" s="84"/>
      <c r="K251" s="285" t="s">
        <v>194</v>
      </c>
      <c r="L251" s="286"/>
    </row>
    <row r="252" spans="1:12" x14ac:dyDescent="0.2">
      <c r="A252" s="1" t="s">
        <v>6</v>
      </c>
      <c r="B252" s="217" t="s">
        <v>15</v>
      </c>
      <c r="C252" s="254">
        <v>44470</v>
      </c>
      <c r="D252" s="255">
        <f t="shared" si="24"/>
        <v>24222.16648083624</v>
      </c>
      <c r="E252" s="175"/>
      <c r="F252" s="256">
        <f t="shared" ref="F252:F259" si="25">D252+E252</f>
        <v>24222.16648083624</v>
      </c>
      <c r="G252" s="265">
        <v>31</v>
      </c>
      <c r="H252" s="250" t="s">
        <v>202</v>
      </c>
      <c r="I252" s="251" t="s">
        <v>203</v>
      </c>
      <c r="J252" s="84"/>
      <c r="K252" s="212"/>
    </row>
    <row r="253" spans="1:12" x14ac:dyDescent="0.2">
      <c r="A253" s="32">
        <v>224250.38</v>
      </c>
      <c r="B253" s="218">
        <f>(1+B251)^(1/30)-1</f>
        <v>4.0758202641044683E-4</v>
      </c>
      <c r="C253" s="254">
        <v>44501</v>
      </c>
      <c r="D253" s="255">
        <f t="shared" si="24"/>
        <v>23440.806271777004</v>
      </c>
      <c r="E253" s="175"/>
      <c r="F253" s="256">
        <f t="shared" si="25"/>
        <v>23440.806271777004</v>
      </c>
      <c r="G253" s="265">
        <v>30</v>
      </c>
      <c r="H253" s="37">
        <v>14</v>
      </c>
      <c r="I253" s="211">
        <v>238416.5</v>
      </c>
      <c r="J253" s="84"/>
      <c r="K253" s="84"/>
    </row>
    <row r="254" spans="1:12" x14ac:dyDescent="0.2">
      <c r="A254" s="1" t="s">
        <v>37</v>
      </c>
      <c r="B254" s="217" t="s">
        <v>5</v>
      </c>
      <c r="C254" s="254">
        <v>44531</v>
      </c>
      <c r="D254" s="255">
        <f t="shared" si="24"/>
        <v>24222.16648083624</v>
      </c>
      <c r="E254" s="175"/>
      <c r="F254" s="256">
        <f t="shared" si="25"/>
        <v>24222.16648083624</v>
      </c>
      <c r="G254" s="265">
        <v>31</v>
      </c>
      <c r="H254" s="37">
        <v>21</v>
      </c>
      <c r="I254" s="211">
        <v>20930.32</v>
      </c>
      <c r="J254" s="252" t="s">
        <v>209</v>
      </c>
      <c r="K254" s="84"/>
    </row>
    <row r="255" spans="1:12" x14ac:dyDescent="0.2">
      <c r="A255" s="15">
        <v>0</v>
      </c>
      <c r="B255" s="219">
        <v>44425</v>
      </c>
      <c r="C255" s="254">
        <v>44562</v>
      </c>
      <c r="D255" s="255">
        <f t="shared" si="24"/>
        <v>24222.16648083624</v>
      </c>
      <c r="E255" s="261"/>
      <c r="F255" s="256">
        <f t="shared" si="25"/>
        <v>24222.16648083624</v>
      </c>
      <c r="G255" s="265">
        <v>31</v>
      </c>
      <c r="H255" s="37">
        <v>5</v>
      </c>
      <c r="I255" s="211">
        <v>100128</v>
      </c>
      <c r="J255" s="84"/>
      <c r="K255" s="84"/>
    </row>
    <row r="256" spans="1:12" x14ac:dyDescent="0.2">
      <c r="A256" s="29" t="s">
        <v>7</v>
      </c>
      <c r="B256" s="249"/>
      <c r="C256" s="228">
        <v>44593</v>
      </c>
      <c r="D256" s="237">
        <f t="shared" si="24"/>
        <v>21878.085853658537</v>
      </c>
      <c r="E256" s="64"/>
      <c r="F256" s="235">
        <f t="shared" si="25"/>
        <v>21878.085853658537</v>
      </c>
      <c r="G256" s="229">
        <v>28</v>
      </c>
      <c r="H256" s="37">
        <v>7</v>
      </c>
      <c r="I256" s="211">
        <v>148326</v>
      </c>
      <c r="J256" s="84"/>
      <c r="K256" s="84"/>
    </row>
    <row r="257" spans="1:11" x14ac:dyDescent="0.2">
      <c r="A257" s="28">
        <f>A251+A253</f>
        <v>1874250.38</v>
      </c>
      <c r="B257" s="220">
        <v>44712</v>
      </c>
      <c r="C257" s="228">
        <v>44621</v>
      </c>
      <c r="D257" s="237">
        <f t="shared" si="24"/>
        <v>24222.16648083624</v>
      </c>
      <c r="E257" s="64"/>
      <c r="F257" s="235">
        <f t="shared" si="25"/>
        <v>24222.16648083624</v>
      </c>
      <c r="G257" s="229">
        <v>31</v>
      </c>
      <c r="H257" s="263">
        <v>3033</v>
      </c>
      <c r="I257" s="264">
        <v>488200</v>
      </c>
      <c r="J257" s="84"/>
      <c r="K257" s="84"/>
    </row>
    <row r="258" spans="1:11" x14ac:dyDescent="0.2">
      <c r="B258" s="217" t="s">
        <v>8</v>
      </c>
      <c r="C258" s="228">
        <v>44652</v>
      </c>
      <c r="D258" s="237">
        <f t="shared" si="24"/>
        <v>23440.806271777004</v>
      </c>
      <c r="E258" s="261"/>
      <c r="F258" s="235">
        <f t="shared" si="25"/>
        <v>23440.806271777004</v>
      </c>
      <c r="G258" s="229">
        <v>30</v>
      </c>
      <c r="H258" s="250">
        <v>3036</v>
      </c>
      <c r="I258" s="251">
        <v>257472</v>
      </c>
      <c r="J258" s="84"/>
      <c r="K258" s="84"/>
    </row>
    <row r="259" spans="1:11" x14ac:dyDescent="0.2">
      <c r="B259" s="221">
        <f>A253+A255</f>
        <v>224250.38</v>
      </c>
      <c r="C259" s="228">
        <v>44682</v>
      </c>
      <c r="D259" s="237">
        <f t="shared" si="24"/>
        <v>24222.16648083624</v>
      </c>
      <c r="E259" s="209"/>
      <c r="F259" s="235">
        <f t="shared" si="25"/>
        <v>24222.16648083624</v>
      </c>
      <c r="G259" s="229">
        <v>31</v>
      </c>
      <c r="H259" s="37"/>
      <c r="I259" s="211">
        <f>SUM(I253:I258)</f>
        <v>1253472.82</v>
      </c>
      <c r="J259" s="252"/>
      <c r="K259" s="84"/>
    </row>
    <row r="260" spans="1:11" x14ac:dyDescent="0.2">
      <c r="A260" s="13"/>
      <c r="C260" s="228"/>
      <c r="D260" s="237"/>
      <c r="F260" s="235"/>
      <c r="G260" s="229"/>
      <c r="H260" s="37"/>
      <c r="I260" s="211"/>
      <c r="J260" s="84"/>
      <c r="K260" s="84"/>
    </row>
    <row r="261" spans="1:11" x14ac:dyDescent="0.2">
      <c r="A261" s="18"/>
      <c r="B261" s="52"/>
      <c r="C261" s="228"/>
      <c r="D261" s="237"/>
      <c r="F261" s="235"/>
      <c r="G261" s="229"/>
      <c r="H261" s="37"/>
      <c r="I261" s="253">
        <f>SUM(I259:I260)</f>
        <v>1253472.82</v>
      </c>
      <c r="J261" s="84"/>
      <c r="K261" s="84"/>
    </row>
    <row r="262" spans="1:11" ht="13.5" thickBot="1" x14ac:dyDescent="0.25">
      <c r="A262" s="27" t="s">
        <v>30</v>
      </c>
      <c r="B262" t="s">
        <v>196</v>
      </c>
      <c r="C262" s="230"/>
      <c r="D262" s="238"/>
      <c r="E262" s="231"/>
      <c r="F262" s="239"/>
      <c r="G262" s="232"/>
      <c r="H262" s="37"/>
      <c r="I262" s="210"/>
      <c r="J262" s="84"/>
    </row>
    <row r="263" spans="1:11" x14ac:dyDescent="0.2">
      <c r="C263" s="222" t="s">
        <v>4</v>
      </c>
      <c r="D263" s="193">
        <f>SUM(D250:D262)</f>
        <v>224250.38</v>
      </c>
      <c r="E263" s="193"/>
      <c r="F263" s="198">
        <f>SUM(F250:F262)</f>
        <v>224250.38</v>
      </c>
      <c r="G263" s="222">
        <f>SUM(G250:G262)</f>
        <v>287</v>
      </c>
      <c r="H263" s="37"/>
      <c r="I263" s="99"/>
    </row>
    <row r="265" spans="1:11" ht="13.5" thickBot="1" x14ac:dyDescent="0.25">
      <c r="A265" s="282" t="s">
        <v>208</v>
      </c>
      <c r="B265" s="282"/>
      <c r="C265" s="282"/>
      <c r="D265" s="282"/>
      <c r="E265" s="282"/>
      <c r="F265" s="282"/>
      <c r="G265" s="282"/>
      <c r="H265" s="282"/>
      <c r="I265" s="282"/>
      <c r="J265" s="282"/>
      <c r="K265" s="233"/>
    </row>
    <row r="266" spans="1:11" x14ac:dyDescent="0.2">
      <c r="A266" s="1" t="s">
        <v>3</v>
      </c>
      <c r="B266" s="217" t="s">
        <v>1</v>
      </c>
      <c r="C266" s="223"/>
      <c r="D266" s="224" t="s">
        <v>9</v>
      </c>
      <c r="E266" s="224"/>
      <c r="F266" s="224" t="s">
        <v>4</v>
      </c>
      <c r="G266" s="225" t="s">
        <v>164</v>
      </c>
    </row>
    <row r="267" spans="1:11" x14ac:dyDescent="0.2">
      <c r="A267" s="5">
        <v>160922</v>
      </c>
      <c r="B267" s="218">
        <v>0.158</v>
      </c>
      <c r="C267" s="226"/>
      <c r="D267" s="8">
        <f>A271</f>
        <v>165146.12</v>
      </c>
      <c r="E267" s="16"/>
      <c r="F267" s="16">
        <f t="shared" ref="F267" si="26">D267+E267</f>
        <v>165146.12</v>
      </c>
      <c r="G267" s="227" t="s">
        <v>11</v>
      </c>
      <c r="H267" s="283" t="s">
        <v>201</v>
      </c>
      <c r="I267" s="284"/>
      <c r="J267" s="234" t="s">
        <v>198</v>
      </c>
      <c r="K267" s="234" t="s">
        <v>82</v>
      </c>
    </row>
    <row r="268" spans="1:11" x14ac:dyDescent="0.2">
      <c r="A268" s="1" t="s">
        <v>10</v>
      </c>
      <c r="B268" s="217" t="s">
        <v>2</v>
      </c>
      <c r="C268" s="254">
        <v>44409</v>
      </c>
      <c r="D268" s="255">
        <f>$D$267/$G$283*G268</f>
        <v>5652.9234229828853</v>
      </c>
      <c r="E268" s="209"/>
      <c r="F268" s="256">
        <f>D268+E268</f>
        <v>5652.9234229828853</v>
      </c>
      <c r="G268" s="265">
        <v>14</v>
      </c>
      <c r="H268" s="236"/>
      <c r="I268" s="240"/>
      <c r="J268" s="241">
        <v>44834</v>
      </c>
      <c r="K268" s="210">
        <v>1015147.78</v>
      </c>
    </row>
    <row r="269" spans="1:11" x14ac:dyDescent="0.2">
      <c r="A269" s="9">
        <v>850000</v>
      </c>
      <c r="B269" s="218">
        <v>1.23E-2</v>
      </c>
      <c r="C269" s="254">
        <v>44440</v>
      </c>
      <c r="D269" s="255">
        <f t="shared" ref="D269:D281" si="27">$D$267/$G$283*G269</f>
        <v>12113.407334963325</v>
      </c>
      <c r="E269" s="209"/>
      <c r="F269" s="256">
        <f t="shared" ref="F269:F281" si="28">D269+E269</f>
        <v>12113.407334963325</v>
      </c>
      <c r="G269" s="265">
        <v>30</v>
      </c>
      <c r="H269" s="285" t="s">
        <v>194</v>
      </c>
      <c r="I269" s="286"/>
      <c r="J269" s="84"/>
      <c r="K269" s="37"/>
    </row>
    <row r="270" spans="1:11" x14ac:dyDescent="0.2">
      <c r="A270" s="1" t="s">
        <v>6</v>
      </c>
      <c r="B270" s="217" t="s">
        <v>15</v>
      </c>
      <c r="C270" s="254">
        <v>44470</v>
      </c>
      <c r="D270" s="255">
        <f t="shared" si="27"/>
        <v>12517.187579462103</v>
      </c>
      <c r="E270" s="175"/>
      <c r="F270" s="256">
        <f t="shared" si="28"/>
        <v>12517.187579462103</v>
      </c>
      <c r="G270" s="265">
        <v>31</v>
      </c>
      <c r="H270" s="250" t="s">
        <v>202</v>
      </c>
      <c r="I270" s="251" t="s">
        <v>203</v>
      </c>
      <c r="J270" s="84"/>
      <c r="K270" s="212"/>
    </row>
    <row r="271" spans="1:11" x14ac:dyDescent="0.2">
      <c r="A271" s="32">
        <v>165146.12</v>
      </c>
      <c r="B271" s="218">
        <f>(1+B269)^(1/30)-1</f>
        <v>4.0758202641044683E-4</v>
      </c>
      <c r="C271" s="254">
        <v>44501</v>
      </c>
      <c r="D271" s="255">
        <f t="shared" si="27"/>
        <v>12113.407334963325</v>
      </c>
      <c r="E271" s="175"/>
      <c r="F271" s="256">
        <f t="shared" si="28"/>
        <v>12113.407334963325</v>
      </c>
      <c r="G271" s="265">
        <v>30</v>
      </c>
      <c r="H271" s="37"/>
      <c r="I271" s="211"/>
      <c r="J271" s="84"/>
      <c r="K271" s="84"/>
    </row>
    <row r="272" spans="1:11" x14ac:dyDescent="0.2">
      <c r="A272" s="1" t="s">
        <v>37</v>
      </c>
      <c r="B272" s="217" t="s">
        <v>5</v>
      </c>
      <c r="C272" s="254">
        <v>44531</v>
      </c>
      <c r="D272" s="255">
        <f t="shared" si="27"/>
        <v>12517.187579462103</v>
      </c>
      <c r="E272" s="175"/>
      <c r="F272" s="256">
        <f t="shared" si="28"/>
        <v>12517.187579462103</v>
      </c>
      <c r="G272" s="265">
        <v>31</v>
      </c>
      <c r="H272" s="37"/>
      <c r="I272" s="211"/>
      <c r="J272" s="84"/>
      <c r="K272" s="84"/>
    </row>
    <row r="273" spans="1:11" x14ac:dyDescent="0.2">
      <c r="A273" s="15">
        <v>0</v>
      </c>
      <c r="B273" s="219">
        <v>44425</v>
      </c>
      <c r="C273" s="254">
        <v>44562</v>
      </c>
      <c r="D273" s="255">
        <f t="shared" si="27"/>
        <v>12517.187579462103</v>
      </c>
      <c r="E273" s="261"/>
      <c r="F273" s="256">
        <f t="shared" si="28"/>
        <v>12517.187579462103</v>
      </c>
      <c r="G273" s="265">
        <v>31</v>
      </c>
      <c r="H273" s="37"/>
      <c r="I273" s="253">
        <f>SUM(I271:I272)</f>
        <v>0</v>
      </c>
      <c r="J273" s="84"/>
      <c r="K273" s="84"/>
    </row>
    <row r="274" spans="1:11" x14ac:dyDescent="0.2">
      <c r="A274" s="29" t="s">
        <v>7</v>
      </c>
      <c r="B274" s="249"/>
      <c r="C274" s="228">
        <v>44593</v>
      </c>
      <c r="D274" s="237">
        <f t="shared" si="27"/>
        <v>11305.846845965771</v>
      </c>
      <c r="E274" s="64"/>
      <c r="F274" s="235">
        <f t="shared" si="28"/>
        <v>11305.846845965771</v>
      </c>
      <c r="G274" s="229">
        <v>28</v>
      </c>
      <c r="H274" s="37"/>
      <c r="I274" s="211"/>
      <c r="J274" s="84"/>
      <c r="K274" s="84"/>
    </row>
    <row r="275" spans="1:11" x14ac:dyDescent="0.2">
      <c r="A275" s="28">
        <f>A269+A271</f>
        <v>1015146.12</v>
      </c>
      <c r="B275" s="220">
        <v>44834</v>
      </c>
      <c r="C275" s="228">
        <v>44621</v>
      </c>
      <c r="D275" s="237">
        <f t="shared" si="27"/>
        <v>12517.187579462103</v>
      </c>
      <c r="E275" s="64"/>
      <c r="F275" s="235">
        <f t="shared" si="28"/>
        <v>12517.187579462103</v>
      </c>
      <c r="G275" s="229">
        <v>31</v>
      </c>
      <c r="H275" s="285" t="s">
        <v>204</v>
      </c>
      <c r="I275" s="286"/>
      <c r="J275" s="84"/>
      <c r="K275" s="84"/>
    </row>
    <row r="276" spans="1:11" x14ac:dyDescent="0.2">
      <c r="B276" s="217" t="s">
        <v>8</v>
      </c>
      <c r="C276" s="228">
        <v>44652</v>
      </c>
      <c r="D276" s="237">
        <f t="shared" si="27"/>
        <v>12113.407334963325</v>
      </c>
      <c r="E276" s="261"/>
      <c r="F276" s="235">
        <f t="shared" si="28"/>
        <v>12113.407334963325</v>
      </c>
      <c r="G276" s="229">
        <v>30</v>
      </c>
      <c r="H276" s="250" t="s">
        <v>205</v>
      </c>
      <c r="I276" s="251" t="s">
        <v>203</v>
      </c>
      <c r="J276" s="84"/>
      <c r="K276" s="84"/>
    </row>
    <row r="277" spans="1:11" x14ac:dyDescent="0.2">
      <c r="B277" s="221">
        <f>A271+A273</f>
        <v>165146.12</v>
      </c>
      <c r="C277" s="228">
        <v>44682</v>
      </c>
      <c r="D277" s="237">
        <f t="shared" si="27"/>
        <v>12517.187579462103</v>
      </c>
      <c r="E277" s="209"/>
      <c r="F277" s="235">
        <f t="shared" si="28"/>
        <v>12517.187579462103</v>
      </c>
      <c r="G277" s="229">
        <v>31</v>
      </c>
      <c r="H277" s="37"/>
      <c r="I277" s="211"/>
      <c r="J277" s="252"/>
      <c r="K277" s="84"/>
    </row>
    <row r="278" spans="1:11" x14ac:dyDescent="0.2">
      <c r="A278" s="13"/>
      <c r="C278" s="228">
        <v>44713</v>
      </c>
      <c r="D278" s="237">
        <f t="shared" si="27"/>
        <v>12113.407334963325</v>
      </c>
      <c r="F278" s="235">
        <f t="shared" si="28"/>
        <v>12113.407334963325</v>
      </c>
      <c r="G278" s="229">
        <v>30</v>
      </c>
      <c r="H278" s="37"/>
      <c r="I278" s="211"/>
      <c r="J278" s="84"/>
      <c r="K278" s="84"/>
    </row>
    <row r="279" spans="1:11" x14ac:dyDescent="0.2">
      <c r="A279" s="18"/>
      <c r="B279" s="52"/>
      <c r="C279" s="228">
        <v>44743</v>
      </c>
      <c r="D279" s="237">
        <f t="shared" si="27"/>
        <v>12517.187579462103</v>
      </c>
      <c r="F279" s="235">
        <f t="shared" si="28"/>
        <v>12517.187579462103</v>
      </c>
      <c r="G279" s="229">
        <v>31</v>
      </c>
      <c r="H279" s="37"/>
      <c r="I279" s="253">
        <f>SUM(I277:I278)</f>
        <v>0</v>
      </c>
      <c r="J279" s="84"/>
      <c r="K279" s="84"/>
    </row>
    <row r="280" spans="1:11" x14ac:dyDescent="0.2">
      <c r="A280" s="27" t="s">
        <v>30</v>
      </c>
      <c r="B280" t="s">
        <v>196</v>
      </c>
      <c r="C280" s="228">
        <v>44774</v>
      </c>
      <c r="D280" s="237">
        <f t="shared" si="27"/>
        <v>12517.187579462103</v>
      </c>
      <c r="F280" s="235">
        <f t="shared" si="28"/>
        <v>12517.187579462103</v>
      </c>
      <c r="G280" s="229">
        <v>31</v>
      </c>
      <c r="H280" s="37"/>
      <c r="I280" s="210"/>
      <c r="J280" s="84"/>
    </row>
    <row r="281" spans="1:11" x14ac:dyDescent="0.2">
      <c r="C281" s="228">
        <v>44805</v>
      </c>
      <c r="D281" s="237">
        <f t="shared" si="27"/>
        <v>12113.407334963325</v>
      </c>
      <c r="F281" s="235">
        <f t="shared" si="28"/>
        <v>12113.407334963325</v>
      </c>
      <c r="G281" s="229">
        <v>30</v>
      </c>
      <c r="H281" s="37"/>
      <c r="I281" s="99"/>
    </row>
    <row r="282" spans="1:11" ht="13.5" thickBot="1" x14ac:dyDescent="0.25">
      <c r="C282" s="230"/>
      <c r="D282" s="238"/>
      <c r="E282" s="231"/>
      <c r="F282" s="239"/>
      <c r="G282" s="232"/>
    </row>
    <row r="283" spans="1:11" x14ac:dyDescent="0.2">
      <c r="C283" s="222" t="s">
        <v>4</v>
      </c>
      <c r="D283" s="193">
        <f>SUM(D268:D282)</f>
        <v>165146.12</v>
      </c>
      <c r="E283" s="193"/>
      <c r="F283" s="198">
        <f>SUM(F268:F282)</f>
        <v>165146.12</v>
      </c>
      <c r="G283" s="222">
        <f>SUM(G268:G282)</f>
        <v>409</v>
      </c>
    </row>
    <row r="285" spans="1:11" ht="13.5" thickBot="1" x14ac:dyDescent="0.25">
      <c r="A285" s="282" t="s">
        <v>210</v>
      </c>
      <c r="B285" s="282"/>
      <c r="C285" s="282"/>
      <c r="D285" s="282"/>
      <c r="E285" s="282"/>
      <c r="F285" s="282"/>
      <c r="G285" s="282"/>
      <c r="H285" s="282"/>
      <c r="I285" s="282"/>
      <c r="J285" s="282"/>
      <c r="K285" s="233"/>
    </row>
    <row r="286" spans="1:11" x14ac:dyDescent="0.2">
      <c r="A286" s="1" t="s">
        <v>3</v>
      </c>
      <c r="B286" s="217" t="s">
        <v>1</v>
      </c>
      <c r="C286" s="223"/>
      <c r="D286" s="224" t="s">
        <v>9</v>
      </c>
      <c r="E286" s="224"/>
      <c r="F286" s="224" t="s">
        <v>4</v>
      </c>
      <c r="G286" s="225" t="s">
        <v>164</v>
      </c>
    </row>
    <row r="287" spans="1:11" x14ac:dyDescent="0.2">
      <c r="A287" s="5">
        <v>256</v>
      </c>
      <c r="B287" s="218">
        <v>0.105</v>
      </c>
      <c r="C287" s="226"/>
      <c r="D287" s="8">
        <f>A291</f>
        <v>569021.34999999963</v>
      </c>
      <c r="E287" s="16"/>
      <c r="F287" s="16">
        <f t="shared" ref="F287" si="29">D287+E287</f>
        <v>569021.34999999963</v>
      </c>
      <c r="G287" s="227" t="s">
        <v>11</v>
      </c>
      <c r="H287" s="283" t="s">
        <v>201</v>
      </c>
      <c r="I287" s="284"/>
      <c r="J287" s="234" t="s">
        <v>198</v>
      </c>
      <c r="K287" s="234" t="s">
        <v>82</v>
      </c>
    </row>
    <row r="288" spans="1:11" x14ac:dyDescent="0.2">
      <c r="A288" s="1" t="s">
        <v>10</v>
      </c>
      <c r="B288" s="217" t="s">
        <v>2</v>
      </c>
      <c r="H288" s="236"/>
      <c r="I288" s="240"/>
      <c r="J288" s="241">
        <v>44742</v>
      </c>
      <c r="K288" s="210">
        <v>6350458.3300000001</v>
      </c>
    </row>
    <row r="289" spans="1:11" x14ac:dyDescent="0.2">
      <c r="A289" s="9">
        <v>5781436.9800000004</v>
      </c>
      <c r="B289" s="218">
        <v>8.3999999999999995E-3</v>
      </c>
      <c r="C289" s="254">
        <v>44378</v>
      </c>
      <c r="D289" s="274">
        <f>$D$287/$G$302*G289</f>
        <v>8392.6452802359818</v>
      </c>
      <c r="E289" s="275"/>
      <c r="F289" s="276">
        <f>D289</f>
        <v>8392.6452802359818</v>
      </c>
      <c r="G289" s="277">
        <v>5</v>
      </c>
      <c r="H289" s="285"/>
      <c r="I289" s="286"/>
      <c r="J289" s="84"/>
      <c r="K289" s="37"/>
    </row>
    <row r="290" spans="1:11" x14ac:dyDescent="0.2">
      <c r="A290" s="1" t="s">
        <v>6</v>
      </c>
      <c r="B290" s="217" t="s">
        <v>15</v>
      </c>
      <c r="C290" s="254">
        <v>44409</v>
      </c>
      <c r="D290" s="274">
        <f>$D$287/$G$302*G290</f>
        <v>52034.400737463089</v>
      </c>
      <c r="E290" s="275"/>
      <c r="F290" s="256">
        <f t="shared" ref="F290:F300" si="30">D290+E290</f>
        <v>52034.400737463089</v>
      </c>
      <c r="G290" s="265">
        <v>31</v>
      </c>
      <c r="H290" s="250">
        <v>21751</v>
      </c>
      <c r="I290" s="251"/>
      <c r="J290" s="210">
        <v>580342</v>
      </c>
      <c r="K290" s="212"/>
    </row>
    <row r="291" spans="1:11" x14ac:dyDescent="0.2">
      <c r="A291" s="32">
        <f>A295-A289</f>
        <v>569021.34999999963</v>
      </c>
      <c r="B291" s="218">
        <f>(1+B289)^(1/30)-1</f>
        <v>2.7886942123700464E-4</v>
      </c>
      <c r="C291" s="254">
        <v>44440</v>
      </c>
      <c r="D291" s="274">
        <f>$D$287/$G$302*G291</f>
        <v>50355.871681415898</v>
      </c>
      <c r="E291" s="271"/>
      <c r="F291" s="256">
        <f t="shared" si="30"/>
        <v>50355.871681415898</v>
      </c>
      <c r="G291" s="265">
        <v>30</v>
      </c>
      <c r="H291" s="37">
        <v>21833</v>
      </c>
      <c r="I291" s="211"/>
      <c r="J291" s="210">
        <v>209820</v>
      </c>
      <c r="K291" s="84"/>
    </row>
    <row r="292" spans="1:11" x14ac:dyDescent="0.2">
      <c r="A292" s="1" t="s">
        <v>37</v>
      </c>
      <c r="B292" s="217" t="s">
        <v>5</v>
      </c>
      <c r="C292" s="254">
        <v>44470</v>
      </c>
      <c r="D292" s="276">
        <f t="shared" ref="D292:D300" si="31">$D$287/$G$302*G292</f>
        <v>52034.400737463089</v>
      </c>
      <c r="E292" s="268"/>
      <c r="F292" s="256">
        <f t="shared" si="30"/>
        <v>52034.400737463089</v>
      </c>
      <c r="G292" s="265">
        <v>31</v>
      </c>
      <c r="H292" s="37">
        <v>21835</v>
      </c>
      <c r="I292" s="211"/>
      <c r="J292" s="210">
        <v>300150</v>
      </c>
      <c r="K292" s="84"/>
    </row>
    <row r="293" spans="1:11" x14ac:dyDescent="0.2">
      <c r="A293" s="15">
        <v>0</v>
      </c>
      <c r="B293" s="219">
        <v>44403</v>
      </c>
      <c r="C293" s="254">
        <v>44501</v>
      </c>
      <c r="D293" s="276">
        <f t="shared" si="31"/>
        <v>50355.871681415898</v>
      </c>
      <c r="E293" s="268"/>
      <c r="F293" s="256">
        <f t="shared" si="30"/>
        <v>50355.871681415898</v>
      </c>
      <c r="G293" s="265">
        <v>30</v>
      </c>
      <c r="H293" s="37">
        <v>21750</v>
      </c>
      <c r="I293" s="253"/>
      <c r="J293" s="210">
        <v>160750</v>
      </c>
      <c r="K293" s="84"/>
    </row>
    <row r="294" spans="1:11" x14ac:dyDescent="0.2">
      <c r="A294" s="29" t="s">
        <v>7</v>
      </c>
      <c r="B294" s="249"/>
      <c r="C294" s="254">
        <v>44531</v>
      </c>
      <c r="D294" s="276">
        <f t="shared" si="31"/>
        <v>52034.400737463089</v>
      </c>
      <c r="E294" s="268"/>
      <c r="F294" s="256">
        <f t="shared" si="30"/>
        <v>52034.400737463089</v>
      </c>
      <c r="G294" s="265">
        <v>31</v>
      </c>
      <c r="H294" s="37">
        <v>21834</v>
      </c>
      <c r="I294" s="211"/>
      <c r="J294" s="210">
        <v>839279.99</v>
      </c>
      <c r="K294" s="84"/>
    </row>
    <row r="295" spans="1:11" x14ac:dyDescent="0.2">
      <c r="A295" s="28">
        <v>6350458.3300000001</v>
      </c>
      <c r="B295" s="220">
        <v>44742</v>
      </c>
      <c r="C295" s="254">
        <v>44562</v>
      </c>
      <c r="D295" s="276">
        <f t="shared" si="31"/>
        <v>52034.400737463089</v>
      </c>
      <c r="E295" s="270"/>
      <c r="F295" s="256">
        <f t="shared" si="30"/>
        <v>52034.400737463089</v>
      </c>
      <c r="G295" s="265">
        <v>31</v>
      </c>
      <c r="H295" s="37">
        <v>22022</v>
      </c>
      <c r="I295" s="211"/>
      <c r="J295" s="211">
        <v>559245</v>
      </c>
      <c r="K295" s="84"/>
    </row>
    <row r="296" spans="1:11" x14ac:dyDescent="0.2">
      <c r="B296" s="217" t="s">
        <v>8</v>
      </c>
      <c r="C296" s="228">
        <v>44593</v>
      </c>
      <c r="D296" s="266">
        <f t="shared" si="31"/>
        <v>46998.813569321501</v>
      </c>
      <c r="E296" s="269"/>
      <c r="F296" s="235">
        <f t="shared" si="30"/>
        <v>46998.813569321501</v>
      </c>
      <c r="G296" s="229">
        <v>28</v>
      </c>
      <c r="H296" s="37">
        <v>22024</v>
      </c>
      <c r="I296" s="211"/>
      <c r="J296" s="210">
        <v>972600</v>
      </c>
      <c r="K296" s="84"/>
    </row>
    <row r="297" spans="1:11" x14ac:dyDescent="0.2">
      <c r="B297" s="221">
        <f>A291+A293</f>
        <v>569021.34999999963</v>
      </c>
      <c r="C297" s="228">
        <v>44621</v>
      </c>
      <c r="D297" s="266">
        <f t="shared" si="31"/>
        <v>52034.400737463089</v>
      </c>
      <c r="E297" s="269"/>
      <c r="F297" s="235">
        <f t="shared" si="30"/>
        <v>52034.400737463089</v>
      </c>
      <c r="G297" s="229">
        <v>31</v>
      </c>
      <c r="H297" s="37">
        <v>22025</v>
      </c>
      <c r="I297" s="253"/>
      <c r="J297" s="210">
        <v>899654.99</v>
      </c>
      <c r="K297" s="84"/>
    </row>
    <row r="298" spans="1:11" x14ac:dyDescent="0.2">
      <c r="A298" s="13"/>
      <c r="C298" s="228">
        <v>44652</v>
      </c>
      <c r="D298" s="266">
        <f t="shared" si="31"/>
        <v>50355.871681415898</v>
      </c>
      <c r="E298" s="270"/>
      <c r="F298" s="235">
        <f t="shared" si="30"/>
        <v>50355.871681415898</v>
      </c>
      <c r="G298" s="229">
        <v>30</v>
      </c>
      <c r="H298" s="37">
        <v>508</v>
      </c>
      <c r="I298" s="210"/>
      <c r="J298" s="210">
        <v>559245</v>
      </c>
      <c r="K298" s="84"/>
    </row>
    <row r="299" spans="1:11" x14ac:dyDescent="0.2">
      <c r="A299" s="18"/>
      <c r="B299" s="52"/>
      <c r="C299" s="228">
        <v>44682</v>
      </c>
      <c r="D299" s="266">
        <f t="shared" si="31"/>
        <v>52034.400737463089</v>
      </c>
      <c r="E299" s="271"/>
      <c r="F299" s="235">
        <f t="shared" si="30"/>
        <v>52034.400737463089</v>
      </c>
      <c r="G299" s="229">
        <v>31</v>
      </c>
      <c r="H299" s="37">
        <v>22201</v>
      </c>
      <c r="I299" s="99"/>
      <c r="J299" s="210">
        <v>342171</v>
      </c>
      <c r="K299" s="84"/>
    </row>
    <row r="300" spans="1:11" x14ac:dyDescent="0.2">
      <c r="A300" s="27" t="s">
        <v>30</v>
      </c>
      <c r="B300" t="s">
        <v>196</v>
      </c>
      <c r="C300" s="228">
        <v>44713</v>
      </c>
      <c r="D300" s="266">
        <f t="shared" si="31"/>
        <v>50355.871681415898</v>
      </c>
      <c r="E300" s="267"/>
      <c r="F300" s="235">
        <f t="shared" si="30"/>
        <v>50355.871681415898</v>
      </c>
      <c r="G300" s="229">
        <v>30</v>
      </c>
      <c r="H300" s="37">
        <v>22522</v>
      </c>
      <c r="J300" s="210">
        <v>158079</v>
      </c>
    </row>
    <row r="301" spans="1:11" ht="13.5" thickBot="1" x14ac:dyDescent="0.25">
      <c r="A301" s="272" t="s">
        <v>211</v>
      </c>
      <c r="B301" s="273">
        <f>SUM(D289:D291)</f>
        <v>110782.91769911497</v>
      </c>
      <c r="C301" s="230"/>
      <c r="D301" s="238"/>
      <c r="E301" s="231"/>
      <c r="F301" s="239"/>
      <c r="G301" s="232"/>
      <c r="H301" s="37">
        <v>22868</v>
      </c>
      <c r="J301" s="210">
        <v>200100</v>
      </c>
    </row>
    <row r="302" spans="1:11" x14ac:dyDescent="0.2">
      <c r="C302" s="222" t="s">
        <v>4</v>
      </c>
      <c r="D302" s="193">
        <f>SUM(D289:D301)</f>
        <v>569021.34999999963</v>
      </c>
      <c r="E302" s="193"/>
      <c r="F302" s="198">
        <f>SUM(F289:F301)</f>
        <v>569021.34999999963</v>
      </c>
      <c r="G302" s="222">
        <f>SUM(G289:G301)</f>
        <v>339</v>
      </c>
      <c r="J302" s="187">
        <f>SUM(J290:J301)</f>
        <v>5781436.9800000004</v>
      </c>
      <c r="K302" s="53"/>
    </row>
  </sheetData>
  <mergeCells count="28">
    <mergeCell ref="K251:L251"/>
    <mergeCell ref="A182:J182"/>
    <mergeCell ref="A1:G1"/>
    <mergeCell ref="A3:F3"/>
    <mergeCell ref="A26:F26"/>
    <mergeCell ref="A49:F49"/>
    <mergeCell ref="A47:G47"/>
    <mergeCell ref="A159:L159"/>
    <mergeCell ref="A117:I117"/>
    <mergeCell ref="A92:G92"/>
    <mergeCell ref="A94:F94"/>
    <mergeCell ref="A71:F71"/>
    <mergeCell ref="A138:L138"/>
    <mergeCell ref="A221:J221"/>
    <mergeCell ref="A202:J202"/>
    <mergeCell ref="H204:I204"/>
    <mergeCell ref="A285:J285"/>
    <mergeCell ref="H287:I287"/>
    <mergeCell ref="H289:I289"/>
    <mergeCell ref="H206:I206"/>
    <mergeCell ref="H212:I212"/>
    <mergeCell ref="H267:I267"/>
    <mergeCell ref="H269:I269"/>
    <mergeCell ref="H275:I275"/>
    <mergeCell ref="A247:J247"/>
    <mergeCell ref="H249:I249"/>
    <mergeCell ref="H251:I251"/>
    <mergeCell ref="A265:J265"/>
  </mergeCells>
  <pageMargins left="0.25" right="0.25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4"/>
  <sheetViews>
    <sheetView workbookViewId="0">
      <selection activeCell="B5" sqref="B5"/>
    </sheetView>
  </sheetViews>
  <sheetFormatPr defaultRowHeight="12.75" x14ac:dyDescent="0.2"/>
  <cols>
    <col min="1" max="1" width="19.28515625" customWidth="1"/>
    <col min="2" max="4" width="14.7109375" bestFit="1" customWidth="1"/>
  </cols>
  <sheetData>
    <row r="1" spans="1:4" ht="26.25" x14ac:dyDescent="0.4">
      <c r="A1" s="289" t="s">
        <v>14</v>
      </c>
      <c r="B1" s="289"/>
      <c r="C1" s="289"/>
      <c r="D1" s="289"/>
    </row>
    <row r="4" spans="1:4" ht="15.75" x14ac:dyDescent="0.25">
      <c r="A4" s="30">
        <v>43009</v>
      </c>
      <c r="B4" s="19" t="s">
        <v>12</v>
      </c>
      <c r="C4" s="19" t="s">
        <v>13</v>
      </c>
      <c r="D4" s="23" t="s">
        <v>0</v>
      </c>
    </row>
    <row r="5" spans="1:4" x14ac:dyDescent="0.2">
      <c r="A5" s="27" t="s">
        <v>16</v>
      </c>
      <c r="B5" s="22">
        <f>SUM('CRA - VERT'!D8:D18)</f>
        <v>135438.0093774987</v>
      </c>
      <c r="C5" s="18">
        <v>0</v>
      </c>
      <c r="D5" s="24">
        <f>B5+C5</f>
        <v>135438.0093774987</v>
      </c>
    </row>
    <row r="6" spans="1:4" ht="15.75" x14ac:dyDescent="0.25">
      <c r="A6" s="20"/>
      <c r="B6" s="21">
        <f>SUM(B5:B5)</f>
        <v>135438.0093774987</v>
      </c>
      <c r="C6" s="21">
        <f>SUM(C5:C5)</f>
        <v>0</v>
      </c>
      <c r="D6" s="25">
        <f>SUM(D5:E5)</f>
        <v>135438.0093774987</v>
      </c>
    </row>
    <row r="8" spans="1:4" ht="15.75" x14ac:dyDescent="0.25">
      <c r="A8" s="30">
        <v>43040</v>
      </c>
      <c r="B8" s="19" t="s">
        <v>12</v>
      </c>
      <c r="C8" s="19" t="s">
        <v>13</v>
      </c>
      <c r="D8" s="23" t="s">
        <v>0</v>
      </c>
    </row>
    <row r="9" spans="1:4" x14ac:dyDescent="0.2">
      <c r="A9" s="27" t="s">
        <v>16</v>
      </c>
      <c r="B9" s="22"/>
      <c r="C9" s="18">
        <v>0</v>
      </c>
      <c r="D9" s="24">
        <f>B9+C9</f>
        <v>0</v>
      </c>
    </row>
    <row r="10" spans="1:4" ht="15.75" x14ac:dyDescent="0.25">
      <c r="A10" s="20"/>
      <c r="B10" s="21">
        <f>SUM(B9:B9)</f>
        <v>0</v>
      </c>
      <c r="C10" s="21">
        <f>SUM(C9:C9)</f>
        <v>0</v>
      </c>
      <c r="D10" s="25">
        <f>SUM(D9:E9)</f>
        <v>0</v>
      </c>
    </row>
    <row r="12" spans="1:4" ht="15.75" x14ac:dyDescent="0.25">
      <c r="A12" s="30">
        <v>43070</v>
      </c>
      <c r="B12" s="19" t="s">
        <v>12</v>
      </c>
      <c r="C12" s="19" t="s">
        <v>13</v>
      </c>
      <c r="D12" s="23" t="s">
        <v>0</v>
      </c>
    </row>
    <row r="13" spans="1:4" x14ac:dyDescent="0.2">
      <c r="A13" s="27" t="s">
        <v>16</v>
      </c>
      <c r="B13" s="22"/>
      <c r="C13" s="18">
        <v>0</v>
      </c>
      <c r="D13" s="24">
        <f>B13+C13</f>
        <v>0</v>
      </c>
    </row>
    <row r="14" spans="1:4" ht="15.75" x14ac:dyDescent="0.25">
      <c r="A14" s="20"/>
      <c r="B14" s="21">
        <f>SUM(B13:B13)</f>
        <v>0</v>
      </c>
      <c r="C14" s="21">
        <f>SUM(C13:C13)</f>
        <v>0</v>
      </c>
      <c r="D14" s="25">
        <f>SUM(D13:E13)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44"/>
  <sheetViews>
    <sheetView topLeftCell="A31" zoomScaleNormal="100" workbookViewId="0">
      <selection activeCell="D38" sqref="D38"/>
    </sheetView>
  </sheetViews>
  <sheetFormatPr defaultRowHeight="12.75" x14ac:dyDescent="0.2"/>
  <cols>
    <col min="1" max="2" width="2.140625" customWidth="1"/>
    <col min="3" max="3" width="43" bestFit="1" customWidth="1"/>
    <col min="4" max="4" width="14.28515625" bestFit="1" customWidth="1"/>
    <col min="5" max="5" width="13.5703125" bestFit="1" customWidth="1"/>
    <col min="6" max="6" width="43.28515625" customWidth="1"/>
    <col min="7" max="7" width="15.28515625" bestFit="1" customWidth="1"/>
    <col min="8" max="8" width="2.140625" customWidth="1"/>
    <col min="9" max="9" width="2.42578125" customWidth="1"/>
  </cols>
  <sheetData>
    <row r="1" spans="1:9" ht="13.5" thickBot="1" x14ac:dyDescent="0.25">
      <c r="A1" s="56"/>
      <c r="B1" s="56"/>
      <c r="C1" s="56"/>
      <c r="D1" s="56"/>
      <c r="E1" s="56"/>
      <c r="F1" s="56"/>
      <c r="G1" s="56"/>
      <c r="H1" s="56"/>
      <c r="I1" s="56"/>
    </row>
    <row r="2" spans="1:9" x14ac:dyDescent="0.2">
      <c r="A2" s="56"/>
      <c r="B2" s="57"/>
      <c r="C2" s="58"/>
      <c r="D2" s="58"/>
      <c r="E2" s="58"/>
      <c r="F2" s="58"/>
      <c r="G2" s="58"/>
      <c r="H2" s="59"/>
      <c r="I2" s="56"/>
    </row>
    <row r="3" spans="1:9" ht="18.75" x14ac:dyDescent="0.3">
      <c r="A3" s="56"/>
      <c r="B3" s="60"/>
      <c r="D3" s="61"/>
      <c r="E3" s="61"/>
      <c r="F3" s="62" t="s">
        <v>38</v>
      </c>
      <c r="G3" s="61"/>
      <c r="H3" s="63"/>
      <c r="I3" s="56"/>
    </row>
    <row r="4" spans="1:9" x14ac:dyDescent="0.2">
      <c r="A4" s="56"/>
      <c r="B4" s="60"/>
      <c r="C4" s="64"/>
      <c r="D4" s="64"/>
      <c r="E4" s="64"/>
      <c r="F4" s="64"/>
      <c r="G4" s="64"/>
      <c r="H4" s="63"/>
      <c r="I4" s="56"/>
    </row>
    <row r="5" spans="1:9" ht="15" x14ac:dyDescent="0.25">
      <c r="A5" s="56"/>
      <c r="B5" s="60"/>
      <c r="C5" s="65" t="s">
        <v>39</v>
      </c>
      <c r="D5" s="66">
        <v>42997</v>
      </c>
      <c r="E5" s="67"/>
      <c r="F5" s="67"/>
      <c r="G5" s="67"/>
      <c r="H5" s="63"/>
      <c r="I5" s="56"/>
    </row>
    <row r="6" spans="1:9" x14ac:dyDescent="0.2">
      <c r="A6" s="56"/>
      <c r="B6" s="60"/>
      <c r="C6" s="68"/>
      <c r="D6" s="64"/>
      <c r="E6" s="64"/>
      <c r="F6" s="64"/>
      <c r="G6" s="64"/>
      <c r="H6" s="63"/>
      <c r="I6" s="56"/>
    </row>
    <row r="7" spans="1:9" x14ac:dyDescent="0.2">
      <c r="A7" s="56"/>
      <c r="B7" s="60"/>
      <c r="C7" s="69" t="s">
        <v>40</v>
      </c>
      <c r="D7" s="70"/>
      <c r="E7" s="70"/>
      <c r="F7" s="70"/>
      <c r="G7" s="70"/>
      <c r="H7" s="63"/>
      <c r="I7" s="56"/>
    </row>
    <row r="8" spans="1:9" x14ac:dyDescent="0.2">
      <c r="A8" s="56"/>
      <c r="B8" s="60"/>
      <c r="C8" s="68" t="s">
        <v>41</v>
      </c>
      <c r="D8" s="290" t="s">
        <v>42</v>
      </c>
      <c r="E8" s="290"/>
      <c r="F8" s="290"/>
      <c r="G8" s="290"/>
      <c r="H8" s="63"/>
      <c r="I8" s="56"/>
    </row>
    <row r="9" spans="1:9" x14ac:dyDescent="0.2">
      <c r="A9" s="56"/>
      <c r="B9" s="60"/>
      <c r="C9" s="68" t="s">
        <v>43</v>
      </c>
      <c r="D9" s="71" t="s">
        <v>44</v>
      </c>
      <c r="E9" s="71"/>
      <c r="F9" s="71"/>
      <c r="G9" s="71"/>
      <c r="H9" s="63"/>
      <c r="I9" s="56"/>
    </row>
    <row r="10" spans="1:9" x14ac:dyDescent="0.2">
      <c r="A10" s="56"/>
      <c r="B10" s="60"/>
      <c r="C10" s="68"/>
      <c r="D10" s="72"/>
      <c r="E10" s="64"/>
      <c r="F10" s="64"/>
      <c r="G10" s="64"/>
      <c r="H10" s="63"/>
      <c r="I10" s="56"/>
    </row>
    <row r="11" spans="1:9" x14ac:dyDescent="0.2">
      <c r="A11" s="56"/>
      <c r="B11" s="60"/>
      <c r="C11" s="69" t="s">
        <v>45</v>
      </c>
      <c r="D11" s="73"/>
      <c r="E11" s="70"/>
      <c r="F11" s="70"/>
      <c r="G11" s="70"/>
      <c r="H11" s="63"/>
      <c r="I11" s="56"/>
    </row>
    <row r="12" spans="1:9" x14ac:dyDescent="0.2">
      <c r="A12" s="56"/>
      <c r="B12" s="60"/>
      <c r="C12" s="74">
        <v>43221</v>
      </c>
      <c r="D12" s="75"/>
      <c r="E12" s="76"/>
      <c r="F12" s="74">
        <v>43344</v>
      </c>
      <c r="G12" s="76"/>
      <c r="H12" s="63"/>
      <c r="I12" s="56"/>
    </row>
    <row r="13" spans="1:9" x14ac:dyDescent="0.2">
      <c r="A13" s="56"/>
      <c r="B13" s="60"/>
      <c r="C13" s="68" t="s">
        <v>46</v>
      </c>
      <c r="D13" s="77">
        <v>42979</v>
      </c>
      <c r="E13" s="64"/>
      <c r="F13" s="68" t="s">
        <v>46</v>
      </c>
      <c r="G13" s="77">
        <v>42979</v>
      </c>
      <c r="H13" s="63"/>
      <c r="I13" s="56"/>
    </row>
    <row r="14" spans="1:9" x14ac:dyDescent="0.2">
      <c r="A14" s="56"/>
      <c r="B14" s="60"/>
      <c r="C14" s="68" t="s">
        <v>47</v>
      </c>
      <c r="D14" s="77">
        <v>43265</v>
      </c>
      <c r="E14" s="64"/>
      <c r="F14" s="68" t="s">
        <v>47</v>
      </c>
      <c r="G14" s="78">
        <v>43388</v>
      </c>
      <c r="H14" s="63"/>
      <c r="I14" s="56"/>
    </row>
    <row r="15" spans="1:9" x14ac:dyDescent="0.2">
      <c r="A15" s="56"/>
      <c r="B15" s="60"/>
      <c r="C15" s="68" t="s">
        <v>48</v>
      </c>
      <c r="D15" s="79">
        <v>193</v>
      </c>
      <c r="E15" s="64"/>
      <c r="F15" s="68" t="s">
        <v>48</v>
      </c>
      <c r="G15" s="79">
        <v>278</v>
      </c>
      <c r="H15" s="63"/>
      <c r="I15" s="56"/>
    </row>
    <row r="16" spans="1:9" x14ac:dyDescent="0.2">
      <c r="A16" s="56"/>
      <c r="B16" s="60"/>
      <c r="C16" s="80" t="s">
        <v>49</v>
      </c>
      <c r="D16" s="81">
        <v>912533</v>
      </c>
      <c r="E16" s="64"/>
      <c r="F16" s="80" t="s">
        <v>49</v>
      </c>
      <c r="G16" s="81">
        <v>1414448</v>
      </c>
      <c r="H16" s="63"/>
      <c r="I16" s="56"/>
    </row>
    <row r="17" spans="1:9" x14ac:dyDescent="0.2">
      <c r="A17" s="56"/>
      <c r="B17" s="60"/>
      <c r="C17" s="165" t="s">
        <v>158</v>
      </c>
      <c r="D17" s="166">
        <f>D16-D22-D23+0.33</f>
        <v>75527.275669632407</v>
      </c>
      <c r="E17" s="64"/>
      <c r="F17" s="165" t="s">
        <v>158</v>
      </c>
      <c r="G17" s="166">
        <f>G16-G22-G23+0.13</f>
        <v>165966.08601403248</v>
      </c>
      <c r="H17" s="63"/>
      <c r="I17" s="56"/>
    </row>
    <row r="18" spans="1:9" x14ac:dyDescent="0.2">
      <c r="A18" s="56"/>
      <c r="B18" s="60"/>
      <c r="C18" s="82" t="s">
        <v>50</v>
      </c>
      <c r="D18" s="83">
        <v>0.11941163791332077</v>
      </c>
      <c r="E18" s="84"/>
      <c r="F18" s="82" t="s">
        <v>50</v>
      </c>
      <c r="G18" s="83">
        <v>0.11978638395385177</v>
      </c>
      <c r="H18" s="63"/>
      <c r="I18" s="56"/>
    </row>
    <row r="19" spans="1:9" x14ac:dyDescent="0.2">
      <c r="A19" s="56"/>
      <c r="B19" s="60"/>
      <c r="C19" s="85" t="s">
        <v>51</v>
      </c>
      <c r="D19" s="86">
        <f>(1+D18)^(1/12)-1</f>
        <v>9.4445899593811333E-3</v>
      </c>
      <c r="E19" s="87"/>
      <c r="F19" s="85" t="s">
        <v>51</v>
      </c>
      <c r="G19" s="86">
        <f>(1+G18)^(1/12)-1</f>
        <v>9.4727466654014325E-3</v>
      </c>
      <c r="H19" s="63"/>
      <c r="I19" s="56"/>
    </row>
    <row r="20" spans="1:9" ht="15" x14ac:dyDescent="0.25">
      <c r="A20" s="56"/>
      <c r="B20" s="60"/>
      <c r="C20" s="80" t="s">
        <v>52</v>
      </c>
      <c r="D20" s="81">
        <f>D16/((1+D18)^(D15/252))</f>
        <v>837006.05433036759</v>
      </c>
      <c r="E20" s="88"/>
      <c r="F20" s="80" t="s">
        <v>52</v>
      </c>
      <c r="G20" s="81">
        <f>G16/((1+G18)^(G15/252))</f>
        <v>1248482.0439859675</v>
      </c>
      <c r="H20" s="63"/>
      <c r="I20" s="56"/>
    </row>
    <row r="21" spans="1:9" ht="15" x14ac:dyDescent="0.25">
      <c r="A21" s="56"/>
      <c r="B21" s="60"/>
      <c r="C21" s="80"/>
      <c r="D21" s="81"/>
      <c r="E21" s="88"/>
      <c r="F21" s="80"/>
      <c r="G21" s="81"/>
      <c r="H21" s="63"/>
      <c r="I21" s="56"/>
    </row>
    <row r="22" spans="1:9" x14ac:dyDescent="0.2">
      <c r="A22" s="56"/>
      <c r="B22" s="60"/>
      <c r="C22" s="89" t="s">
        <v>53</v>
      </c>
      <c r="D22" s="168">
        <f>IF(G16=0,$D$42*$G$38,$D$42*$G$38*$G$40)</f>
        <v>34032.20919120116</v>
      </c>
      <c r="E22" s="90"/>
      <c r="F22" s="167" t="s">
        <v>53</v>
      </c>
      <c r="G22" s="168">
        <f>IF(D16=0,$D$42*$G$38,$D$42*$G$38*$G$41)</f>
        <v>52750.739125134212</v>
      </c>
      <c r="H22" s="63"/>
      <c r="I22" s="56"/>
    </row>
    <row r="23" spans="1:9" x14ac:dyDescent="0.2">
      <c r="A23" s="56"/>
      <c r="B23" s="60"/>
      <c r="C23" s="80" t="s">
        <v>54</v>
      </c>
      <c r="D23" s="164">
        <f>D20-D22</f>
        <v>802973.84513916646</v>
      </c>
      <c r="E23" s="91"/>
      <c r="F23" s="80" t="s">
        <v>54</v>
      </c>
      <c r="G23" s="164">
        <f>G20-G22</f>
        <v>1195731.3048608333</v>
      </c>
      <c r="H23" s="63"/>
      <c r="I23" s="56"/>
    </row>
    <row r="24" spans="1:9" ht="15" x14ac:dyDescent="0.25">
      <c r="A24" s="56"/>
      <c r="B24" s="60"/>
      <c r="C24" s="92" t="s">
        <v>55</v>
      </c>
      <c r="D24" s="93">
        <f>(D16/D23)^(252/D15)-1</f>
        <v>0.18175629214232703</v>
      </c>
      <c r="E24" s="94"/>
      <c r="F24" s="92" t="s">
        <v>55</v>
      </c>
      <c r="G24" s="93">
        <f>(G16/G23)^(252/G15)-1</f>
        <v>0.16447564012656302</v>
      </c>
      <c r="H24" s="63"/>
      <c r="I24" s="56"/>
    </row>
    <row r="25" spans="1:9" ht="15" x14ac:dyDescent="0.25">
      <c r="A25" s="56"/>
      <c r="B25" s="60"/>
      <c r="C25" s="92" t="s">
        <v>56</v>
      </c>
      <c r="D25" s="93">
        <f>(1+D24)^(1/12)-1</f>
        <v>1.4014099183005335E-2</v>
      </c>
      <c r="E25" s="94"/>
      <c r="F25" s="92" t="s">
        <v>56</v>
      </c>
      <c r="G25" s="93">
        <f>(1+G24)^(1/12)-1</f>
        <v>1.2770090979749238E-2</v>
      </c>
      <c r="H25" s="63"/>
      <c r="I25" s="56"/>
    </row>
    <row r="26" spans="1:9" ht="15" x14ac:dyDescent="0.25">
      <c r="A26" s="56"/>
      <c r="B26" s="60"/>
      <c r="C26" s="92" t="s">
        <v>57</v>
      </c>
      <c r="D26" s="93">
        <f>(D16/D23)-100%</f>
        <v>0.13644174779048424</v>
      </c>
      <c r="E26" s="94"/>
      <c r="F26" s="92" t="s">
        <v>57</v>
      </c>
      <c r="G26" s="93">
        <f>(G16/G23)-100%</f>
        <v>0.18291458478175593</v>
      </c>
      <c r="H26" s="63"/>
      <c r="I26" s="56"/>
    </row>
    <row r="27" spans="1:9" x14ac:dyDescent="0.2">
      <c r="A27" s="56"/>
      <c r="B27" s="60"/>
      <c r="C27" s="68"/>
      <c r="D27" s="64"/>
      <c r="E27" s="64"/>
      <c r="F27" s="64"/>
      <c r="G27" s="64"/>
      <c r="H27" s="63"/>
      <c r="I27" s="56"/>
    </row>
    <row r="28" spans="1:9" x14ac:dyDescent="0.2">
      <c r="A28" s="56"/>
      <c r="B28" s="60"/>
      <c r="C28" s="69" t="s">
        <v>58</v>
      </c>
      <c r="D28" s="70"/>
      <c r="E28" s="70"/>
      <c r="F28" s="70"/>
      <c r="G28" s="70"/>
      <c r="H28" s="63"/>
      <c r="I28" s="56"/>
    </row>
    <row r="29" spans="1:9" x14ac:dyDescent="0.2">
      <c r="A29" s="56"/>
      <c r="B29" s="60"/>
      <c r="C29" s="80" t="s">
        <v>59</v>
      </c>
      <c r="D29" s="64"/>
      <c r="E29" s="64"/>
      <c r="F29" s="80" t="s">
        <v>60</v>
      </c>
      <c r="G29" s="64"/>
      <c r="H29" s="63"/>
      <c r="I29" s="56"/>
    </row>
    <row r="30" spans="1:9" x14ac:dyDescent="0.2">
      <c r="A30" s="56"/>
      <c r="B30" s="60"/>
      <c r="C30" s="68" t="s">
        <v>61</v>
      </c>
      <c r="D30" s="95">
        <f>1180387.52+32548.97</f>
        <v>1212936.49</v>
      </c>
      <c r="E30" s="64"/>
      <c r="F30" s="68" t="s">
        <v>61</v>
      </c>
      <c r="G30" s="95">
        <v>785768.66</v>
      </c>
      <c r="H30" s="63"/>
      <c r="I30" s="56"/>
    </row>
    <row r="31" spans="1:9" x14ac:dyDescent="0.2">
      <c r="A31" s="56"/>
      <c r="B31" s="60"/>
      <c r="C31" s="68"/>
      <c r="D31" s="96" t="s">
        <v>62</v>
      </c>
      <c r="E31" s="95">
        <f>(D23+G23)-(D30+G30)</f>
        <v>0</v>
      </c>
      <c r="F31" s="96"/>
      <c r="G31" s="64"/>
      <c r="H31" s="63"/>
      <c r="I31" s="56"/>
    </row>
    <row r="32" spans="1:9" x14ac:dyDescent="0.2">
      <c r="A32" s="56"/>
      <c r="B32" s="60"/>
      <c r="C32" s="68"/>
      <c r="D32" s="64"/>
      <c r="E32" s="64"/>
      <c r="F32" s="64"/>
      <c r="G32" s="64"/>
      <c r="H32" s="63"/>
      <c r="I32" s="56"/>
    </row>
    <row r="33" spans="1:9" x14ac:dyDescent="0.2">
      <c r="A33" s="56"/>
      <c r="B33" s="60"/>
      <c r="C33" s="69" t="s">
        <v>63</v>
      </c>
      <c r="D33" s="70"/>
      <c r="E33" s="70"/>
      <c r="F33" s="70"/>
      <c r="G33" s="70"/>
      <c r="H33" s="63"/>
      <c r="I33" s="56"/>
    </row>
    <row r="34" spans="1:9" x14ac:dyDescent="0.2">
      <c r="A34" s="56"/>
      <c r="B34" s="60"/>
      <c r="C34" s="92"/>
      <c r="D34" s="97"/>
      <c r="E34" s="84"/>
      <c r="F34" s="84"/>
      <c r="G34" s="84"/>
      <c r="H34" s="63"/>
      <c r="I34" s="56"/>
    </row>
    <row r="35" spans="1:9" x14ac:dyDescent="0.2">
      <c r="A35" s="56"/>
      <c r="B35" s="60"/>
      <c r="C35" s="98" t="s">
        <v>64</v>
      </c>
      <c r="D35" s="87"/>
      <c r="E35" s="99"/>
      <c r="F35" s="98" t="s">
        <v>65</v>
      </c>
      <c r="G35" s="87"/>
      <c r="H35" s="63"/>
      <c r="I35" s="56"/>
    </row>
    <row r="36" spans="1:9" x14ac:dyDescent="0.2">
      <c r="A36" s="56"/>
      <c r="B36" s="60"/>
      <c r="C36" s="68" t="s">
        <v>66</v>
      </c>
      <c r="D36" s="97">
        <v>1248483.5411094925</v>
      </c>
      <c r="E36" s="100">
        <f>D36*$G$38</f>
        <v>32841.13524365722</v>
      </c>
      <c r="F36" s="68" t="s">
        <v>67</v>
      </c>
      <c r="G36" s="72">
        <v>79281594.457991377</v>
      </c>
      <c r="H36" s="63"/>
      <c r="I36" s="56"/>
    </row>
    <row r="37" spans="1:9" x14ac:dyDescent="0.2">
      <c r="A37" s="56"/>
      <c r="B37" s="60"/>
      <c r="C37" s="68" t="s">
        <v>68</v>
      </c>
      <c r="D37" s="97">
        <v>1111496.4201342147</v>
      </c>
      <c r="E37" s="100">
        <f t="shared" ref="E37:E42" si="0">D37*$G$38</f>
        <v>29237.713637802197</v>
      </c>
      <c r="F37" s="89" t="s">
        <v>69</v>
      </c>
      <c r="G37" s="101">
        <f>D20+G20</f>
        <v>2085488.0983163351</v>
      </c>
      <c r="H37" s="63"/>
      <c r="I37" s="56"/>
    </row>
    <row r="38" spans="1:9" x14ac:dyDescent="0.2">
      <c r="A38" s="56"/>
      <c r="B38" s="60"/>
      <c r="C38" s="68" t="s">
        <v>70</v>
      </c>
      <c r="D38" s="97">
        <v>260303.02841224044</v>
      </c>
      <c r="E38" s="100">
        <f t="shared" si="0"/>
        <v>6847.2243957841783</v>
      </c>
      <c r="F38" s="80" t="s">
        <v>71</v>
      </c>
      <c r="G38" s="163">
        <f>G37/G36</f>
        <v>2.6304820337857412E-2</v>
      </c>
      <c r="H38" s="63"/>
      <c r="I38" s="56"/>
    </row>
    <row r="39" spans="1:9" x14ac:dyDescent="0.2">
      <c r="A39" s="56"/>
      <c r="B39" s="60"/>
      <c r="C39" s="68" t="s">
        <v>72</v>
      </c>
      <c r="D39" s="97">
        <v>592852.75852147432</v>
      </c>
      <c r="E39" s="100">
        <f t="shared" si="0"/>
        <v>15594.885299710546</v>
      </c>
      <c r="F39" s="64"/>
      <c r="G39" s="102"/>
      <c r="H39" s="63"/>
      <c r="I39" s="56"/>
    </row>
    <row r="40" spans="1:9" x14ac:dyDescent="0.2">
      <c r="A40" s="56"/>
      <c r="B40" s="60"/>
      <c r="C40" s="68" t="s">
        <v>73</v>
      </c>
      <c r="D40" s="97">
        <v>85991.453670026138</v>
      </c>
      <c r="E40" s="100">
        <f t="shared" si="0"/>
        <v>2261.9897393812271</v>
      </c>
      <c r="F40" s="103" t="s">
        <v>74</v>
      </c>
      <c r="G40" s="83">
        <f>D16/(D16+G16)</f>
        <v>0.39215318045140896</v>
      </c>
      <c r="H40" s="63"/>
      <c r="I40" s="56"/>
    </row>
    <row r="41" spans="1:9" x14ac:dyDescent="0.2">
      <c r="A41" s="56"/>
      <c r="B41" s="60"/>
      <c r="C41" s="89"/>
      <c r="D41" s="104"/>
      <c r="E41" s="100"/>
      <c r="F41" s="89" t="s">
        <v>75</v>
      </c>
      <c r="G41" s="86">
        <f>1-G40</f>
        <v>0.6078468195485911</v>
      </c>
      <c r="H41" s="63"/>
      <c r="I41" s="56"/>
    </row>
    <row r="42" spans="1:9" x14ac:dyDescent="0.2">
      <c r="A42" s="56"/>
      <c r="B42" s="60"/>
      <c r="C42" s="80" t="s">
        <v>0</v>
      </c>
      <c r="D42" s="105">
        <f>SUM(D36:D41)</f>
        <v>3299127.2018474485</v>
      </c>
      <c r="E42" s="100">
        <f t="shared" si="0"/>
        <v>86782.948316335373</v>
      </c>
      <c r="F42" s="64"/>
      <c r="G42" s="64"/>
      <c r="H42" s="63"/>
      <c r="I42" s="56"/>
    </row>
    <row r="43" spans="1:9" ht="13.5" thickBot="1" x14ac:dyDescent="0.25">
      <c r="A43" s="56"/>
      <c r="B43" s="106"/>
      <c r="C43" s="107"/>
      <c r="D43" s="108"/>
      <c r="E43" s="107"/>
      <c r="F43" s="107"/>
      <c r="G43" s="108">
        <f>G37-'CRA - VERT'!A7</f>
        <v>1282514.2531771688</v>
      </c>
      <c r="H43" s="109"/>
      <c r="I43" s="56"/>
    </row>
    <row r="44" spans="1:9" x14ac:dyDescent="0.2">
      <c r="A44" s="56"/>
      <c r="B44" s="56"/>
      <c r="C44" s="56"/>
      <c r="D44" s="56"/>
      <c r="E44" s="56"/>
      <c r="F44" s="56"/>
      <c r="G44" s="56"/>
      <c r="H44" s="56"/>
      <c r="I44" s="56"/>
    </row>
  </sheetData>
  <mergeCells count="1">
    <mergeCell ref="D8:G8"/>
  </mergeCells>
  <pageMargins left="0.511811024" right="0.511811024" top="0.78740157499999996" bottom="0.78740157499999996" header="0.31496062000000002" footer="0.31496062000000002"/>
  <pageSetup paperSize="9" scale="8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'[1]Controle Lastros'!#REF!</xm:f>
          </x14:formula1>
          <xm:sqref>D8:G8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D2" sqref="D2"/>
    </sheetView>
  </sheetViews>
  <sheetFormatPr defaultRowHeight="12.75" x14ac:dyDescent="0.2"/>
  <cols>
    <col min="1" max="1" width="39" customWidth="1"/>
    <col min="2" max="2" width="10.85546875" bestFit="1" customWidth="1"/>
    <col min="3" max="3" width="18.85546875" customWidth="1"/>
    <col min="6" max="6" width="10.140625" bestFit="1" customWidth="1"/>
    <col min="7" max="7" width="11.5703125" bestFit="1" customWidth="1"/>
    <col min="9" max="9" width="11.5703125" bestFit="1" customWidth="1"/>
    <col min="10" max="10" width="10.5703125" bestFit="1" customWidth="1"/>
  </cols>
  <sheetData>
    <row r="1" spans="1:10" ht="25.5" x14ac:dyDescent="0.2">
      <c r="B1" s="33" t="s">
        <v>17</v>
      </c>
      <c r="C1" s="34" t="s">
        <v>18</v>
      </c>
      <c r="E1" s="35" t="s">
        <v>19</v>
      </c>
      <c r="F1" s="35" t="s">
        <v>20</v>
      </c>
      <c r="G1" s="35" t="s">
        <v>21</v>
      </c>
      <c r="H1" s="35" t="s">
        <v>22</v>
      </c>
      <c r="I1" s="36" t="s">
        <v>23</v>
      </c>
      <c r="J1" s="37" t="s">
        <v>6</v>
      </c>
    </row>
    <row r="2" spans="1:10" ht="15" x14ac:dyDescent="0.25">
      <c r="A2" s="38" t="s">
        <v>24</v>
      </c>
      <c r="B2" s="39">
        <v>1.530947E-2</v>
      </c>
      <c r="C2" s="40">
        <f>(1+B2)^12-1</f>
        <v>0.1999999929123788</v>
      </c>
      <c r="E2" s="35">
        <v>173</v>
      </c>
      <c r="F2" s="41">
        <f>C4</f>
        <v>4.4333315886335711E-4</v>
      </c>
      <c r="G2" s="42">
        <v>404405.19</v>
      </c>
      <c r="H2" s="35"/>
      <c r="I2" s="43">
        <f>G2+J2</f>
        <v>435421.70784941444</v>
      </c>
      <c r="J2" s="44">
        <f>SUM((G2*F2)*E2)</f>
        <v>31016.517849414449</v>
      </c>
    </row>
    <row r="3" spans="1:10" x14ac:dyDescent="0.2">
      <c r="A3" s="38" t="s">
        <v>25</v>
      </c>
      <c r="B3" s="39">
        <v>0.2</v>
      </c>
      <c r="C3" s="45">
        <f>(1+B3)^(1/12)-1</f>
        <v>1.5309470499731193E-2</v>
      </c>
    </row>
    <row r="4" spans="1:10" x14ac:dyDescent="0.2">
      <c r="A4" s="38" t="s">
        <v>26</v>
      </c>
      <c r="B4" s="39">
        <v>0.17299999999999999</v>
      </c>
      <c r="C4" s="45">
        <f>(1+B4)^(1/360)-1</f>
        <v>4.4333315886335711E-4</v>
      </c>
    </row>
    <row r="6" spans="1:10" x14ac:dyDescent="0.2">
      <c r="A6" s="38" t="s">
        <v>27</v>
      </c>
      <c r="B6" s="46">
        <v>0.05</v>
      </c>
      <c r="C6" s="47">
        <f>(1+B6)^30-1</f>
        <v>3.3219423751506625</v>
      </c>
    </row>
    <row r="7" spans="1:10" x14ac:dyDescent="0.2">
      <c r="A7" s="38" t="s">
        <v>28</v>
      </c>
      <c r="B7" s="39">
        <v>3.7568250000000002E-4</v>
      </c>
      <c r="C7" s="47">
        <f>(1+B7)^360-1</f>
        <v>0.14478895545734405</v>
      </c>
    </row>
    <row r="8" spans="1:10" x14ac:dyDescent="0.2">
      <c r="A8" s="38" t="s">
        <v>29</v>
      </c>
      <c r="B8" s="39">
        <v>1.530947E-2</v>
      </c>
      <c r="C8" s="47">
        <f>(1+B8)^(1/30)-1</f>
        <v>5.0657701928757959E-4</v>
      </c>
    </row>
    <row r="9" spans="1:10" x14ac:dyDescent="0.2">
      <c r="A9" s="38" t="s">
        <v>24</v>
      </c>
    </row>
    <row r="10" spans="1:10" x14ac:dyDescent="0.2">
      <c r="A10" s="38" t="s">
        <v>26</v>
      </c>
    </row>
    <row r="11" spans="1:10" x14ac:dyDescent="0.2">
      <c r="A11" s="38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B2"/>
    </sheetView>
  </sheetViews>
  <sheetFormatPr defaultRowHeight="12.75" x14ac:dyDescent="0.2"/>
  <cols>
    <col min="2" max="4" width="12.140625" customWidth="1"/>
    <col min="6" max="11" width="12.140625" customWidth="1"/>
  </cols>
  <sheetData>
    <row r="1" spans="1:11" ht="15" x14ac:dyDescent="0.25">
      <c r="A1" s="48"/>
      <c r="B1" s="49" t="s">
        <v>31</v>
      </c>
      <c r="C1" s="18"/>
      <c r="D1" s="18"/>
      <c r="F1" s="49" t="s">
        <v>31</v>
      </c>
      <c r="G1" s="18"/>
      <c r="H1" s="18"/>
      <c r="I1" s="50"/>
      <c r="J1" s="50"/>
      <c r="K1" s="50"/>
    </row>
    <row r="2" spans="1:11" ht="15" x14ac:dyDescent="0.25">
      <c r="A2" s="48"/>
      <c r="B2" s="18">
        <v>1966156.19</v>
      </c>
      <c r="C2" s="18">
        <v>0</v>
      </c>
      <c r="D2" s="49">
        <f>B2+C2</f>
        <v>1966156.19</v>
      </c>
      <c r="F2" s="18">
        <v>1966156.19</v>
      </c>
      <c r="G2" s="18">
        <v>0</v>
      </c>
      <c r="H2" s="49">
        <f>F2+G2</f>
        <v>1966156.19</v>
      </c>
      <c r="I2" s="50">
        <f>B2-F2</f>
        <v>0</v>
      </c>
      <c r="J2" s="50">
        <f>C2-G2</f>
        <v>0</v>
      </c>
      <c r="K2" s="50">
        <f>I2+J2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topLeftCell="A13" workbookViewId="0">
      <selection activeCell="J23" sqref="J23"/>
    </sheetView>
  </sheetViews>
  <sheetFormatPr defaultRowHeight="12.75" x14ac:dyDescent="0.2"/>
  <cols>
    <col min="1" max="1" width="3.5703125" bestFit="1" customWidth="1"/>
    <col min="2" max="2" width="4" bestFit="1" customWidth="1"/>
    <col min="3" max="3" width="3.85546875" bestFit="1" customWidth="1"/>
    <col min="4" max="4" width="8" bestFit="1" customWidth="1"/>
    <col min="5" max="5" width="3.28515625" bestFit="1" customWidth="1"/>
    <col min="6" max="6" width="12.28515625" bestFit="1" customWidth="1"/>
    <col min="7" max="7" width="11.7109375" bestFit="1" customWidth="1"/>
    <col min="8" max="8" width="10.85546875" customWidth="1"/>
    <col min="9" max="11" width="11.28515625" bestFit="1" customWidth="1"/>
    <col min="12" max="12" width="12.5703125" bestFit="1" customWidth="1"/>
    <col min="13" max="13" width="4.5703125" bestFit="1" customWidth="1"/>
    <col min="14" max="14" width="8" bestFit="1" customWidth="1"/>
    <col min="15" max="15" width="6.5703125" bestFit="1" customWidth="1"/>
    <col min="16" max="16" width="11.28515625" bestFit="1" customWidth="1"/>
    <col min="17" max="17" width="13.28515625" bestFit="1" customWidth="1"/>
    <col min="18" max="18" width="6.7109375" bestFit="1" customWidth="1"/>
    <col min="19" max="19" width="11.28515625" bestFit="1" customWidth="1"/>
    <col min="20" max="20" width="10.140625" bestFit="1" customWidth="1"/>
    <col min="21" max="21" width="28.42578125" bestFit="1" customWidth="1"/>
    <col min="22" max="22" width="9.28515625" bestFit="1" customWidth="1"/>
    <col min="23" max="23" width="6.140625" bestFit="1" customWidth="1"/>
    <col min="24" max="24" width="11.28515625" bestFit="1" customWidth="1"/>
    <col min="25" max="25" width="10" bestFit="1" customWidth="1"/>
    <col min="26" max="26" width="6.85546875" bestFit="1" customWidth="1"/>
    <col min="27" max="27" width="6.5703125" bestFit="1" customWidth="1"/>
    <col min="28" max="28" width="10.140625" bestFit="1" customWidth="1"/>
    <col min="29" max="29" width="7.5703125" bestFit="1" customWidth="1"/>
  </cols>
  <sheetData>
    <row r="1" spans="1:29" x14ac:dyDescent="0.2">
      <c r="A1" s="110"/>
      <c r="B1" s="110"/>
      <c r="C1" s="110"/>
      <c r="D1" s="111"/>
      <c r="E1" s="111"/>
      <c r="F1" s="111"/>
      <c r="G1" s="112" t="s">
        <v>76</v>
      </c>
      <c r="H1" s="113" t="s">
        <v>77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</row>
    <row r="2" spans="1:29" x14ac:dyDescent="0.2">
      <c r="A2" s="110"/>
      <c r="B2" s="110"/>
      <c r="C2" s="110"/>
      <c r="D2" s="111"/>
      <c r="E2" s="111"/>
      <c r="F2" s="111"/>
      <c r="G2" s="112" t="s">
        <v>78</v>
      </c>
      <c r="H2" s="113" t="s">
        <v>79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</row>
    <row r="3" spans="1:29" x14ac:dyDescent="0.2">
      <c r="A3" s="110"/>
      <c r="B3" s="110"/>
      <c r="C3" s="110"/>
      <c r="D3" s="111"/>
      <c r="E3" s="111"/>
      <c r="F3" s="111"/>
      <c r="G3" s="112" t="s">
        <v>80</v>
      </c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</row>
    <row r="4" spans="1:29" x14ac:dyDescent="0.2">
      <c r="A4" s="110"/>
      <c r="B4" s="110"/>
      <c r="C4" s="110"/>
      <c r="D4" s="111"/>
      <c r="E4" s="111"/>
      <c r="F4" s="111"/>
      <c r="G4" s="112" t="s">
        <v>81</v>
      </c>
      <c r="H4" s="114" t="s">
        <v>82</v>
      </c>
      <c r="I4" s="115" t="s">
        <v>83</v>
      </c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</row>
    <row r="5" spans="1:29" x14ac:dyDescent="0.2">
      <c r="A5" s="110"/>
      <c r="B5" s="110"/>
      <c r="C5" s="110"/>
      <c r="D5" s="111"/>
      <c r="E5" s="111"/>
      <c r="F5" s="111"/>
      <c r="G5" s="112" t="s">
        <v>84</v>
      </c>
      <c r="H5" s="116">
        <v>0</v>
      </c>
      <c r="I5" s="117">
        <v>0</v>
      </c>
      <c r="J5" s="118" t="s">
        <v>85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</row>
    <row r="6" spans="1:29" x14ac:dyDescent="0.2">
      <c r="A6" s="110"/>
      <c r="B6" s="110"/>
      <c r="C6" s="110"/>
      <c r="D6" s="111"/>
      <c r="E6" s="111"/>
      <c r="F6" s="111"/>
      <c r="G6" s="112" t="s">
        <v>86</v>
      </c>
      <c r="H6" s="116">
        <v>0</v>
      </c>
      <c r="I6" s="117">
        <v>0</v>
      </c>
      <c r="J6" s="118" t="s">
        <v>85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</row>
    <row r="7" spans="1:29" x14ac:dyDescent="0.2">
      <c r="A7" s="110"/>
      <c r="B7" s="110"/>
      <c r="C7" s="110"/>
      <c r="D7" s="111"/>
      <c r="E7" s="111"/>
      <c r="F7" s="111"/>
      <c r="G7" s="112" t="s">
        <v>87</v>
      </c>
      <c r="H7" s="116">
        <v>0</v>
      </c>
      <c r="I7" s="117">
        <v>0</v>
      </c>
      <c r="J7" s="118" t="s">
        <v>85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x14ac:dyDescent="0.2">
      <c r="A8" s="110"/>
      <c r="B8" s="110"/>
      <c r="C8" s="110"/>
      <c r="D8" s="111"/>
      <c r="E8" s="111"/>
      <c r="F8" s="111"/>
      <c r="G8" s="112" t="s">
        <v>88</v>
      </c>
      <c r="H8" s="116">
        <v>0</v>
      </c>
      <c r="I8" s="117">
        <v>0</v>
      </c>
      <c r="J8" s="118" t="s">
        <v>85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</row>
    <row r="9" spans="1:29" x14ac:dyDescent="0.2">
      <c r="A9" s="110"/>
      <c r="B9" s="110"/>
      <c r="C9" s="110"/>
      <c r="D9" s="111"/>
      <c r="E9" s="111"/>
      <c r="F9" s="111"/>
      <c r="G9" s="112" t="s">
        <v>89</v>
      </c>
      <c r="H9" s="116">
        <v>0</v>
      </c>
      <c r="I9" s="119"/>
      <c r="J9" s="118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x14ac:dyDescent="0.2">
      <c r="A10" s="110"/>
      <c r="B10" s="110"/>
      <c r="C10" s="110"/>
      <c r="D10" s="111"/>
      <c r="E10" s="111"/>
      <c r="F10" s="111"/>
      <c r="G10" s="112" t="s">
        <v>90</v>
      </c>
      <c r="H10" s="116">
        <v>0</v>
      </c>
      <c r="I10" s="119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x14ac:dyDescent="0.2">
      <c r="A11" s="110"/>
      <c r="B11" s="110"/>
      <c r="C11" s="110"/>
      <c r="D11" s="111"/>
      <c r="E11" s="111"/>
      <c r="F11" s="111"/>
      <c r="G11" s="112" t="s">
        <v>91</v>
      </c>
      <c r="H11" s="120">
        <v>0</v>
      </c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</row>
    <row r="12" spans="1:29" x14ac:dyDescent="0.2">
      <c r="A12" s="111"/>
      <c r="B12" s="111"/>
      <c r="C12" s="111"/>
      <c r="D12" s="111"/>
      <c r="E12" s="111"/>
      <c r="F12" s="111"/>
      <c r="G12" s="112" t="s">
        <v>92</v>
      </c>
      <c r="H12" s="113">
        <v>42997</v>
      </c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 spans="1:29" ht="13.5" thickBot="1" x14ac:dyDescent="0.25">
      <c r="A13" s="111"/>
      <c r="B13" s="111"/>
      <c r="C13" s="111"/>
      <c r="D13" s="111"/>
      <c r="E13" s="111"/>
      <c r="F13" s="291" t="s">
        <v>93</v>
      </c>
      <c r="G13" s="292"/>
      <c r="H13" s="121">
        <v>0</v>
      </c>
      <c r="I13" s="111"/>
      <c r="J13" s="111"/>
      <c r="K13" s="122"/>
      <c r="L13" s="122"/>
      <c r="M13" s="123"/>
      <c r="N13" s="124"/>
      <c r="O13" s="125"/>
      <c r="P13" s="115"/>
      <c r="Q13" s="122"/>
      <c r="R13" s="125"/>
      <c r="S13" s="122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</row>
    <row r="14" spans="1:29" x14ac:dyDescent="0.2">
      <c r="A14" s="126" t="s">
        <v>94</v>
      </c>
      <c r="B14" s="126" t="s">
        <v>95</v>
      </c>
      <c r="C14" s="126" t="s">
        <v>96</v>
      </c>
      <c r="D14" s="126" t="s">
        <v>97</v>
      </c>
      <c r="E14" s="127" t="s">
        <v>98</v>
      </c>
      <c r="F14" s="126" t="s">
        <v>99</v>
      </c>
      <c r="G14" s="128" t="s">
        <v>100</v>
      </c>
      <c r="H14" s="128" t="s">
        <v>101</v>
      </c>
      <c r="I14" s="129" t="s">
        <v>102</v>
      </c>
      <c r="J14" s="129" t="s">
        <v>103</v>
      </c>
      <c r="K14" s="129" t="s">
        <v>104</v>
      </c>
      <c r="L14" s="129" t="s">
        <v>105</v>
      </c>
      <c r="M14" s="130" t="s">
        <v>106</v>
      </c>
      <c r="N14" s="131" t="s">
        <v>107</v>
      </c>
      <c r="O14" s="132" t="s">
        <v>108</v>
      </c>
      <c r="P14" s="133" t="s">
        <v>109</v>
      </c>
      <c r="Q14" s="133" t="s">
        <v>110</v>
      </c>
      <c r="R14" s="132" t="s">
        <v>111</v>
      </c>
      <c r="S14" s="134" t="s">
        <v>112</v>
      </c>
      <c r="T14" s="135" t="s">
        <v>113</v>
      </c>
      <c r="U14" s="136" t="s">
        <v>114</v>
      </c>
      <c r="V14" s="129" t="s">
        <v>115</v>
      </c>
      <c r="W14" s="129" t="s">
        <v>116</v>
      </c>
      <c r="X14" s="137" t="s">
        <v>117</v>
      </c>
      <c r="Y14" s="138" t="s">
        <v>118</v>
      </c>
      <c r="Z14" s="129" t="s">
        <v>119</v>
      </c>
      <c r="AA14" s="126" t="s">
        <v>120</v>
      </c>
      <c r="AB14" s="139" t="s">
        <v>121</v>
      </c>
      <c r="AC14" s="139" t="s">
        <v>122</v>
      </c>
    </row>
    <row r="15" spans="1:29" x14ac:dyDescent="0.2">
      <c r="A15" s="140" t="s">
        <v>123</v>
      </c>
      <c r="B15" s="140" t="s">
        <v>124</v>
      </c>
      <c r="C15" s="140" t="s">
        <v>125</v>
      </c>
      <c r="D15" s="140" t="s">
        <v>126</v>
      </c>
      <c r="E15" s="141">
        <v>2</v>
      </c>
      <c r="F15" s="140" t="s">
        <v>127</v>
      </c>
      <c r="G15" s="142">
        <v>42944</v>
      </c>
      <c r="H15" s="142">
        <v>42965</v>
      </c>
      <c r="I15" s="143">
        <v>142500</v>
      </c>
      <c r="J15" s="143">
        <v>142500</v>
      </c>
      <c r="K15" s="144">
        <v>142500</v>
      </c>
      <c r="L15" s="144">
        <v>142500</v>
      </c>
      <c r="M15" s="145">
        <v>-32</v>
      </c>
      <c r="N15" s="146" t="s">
        <v>128</v>
      </c>
      <c r="O15" s="147">
        <v>1</v>
      </c>
      <c r="P15" s="146">
        <v>142500</v>
      </c>
      <c r="Q15" s="143">
        <v>142500</v>
      </c>
      <c r="R15" s="147">
        <v>1</v>
      </c>
      <c r="S15" s="144">
        <v>142500</v>
      </c>
      <c r="T15" s="148" t="s">
        <v>129</v>
      </c>
      <c r="U15" s="149" t="s">
        <v>130</v>
      </c>
      <c r="V15" s="143">
        <v>15000</v>
      </c>
      <c r="W15" s="143">
        <v>9.5</v>
      </c>
      <c r="X15" s="150">
        <v>142500</v>
      </c>
      <c r="Y15" s="151">
        <v>300038649</v>
      </c>
      <c r="Z15" s="141" t="s">
        <v>131</v>
      </c>
      <c r="AA15" s="141">
        <v>20808</v>
      </c>
      <c r="AB15" s="142">
        <v>42905</v>
      </c>
      <c r="AC15" s="141" t="s">
        <v>132</v>
      </c>
    </row>
    <row r="16" spans="1:29" x14ac:dyDescent="0.2">
      <c r="A16" s="140" t="s">
        <v>123</v>
      </c>
      <c r="B16" s="140" t="s">
        <v>124</v>
      </c>
      <c r="C16" s="140" t="s">
        <v>125</v>
      </c>
      <c r="D16" s="140" t="s">
        <v>126</v>
      </c>
      <c r="E16" s="141">
        <v>1</v>
      </c>
      <c r="F16" s="140" t="s">
        <v>127</v>
      </c>
      <c r="G16" s="142">
        <v>42944</v>
      </c>
      <c r="H16" s="142">
        <v>42965</v>
      </c>
      <c r="I16" s="143">
        <v>210330</v>
      </c>
      <c r="J16" s="143">
        <v>210330</v>
      </c>
      <c r="K16" s="144">
        <v>210330</v>
      </c>
      <c r="L16" s="144">
        <v>210330</v>
      </c>
      <c r="M16" s="145">
        <v>-32</v>
      </c>
      <c r="N16" s="146" t="s">
        <v>128</v>
      </c>
      <c r="O16" s="147">
        <v>1</v>
      </c>
      <c r="P16" s="146">
        <v>210330</v>
      </c>
      <c r="Q16" s="143">
        <v>210330</v>
      </c>
      <c r="R16" s="147">
        <v>1</v>
      </c>
      <c r="S16" s="144">
        <v>210330</v>
      </c>
      <c r="T16" s="148" t="s">
        <v>129</v>
      </c>
      <c r="U16" s="149" t="s">
        <v>133</v>
      </c>
      <c r="V16" s="143">
        <v>17100</v>
      </c>
      <c r="W16" s="143">
        <v>12.3</v>
      </c>
      <c r="X16" s="150">
        <v>210330</v>
      </c>
      <c r="Y16" s="151">
        <v>300038649</v>
      </c>
      <c r="Z16" s="141" t="s">
        <v>131</v>
      </c>
      <c r="AA16" s="141">
        <v>20808</v>
      </c>
      <c r="AB16" s="142">
        <v>42905</v>
      </c>
      <c r="AC16" s="141" t="s">
        <v>132</v>
      </c>
    </row>
    <row r="17" spans="1:29" x14ac:dyDescent="0.2">
      <c r="A17" s="140" t="s">
        <v>123</v>
      </c>
      <c r="B17" s="140" t="s">
        <v>124</v>
      </c>
      <c r="C17" s="140" t="s">
        <v>125</v>
      </c>
      <c r="D17" s="140" t="s">
        <v>134</v>
      </c>
      <c r="E17" s="141">
        <v>1</v>
      </c>
      <c r="F17" s="140" t="s">
        <v>127</v>
      </c>
      <c r="G17" s="142">
        <v>42965</v>
      </c>
      <c r="H17" s="142">
        <v>42965</v>
      </c>
      <c r="I17" s="143">
        <v>4800</v>
      </c>
      <c r="J17" s="143">
        <v>4800</v>
      </c>
      <c r="K17" s="144">
        <v>4800</v>
      </c>
      <c r="L17" s="144">
        <v>4800</v>
      </c>
      <c r="M17" s="145">
        <v>-32</v>
      </c>
      <c r="N17" s="146" t="s">
        <v>128</v>
      </c>
      <c r="O17" s="147">
        <v>1</v>
      </c>
      <c r="P17" s="146">
        <v>4800</v>
      </c>
      <c r="Q17" s="143">
        <v>4800</v>
      </c>
      <c r="R17" s="147">
        <v>1</v>
      </c>
      <c r="S17" s="144">
        <v>4800</v>
      </c>
      <c r="T17" s="148" t="s">
        <v>129</v>
      </c>
      <c r="U17" s="149" t="s">
        <v>135</v>
      </c>
      <c r="V17" s="143">
        <v>60</v>
      </c>
      <c r="W17" s="143">
        <v>80</v>
      </c>
      <c r="X17" s="150">
        <v>4800</v>
      </c>
      <c r="Y17" s="151">
        <v>300038649</v>
      </c>
      <c r="Z17" s="141" t="s">
        <v>131</v>
      </c>
      <c r="AA17" s="141">
        <v>20808</v>
      </c>
      <c r="AB17" s="142">
        <v>42905</v>
      </c>
      <c r="AC17" s="141" t="s">
        <v>132</v>
      </c>
    </row>
    <row r="18" spans="1:29" x14ac:dyDescent="0.2">
      <c r="A18" s="140" t="s">
        <v>123</v>
      </c>
      <c r="B18" s="140" t="s">
        <v>124</v>
      </c>
      <c r="C18" s="140" t="s">
        <v>125</v>
      </c>
      <c r="D18" s="140" t="s">
        <v>136</v>
      </c>
      <c r="E18" s="141">
        <v>1</v>
      </c>
      <c r="F18" s="140" t="s">
        <v>127</v>
      </c>
      <c r="G18" s="142">
        <v>42965</v>
      </c>
      <c r="H18" s="142">
        <v>42965</v>
      </c>
      <c r="I18" s="143">
        <v>35670</v>
      </c>
      <c r="J18" s="143">
        <v>35670</v>
      </c>
      <c r="K18" s="144">
        <v>35670</v>
      </c>
      <c r="L18" s="144">
        <v>35670</v>
      </c>
      <c r="M18" s="145">
        <v>-32</v>
      </c>
      <c r="N18" s="146" t="s">
        <v>128</v>
      </c>
      <c r="O18" s="147">
        <v>1</v>
      </c>
      <c r="P18" s="146">
        <v>35670</v>
      </c>
      <c r="Q18" s="143">
        <v>35670</v>
      </c>
      <c r="R18" s="147">
        <v>1</v>
      </c>
      <c r="S18" s="144">
        <v>35670</v>
      </c>
      <c r="T18" s="148" t="s">
        <v>129</v>
      </c>
      <c r="U18" s="149" t="s">
        <v>133</v>
      </c>
      <c r="V18" s="143">
        <v>2900</v>
      </c>
      <c r="W18" s="143">
        <v>12.3</v>
      </c>
      <c r="X18" s="150">
        <v>35670</v>
      </c>
      <c r="Y18" s="151">
        <v>300038649</v>
      </c>
      <c r="Z18" s="141" t="s">
        <v>131</v>
      </c>
      <c r="AA18" s="141">
        <v>20808</v>
      </c>
      <c r="AB18" s="142">
        <v>42905</v>
      </c>
      <c r="AC18" s="141" t="s">
        <v>132</v>
      </c>
    </row>
    <row r="19" spans="1:29" x14ac:dyDescent="0.2">
      <c r="A19" s="140" t="s">
        <v>137</v>
      </c>
      <c r="B19" s="140" t="s">
        <v>124</v>
      </c>
      <c r="C19" s="140" t="s">
        <v>125</v>
      </c>
      <c r="D19" s="140" t="s">
        <v>138</v>
      </c>
      <c r="E19" s="141">
        <v>4</v>
      </c>
      <c r="F19" s="140" t="s">
        <v>127</v>
      </c>
      <c r="G19" s="142">
        <v>42935</v>
      </c>
      <c r="H19" s="142">
        <v>42965</v>
      </c>
      <c r="I19" s="143">
        <v>45500</v>
      </c>
      <c r="J19" s="143">
        <v>45500</v>
      </c>
      <c r="K19" s="144">
        <v>45500</v>
      </c>
      <c r="L19" s="144">
        <v>45500</v>
      </c>
      <c r="M19" s="145">
        <v>-32</v>
      </c>
      <c r="N19" s="146" t="s">
        <v>128</v>
      </c>
      <c r="O19" s="147">
        <v>1</v>
      </c>
      <c r="P19" s="146">
        <v>45500</v>
      </c>
      <c r="Q19" s="143">
        <v>45500</v>
      </c>
      <c r="R19" s="147">
        <v>1</v>
      </c>
      <c r="S19" s="144">
        <v>45500</v>
      </c>
      <c r="T19" s="148" t="s">
        <v>129</v>
      </c>
      <c r="U19" s="149" t="s">
        <v>139</v>
      </c>
      <c r="V19" s="143">
        <v>500</v>
      </c>
      <c r="W19" s="143">
        <v>91</v>
      </c>
      <c r="X19" s="150">
        <v>45500</v>
      </c>
      <c r="Y19" s="151">
        <v>300038649</v>
      </c>
      <c r="Z19" s="141" t="s">
        <v>131</v>
      </c>
      <c r="AA19" s="141">
        <v>20808</v>
      </c>
      <c r="AB19" s="142">
        <v>42905</v>
      </c>
      <c r="AC19" s="141" t="s">
        <v>132</v>
      </c>
    </row>
    <row r="20" spans="1:29" x14ac:dyDescent="0.2">
      <c r="A20" s="140" t="s">
        <v>137</v>
      </c>
      <c r="B20" s="140" t="s">
        <v>124</v>
      </c>
      <c r="C20" s="140" t="s">
        <v>125</v>
      </c>
      <c r="D20" s="140" t="s">
        <v>140</v>
      </c>
      <c r="E20" s="141">
        <v>1</v>
      </c>
      <c r="F20" s="140" t="s">
        <v>127</v>
      </c>
      <c r="G20" s="142">
        <v>42935</v>
      </c>
      <c r="H20" s="142">
        <v>42965</v>
      </c>
      <c r="I20" s="143">
        <v>38000</v>
      </c>
      <c r="J20" s="143">
        <v>38000</v>
      </c>
      <c r="K20" s="144">
        <v>38000</v>
      </c>
      <c r="L20" s="144">
        <v>38000</v>
      </c>
      <c r="M20" s="145">
        <v>-32</v>
      </c>
      <c r="N20" s="146" t="s">
        <v>128</v>
      </c>
      <c r="O20" s="147">
        <v>1</v>
      </c>
      <c r="P20" s="146">
        <v>38000</v>
      </c>
      <c r="Q20" s="143">
        <v>38000</v>
      </c>
      <c r="R20" s="147">
        <v>1</v>
      </c>
      <c r="S20" s="144">
        <v>38000</v>
      </c>
      <c r="T20" s="148" t="s">
        <v>129</v>
      </c>
      <c r="U20" s="149" t="s">
        <v>141</v>
      </c>
      <c r="V20" s="143">
        <v>2000</v>
      </c>
      <c r="W20" s="143">
        <v>19</v>
      </c>
      <c r="X20" s="150">
        <v>38000</v>
      </c>
      <c r="Y20" s="151">
        <v>300038649</v>
      </c>
      <c r="Z20" s="141" t="s">
        <v>131</v>
      </c>
      <c r="AA20" s="141">
        <v>20808</v>
      </c>
      <c r="AB20" s="142">
        <v>42905</v>
      </c>
      <c r="AC20" s="141" t="s">
        <v>132</v>
      </c>
    </row>
    <row r="21" spans="1:29" x14ac:dyDescent="0.2">
      <c r="A21" s="140" t="s">
        <v>137</v>
      </c>
      <c r="B21" s="140" t="s">
        <v>124</v>
      </c>
      <c r="C21" s="140" t="s">
        <v>125</v>
      </c>
      <c r="D21" s="140" t="s">
        <v>142</v>
      </c>
      <c r="E21" s="141">
        <v>1</v>
      </c>
      <c r="F21" s="140" t="s">
        <v>127</v>
      </c>
      <c r="G21" s="142">
        <v>42935</v>
      </c>
      <c r="H21" s="142">
        <v>42965</v>
      </c>
      <c r="I21" s="143">
        <v>37000</v>
      </c>
      <c r="J21" s="143">
        <v>37000</v>
      </c>
      <c r="K21" s="144">
        <v>37000</v>
      </c>
      <c r="L21" s="144">
        <v>37000</v>
      </c>
      <c r="M21" s="145">
        <v>-32</v>
      </c>
      <c r="N21" s="146" t="s">
        <v>128</v>
      </c>
      <c r="O21" s="147">
        <v>1</v>
      </c>
      <c r="P21" s="146">
        <v>37000</v>
      </c>
      <c r="Q21" s="143">
        <v>37000</v>
      </c>
      <c r="R21" s="147">
        <v>1</v>
      </c>
      <c r="S21" s="144">
        <v>37000</v>
      </c>
      <c r="T21" s="148" t="s">
        <v>129</v>
      </c>
      <c r="U21" s="149" t="s">
        <v>143</v>
      </c>
      <c r="V21" s="143">
        <v>2000</v>
      </c>
      <c r="W21" s="143">
        <v>18.5</v>
      </c>
      <c r="X21" s="150">
        <v>37000</v>
      </c>
      <c r="Y21" s="151">
        <v>300038649</v>
      </c>
      <c r="Z21" s="141" t="s">
        <v>131</v>
      </c>
      <c r="AA21" s="141">
        <v>20808</v>
      </c>
      <c r="AB21" s="142">
        <v>42905</v>
      </c>
      <c r="AC21" s="141" t="s">
        <v>132</v>
      </c>
    </row>
    <row r="22" spans="1:29" x14ac:dyDescent="0.2">
      <c r="A22" s="140" t="s">
        <v>137</v>
      </c>
      <c r="B22" s="140" t="s">
        <v>124</v>
      </c>
      <c r="C22" s="140" t="s">
        <v>125</v>
      </c>
      <c r="D22" s="140" t="s">
        <v>138</v>
      </c>
      <c r="E22" s="141">
        <v>1</v>
      </c>
      <c r="F22" s="140" t="s">
        <v>127</v>
      </c>
      <c r="G22" s="142">
        <v>42935</v>
      </c>
      <c r="H22" s="142">
        <v>42965</v>
      </c>
      <c r="I22" s="143">
        <v>33778.32</v>
      </c>
      <c r="J22" s="143">
        <v>33778.32</v>
      </c>
      <c r="K22" s="144">
        <v>33778.32</v>
      </c>
      <c r="L22" s="144">
        <v>33778.32</v>
      </c>
      <c r="M22" s="145">
        <v>-32</v>
      </c>
      <c r="N22" s="146" t="s">
        <v>128</v>
      </c>
      <c r="O22" s="147">
        <v>1</v>
      </c>
      <c r="P22" s="146">
        <v>33778.32</v>
      </c>
      <c r="Q22" s="143">
        <v>33778.32</v>
      </c>
      <c r="R22" s="147">
        <v>1</v>
      </c>
      <c r="S22" s="144">
        <v>33778.32</v>
      </c>
      <c r="T22" s="148" t="s">
        <v>129</v>
      </c>
      <c r="U22" s="149" t="s">
        <v>144</v>
      </c>
      <c r="V22" s="143">
        <v>408</v>
      </c>
      <c r="W22" s="143">
        <v>82.79</v>
      </c>
      <c r="X22" s="150">
        <v>33778.32</v>
      </c>
      <c r="Y22" s="151">
        <v>300038649</v>
      </c>
      <c r="Z22" s="141" t="s">
        <v>131</v>
      </c>
      <c r="AA22" s="141">
        <v>20808</v>
      </c>
      <c r="AB22" s="142">
        <v>42905</v>
      </c>
      <c r="AC22" s="141" t="s">
        <v>132</v>
      </c>
    </row>
    <row r="23" spans="1:29" x14ac:dyDescent="0.2">
      <c r="A23" s="140" t="s">
        <v>137</v>
      </c>
      <c r="B23" s="140" t="s">
        <v>124</v>
      </c>
      <c r="C23" s="140" t="s">
        <v>125</v>
      </c>
      <c r="D23" s="140" t="s">
        <v>138</v>
      </c>
      <c r="E23" s="141">
        <v>3</v>
      </c>
      <c r="F23" s="140" t="s">
        <v>127</v>
      </c>
      <c r="G23" s="142">
        <v>42935</v>
      </c>
      <c r="H23" s="142">
        <v>42965</v>
      </c>
      <c r="I23" s="143">
        <v>20000</v>
      </c>
      <c r="J23" s="143">
        <v>20000</v>
      </c>
      <c r="K23" s="144">
        <v>20000</v>
      </c>
      <c r="L23" s="144">
        <v>20000</v>
      </c>
      <c r="M23" s="145">
        <v>-32</v>
      </c>
      <c r="N23" s="146" t="s">
        <v>128</v>
      </c>
      <c r="O23" s="147">
        <v>1</v>
      </c>
      <c r="P23" s="146">
        <v>20000</v>
      </c>
      <c r="Q23" s="143">
        <v>20000</v>
      </c>
      <c r="R23" s="147">
        <v>1</v>
      </c>
      <c r="S23" s="144">
        <v>20000</v>
      </c>
      <c r="T23" s="148" t="s">
        <v>129</v>
      </c>
      <c r="U23" s="149" t="s">
        <v>145</v>
      </c>
      <c r="V23" s="143">
        <v>500</v>
      </c>
      <c r="W23" s="143">
        <v>40</v>
      </c>
      <c r="X23" s="150">
        <v>20000</v>
      </c>
      <c r="Y23" s="151">
        <v>300038649</v>
      </c>
      <c r="Z23" s="141" t="s">
        <v>131</v>
      </c>
      <c r="AA23" s="141">
        <v>20808</v>
      </c>
      <c r="AB23" s="142">
        <v>42905</v>
      </c>
      <c r="AC23" s="141" t="s">
        <v>132</v>
      </c>
    </row>
    <row r="24" spans="1:29" x14ac:dyDescent="0.2">
      <c r="A24" s="140" t="s">
        <v>137</v>
      </c>
      <c r="B24" s="140" t="s">
        <v>124</v>
      </c>
      <c r="C24" s="140" t="s">
        <v>125</v>
      </c>
      <c r="D24" s="140" t="s">
        <v>138</v>
      </c>
      <c r="E24" s="141">
        <v>2</v>
      </c>
      <c r="F24" s="140" t="s">
        <v>127</v>
      </c>
      <c r="G24" s="142">
        <v>42935</v>
      </c>
      <c r="H24" s="142">
        <v>42965</v>
      </c>
      <c r="I24" s="143">
        <v>100800</v>
      </c>
      <c r="J24" s="143">
        <v>100800</v>
      </c>
      <c r="K24" s="144">
        <v>100800</v>
      </c>
      <c r="L24" s="144">
        <v>100800</v>
      </c>
      <c r="M24" s="145">
        <v>-32</v>
      </c>
      <c r="N24" s="146" t="s">
        <v>128</v>
      </c>
      <c r="O24" s="147">
        <v>1</v>
      </c>
      <c r="P24" s="146">
        <v>100800</v>
      </c>
      <c r="Q24" s="143">
        <v>100800</v>
      </c>
      <c r="R24" s="147">
        <v>1</v>
      </c>
      <c r="S24" s="144">
        <v>100800</v>
      </c>
      <c r="T24" s="148" t="s">
        <v>129</v>
      </c>
      <c r="U24" s="149" t="s">
        <v>135</v>
      </c>
      <c r="V24" s="143">
        <v>1260</v>
      </c>
      <c r="W24" s="143">
        <v>80</v>
      </c>
      <c r="X24" s="150">
        <v>100800</v>
      </c>
      <c r="Y24" s="151">
        <v>300038649</v>
      </c>
      <c r="Z24" s="141" t="s">
        <v>131</v>
      </c>
      <c r="AA24" s="141">
        <v>20808</v>
      </c>
      <c r="AB24" s="142">
        <v>42905</v>
      </c>
      <c r="AC24" s="141" t="s">
        <v>132</v>
      </c>
    </row>
    <row r="25" spans="1:29" x14ac:dyDescent="0.2">
      <c r="A25" s="140" t="s">
        <v>123</v>
      </c>
      <c r="B25" s="140" t="s">
        <v>124</v>
      </c>
      <c r="C25" s="140" t="s">
        <v>125</v>
      </c>
      <c r="D25" s="140" t="s">
        <v>146</v>
      </c>
      <c r="E25" s="141">
        <v>1</v>
      </c>
      <c r="F25" s="140" t="s">
        <v>127</v>
      </c>
      <c r="G25" s="142">
        <v>42972</v>
      </c>
      <c r="H25" s="142">
        <v>42972</v>
      </c>
      <c r="I25" s="143">
        <v>54400</v>
      </c>
      <c r="J25" s="143">
        <v>54400</v>
      </c>
      <c r="K25" s="144">
        <v>54400</v>
      </c>
      <c r="L25" s="144">
        <v>54400</v>
      </c>
      <c r="M25" s="145">
        <v>-25</v>
      </c>
      <c r="N25" s="146" t="s">
        <v>128</v>
      </c>
      <c r="O25" s="147">
        <v>1</v>
      </c>
      <c r="P25" s="146">
        <v>54400</v>
      </c>
      <c r="Q25" s="143">
        <v>54400</v>
      </c>
      <c r="R25" s="147">
        <v>1</v>
      </c>
      <c r="S25" s="144">
        <v>54400</v>
      </c>
      <c r="T25" s="148" t="s">
        <v>129</v>
      </c>
      <c r="U25" s="149" t="s">
        <v>135</v>
      </c>
      <c r="V25" s="143">
        <v>680</v>
      </c>
      <c r="W25" s="143">
        <v>80</v>
      </c>
      <c r="X25" s="150">
        <v>54400</v>
      </c>
      <c r="Y25" s="151">
        <v>300038649</v>
      </c>
      <c r="Z25" s="141" t="s">
        <v>131</v>
      </c>
      <c r="AA25" s="141">
        <v>20808</v>
      </c>
      <c r="AB25" s="142">
        <v>42905</v>
      </c>
      <c r="AC25" s="141" t="s">
        <v>132</v>
      </c>
    </row>
    <row r="26" spans="1:29" x14ac:dyDescent="0.2">
      <c r="A26" s="140" t="s">
        <v>123</v>
      </c>
      <c r="B26" s="140" t="s">
        <v>124</v>
      </c>
      <c r="C26" s="140" t="s">
        <v>125</v>
      </c>
      <c r="D26" s="140" t="s">
        <v>147</v>
      </c>
      <c r="E26" s="141">
        <v>1</v>
      </c>
      <c r="F26" s="140" t="s">
        <v>127</v>
      </c>
      <c r="G26" s="142">
        <v>42942</v>
      </c>
      <c r="H26" s="142">
        <v>42965</v>
      </c>
      <c r="I26" s="143">
        <v>142500</v>
      </c>
      <c r="J26" s="143">
        <v>142500</v>
      </c>
      <c r="K26" s="144">
        <v>142500</v>
      </c>
      <c r="L26" s="144">
        <v>142500</v>
      </c>
      <c r="M26" s="145">
        <v>-32</v>
      </c>
      <c r="N26" s="146" t="s">
        <v>128</v>
      </c>
      <c r="O26" s="147">
        <v>1</v>
      </c>
      <c r="P26" s="146">
        <v>142500</v>
      </c>
      <c r="Q26" s="143">
        <v>142500</v>
      </c>
      <c r="R26" s="147">
        <v>1</v>
      </c>
      <c r="S26" s="144">
        <v>142500</v>
      </c>
      <c r="T26" s="148" t="s">
        <v>129</v>
      </c>
      <c r="U26" s="149" t="s">
        <v>130</v>
      </c>
      <c r="V26" s="143">
        <v>15000</v>
      </c>
      <c r="W26" s="143">
        <v>9.5</v>
      </c>
      <c r="X26" s="150">
        <v>142500</v>
      </c>
      <c r="Y26" s="151">
        <v>300038660</v>
      </c>
      <c r="Z26" s="141" t="s">
        <v>131</v>
      </c>
      <c r="AA26" s="141">
        <v>21933</v>
      </c>
      <c r="AB26" s="142">
        <v>42905</v>
      </c>
      <c r="AC26" s="141" t="s">
        <v>132</v>
      </c>
    </row>
    <row r="27" spans="1:29" x14ac:dyDescent="0.2">
      <c r="A27" s="140" t="s">
        <v>137</v>
      </c>
      <c r="B27" s="140" t="s">
        <v>124</v>
      </c>
      <c r="C27" s="140" t="s">
        <v>125</v>
      </c>
      <c r="D27" s="140" t="s">
        <v>148</v>
      </c>
      <c r="E27" s="141">
        <v>1</v>
      </c>
      <c r="F27" s="140" t="s">
        <v>127</v>
      </c>
      <c r="G27" s="142">
        <v>42935</v>
      </c>
      <c r="H27" s="142">
        <v>42965</v>
      </c>
      <c r="I27" s="143">
        <v>24837</v>
      </c>
      <c r="J27" s="143">
        <v>24837</v>
      </c>
      <c r="K27" s="144">
        <v>24837</v>
      </c>
      <c r="L27" s="144">
        <v>24837</v>
      </c>
      <c r="M27" s="145">
        <v>-32</v>
      </c>
      <c r="N27" s="146" t="s">
        <v>128</v>
      </c>
      <c r="O27" s="147">
        <v>1</v>
      </c>
      <c r="P27" s="146">
        <v>24837</v>
      </c>
      <c r="Q27" s="143">
        <v>24837</v>
      </c>
      <c r="R27" s="147">
        <v>1</v>
      </c>
      <c r="S27" s="144">
        <v>24837</v>
      </c>
      <c r="T27" s="148" t="s">
        <v>129</v>
      </c>
      <c r="U27" s="149" t="s">
        <v>144</v>
      </c>
      <c r="V27" s="143">
        <v>300</v>
      </c>
      <c r="W27" s="143">
        <v>82.79</v>
      </c>
      <c r="X27" s="150">
        <v>24837</v>
      </c>
      <c r="Y27" s="151">
        <v>300038660</v>
      </c>
      <c r="Z27" s="141" t="s">
        <v>131</v>
      </c>
      <c r="AA27" s="141">
        <v>21933</v>
      </c>
      <c r="AB27" s="142">
        <v>42905</v>
      </c>
      <c r="AC27" s="141" t="s">
        <v>132</v>
      </c>
    </row>
    <row r="28" spans="1:29" x14ac:dyDescent="0.2">
      <c r="A28" s="140" t="s">
        <v>137</v>
      </c>
      <c r="B28" s="140" t="s">
        <v>124</v>
      </c>
      <c r="C28" s="140" t="s">
        <v>125</v>
      </c>
      <c r="D28" s="140" t="s">
        <v>149</v>
      </c>
      <c r="E28" s="141">
        <v>1</v>
      </c>
      <c r="F28" s="140" t="s">
        <v>127</v>
      </c>
      <c r="G28" s="142">
        <v>42935</v>
      </c>
      <c r="H28" s="142">
        <v>42965</v>
      </c>
      <c r="I28" s="143">
        <v>19000</v>
      </c>
      <c r="J28" s="143">
        <v>19000</v>
      </c>
      <c r="K28" s="144">
        <v>19000</v>
      </c>
      <c r="L28" s="144">
        <v>19000</v>
      </c>
      <c r="M28" s="145">
        <v>-32</v>
      </c>
      <c r="N28" s="146" t="s">
        <v>128</v>
      </c>
      <c r="O28" s="147">
        <v>1</v>
      </c>
      <c r="P28" s="146">
        <v>19000</v>
      </c>
      <c r="Q28" s="143">
        <v>19000</v>
      </c>
      <c r="R28" s="147">
        <v>1</v>
      </c>
      <c r="S28" s="144">
        <v>19000</v>
      </c>
      <c r="T28" s="148" t="s">
        <v>129</v>
      </c>
      <c r="U28" s="149" t="s">
        <v>141</v>
      </c>
      <c r="V28" s="143">
        <v>1000</v>
      </c>
      <c r="W28" s="143">
        <v>19</v>
      </c>
      <c r="X28" s="150">
        <v>19000</v>
      </c>
      <c r="Y28" s="151">
        <v>300038660</v>
      </c>
      <c r="Z28" s="141" t="s">
        <v>131</v>
      </c>
      <c r="AA28" s="141">
        <v>21933</v>
      </c>
      <c r="AB28" s="142">
        <v>42905</v>
      </c>
      <c r="AC28" s="141" t="s">
        <v>132</v>
      </c>
    </row>
    <row r="29" spans="1:29" x14ac:dyDescent="0.2">
      <c r="A29" s="140" t="s">
        <v>137</v>
      </c>
      <c r="B29" s="140" t="s">
        <v>124</v>
      </c>
      <c r="C29" s="140" t="s">
        <v>125</v>
      </c>
      <c r="D29" s="140" t="s">
        <v>148</v>
      </c>
      <c r="E29" s="141">
        <v>2</v>
      </c>
      <c r="F29" s="140" t="s">
        <v>127</v>
      </c>
      <c r="G29" s="142">
        <v>42935</v>
      </c>
      <c r="H29" s="142">
        <v>42965</v>
      </c>
      <c r="I29" s="143">
        <v>45500</v>
      </c>
      <c r="J29" s="143">
        <v>45500</v>
      </c>
      <c r="K29" s="144">
        <v>45500</v>
      </c>
      <c r="L29" s="144">
        <v>45500</v>
      </c>
      <c r="M29" s="145">
        <v>-32</v>
      </c>
      <c r="N29" s="146" t="s">
        <v>128</v>
      </c>
      <c r="O29" s="147">
        <v>1</v>
      </c>
      <c r="P29" s="146">
        <v>45500</v>
      </c>
      <c r="Q29" s="143">
        <v>45500</v>
      </c>
      <c r="R29" s="147">
        <v>1</v>
      </c>
      <c r="S29" s="144">
        <v>45500</v>
      </c>
      <c r="T29" s="148" t="s">
        <v>129</v>
      </c>
      <c r="U29" s="149" t="s">
        <v>139</v>
      </c>
      <c r="V29" s="143">
        <v>500</v>
      </c>
      <c r="W29" s="143">
        <v>91</v>
      </c>
      <c r="X29" s="150">
        <v>45500</v>
      </c>
      <c r="Y29" s="151">
        <v>300038660</v>
      </c>
      <c r="Z29" s="141" t="s">
        <v>131</v>
      </c>
      <c r="AA29" s="141">
        <v>21933</v>
      </c>
      <c r="AB29" s="142">
        <v>42905</v>
      </c>
      <c r="AC29" s="141" t="s">
        <v>132</v>
      </c>
    </row>
    <row r="30" spans="1:29" x14ac:dyDescent="0.2">
      <c r="A30" s="140" t="s">
        <v>150</v>
      </c>
      <c r="B30" s="140" t="s">
        <v>124</v>
      </c>
      <c r="C30" s="140" t="s">
        <v>125</v>
      </c>
      <c r="D30" s="140" t="s">
        <v>151</v>
      </c>
      <c r="E30" s="141">
        <v>1</v>
      </c>
      <c r="F30" s="140" t="s">
        <v>127</v>
      </c>
      <c r="G30" s="142">
        <v>42934</v>
      </c>
      <c r="H30" s="142">
        <v>42965</v>
      </c>
      <c r="I30" s="143">
        <v>24837</v>
      </c>
      <c r="J30" s="143">
        <v>24837</v>
      </c>
      <c r="K30" s="144">
        <v>24837</v>
      </c>
      <c r="L30" s="144">
        <v>24837</v>
      </c>
      <c r="M30" s="145">
        <v>-32</v>
      </c>
      <c r="N30" s="146" t="s">
        <v>128</v>
      </c>
      <c r="O30" s="147">
        <v>1</v>
      </c>
      <c r="P30" s="146">
        <v>24837</v>
      </c>
      <c r="Q30" s="143">
        <v>24837</v>
      </c>
      <c r="R30" s="147">
        <v>1</v>
      </c>
      <c r="S30" s="144">
        <v>24837</v>
      </c>
      <c r="T30" s="148" t="s">
        <v>129</v>
      </c>
      <c r="U30" s="149" t="s">
        <v>144</v>
      </c>
      <c r="V30" s="143">
        <v>300</v>
      </c>
      <c r="W30" s="143">
        <v>82.79</v>
      </c>
      <c r="X30" s="150">
        <v>24837</v>
      </c>
      <c r="Y30" s="151">
        <v>300038662</v>
      </c>
      <c r="Z30" s="141" t="s">
        <v>131</v>
      </c>
      <c r="AA30" s="141">
        <v>21943</v>
      </c>
      <c r="AB30" s="142">
        <v>42905</v>
      </c>
      <c r="AC30" s="141" t="s">
        <v>132</v>
      </c>
    </row>
    <row r="31" spans="1:29" x14ac:dyDescent="0.2">
      <c r="A31" s="140" t="s">
        <v>137</v>
      </c>
      <c r="B31" s="140" t="s">
        <v>124</v>
      </c>
      <c r="C31" s="140" t="s">
        <v>125</v>
      </c>
      <c r="D31" s="140" t="s">
        <v>152</v>
      </c>
      <c r="E31" s="141">
        <v>1</v>
      </c>
      <c r="F31" s="140" t="s">
        <v>127</v>
      </c>
      <c r="G31" s="142">
        <v>42935</v>
      </c>
      <c r="H31" s="142">
        <v>42965</v>
      </c>
      <c r="I31" s="143">
        <v>61500</v>
      </c>
      <c r="J31" s="143">
        <v>61500</v>
      </c>
      <c r="K31" s="144">
        <v>61500</v>
      </c>
      <c r="L31" s="144">
        <v>61500</v>
      </c>
      <c r="M31" s="145">
        <v>-32</v>
      </c>
      <c r="N31" s="146" t="s">
        <v>128</v>
      </c>
      <c r="O31" s="147">
        <v>1</v>
      </c>
      <c r="P31" s="146">
        <v>61500</v>
      </c>
      <c r="Q31" s="143">
        <v>61500</v>
      </c>
      <c r="R31" s="147">
        <v>1</v>
      </c>
      <c r="S31" s="144">
        <v>61500</v>
      </c>
      <c r="T31" s="148" t="s">
        <v>129</v>
      </c>
      <c r="U31" s="149" t="s">
        <v>133</v>
      </c>
      <c r="V31" s="143">
        <v>5000</v>
      </c>
      <c r="W31" s="143">
        <v>12.3</v>
      </c>
      <c r="X31" s="150">
        <v>61500</v>
      </c>
      <c r="Y31" s="151">
        <v>300038662</v>
      </c>
      <c r="Z31" s="141" t="s">
        <v>131</v>
      </c>
      <c r="AA31" s="141">
        <v>21943</v>
      </c>
      <c r="AB31" s="142">
        <v>42905</v>
      </c>
      <c r="AC31" s="141" t="s">
        <v>132</v>
      </c>
    </row>
    <row r="32" spans="1:29" x14ac:dyDescent="0.2">
      <c r="A32" s="140" t="s">
        <v>137</v>
      </c>
      <c r="B32" s="140" t="s">
        <v>124</v>
      </c>
      <c r="C32" s="140" t="s">
        <v>125</v>
      </c>
      <c r="D32" s="140" t="s">
        <v>152</v>
      </c>
      <c r="E32" s="141">
        <v>2</v>
      </c>
      <c r="F32" s="140" t="s">
        <v>127</v>
      </c>
      <c r="G32" s="142">
        <v>42935</v>
      </c>
      <c r="H32" s="142">
        <v>42965</v>
      </c>
      <c r="I32" s="143">
        <v>47500</v>
      </c>
      <c r="J32" s="143">
        <v>47500</v>
      </c>
      <c r="K32" s="144">
        <v>47500</v>
      </c>
      <c r="L32" s="144">
        <v>47500</v>
      </c>
      <c r="M32" s="145">
        <v>-32</v>
      </c>
      <c r="N32" s="146" t="s">
        <v>128</v>
      </c>
      <c r="O32" s="147">
        <v>1</v>
      </c>
      <c r="P32" s="146">
        <v>47500</v>
      </c>
      <c r="Q32" s="143">
        <v>47500</v>
      </c>
      <c r="R32" s="147">
        <v>1</v>
      </c>
      <c r="S32" s="144">
        <v>47500</v>
      </c>
      <c r="T32" s="148" t="s">
        <v>129</v>
      </c>
      <c r="U32" s="149" t="s">
        <v>130</v>
      </c>
      <c r="V32" s="143">
        <v>5000</v>
      </c>
      <c r="W32" s="143">
        <v>9.5</v>
      </c>
      <c r="X32" s="150">
        <v>47500</v>
      </c>
      <c r="Y32" s="151">
        <v>300038662</v>
      </c>
      <c r="Z32" s="141" t="s">
        <v>131</v>
      </c>
      <c r="AA32" s="141">
        <v>21943</v>
      </c>
      <c r="AB32" s="142">
        <v>42905</v>
      </c>
      <c r="AC32" s="141" t="s">
        <v>132</v>
      </c>
    </row>
    <row r="33" spans="1:29" x14ac:dyDescent="0.2">
      <c r="A33" s="140" t="s">
        <v>137</v>
      </c>
      <c r="B33" s="140" t="s">
        <v>124</v>
      </c>
      <c r="C33" s="140" t="s">
        <v>125</v>
      </c>
      <c r="D33" s="140" t="s">
        <v>153</v>
      </c>
      <c r="E33" s="141">
        <v>2</v>
      </c>
      <c r="F33" s="140" t="s">
        <v>127</v>
      </c>
      <c r="G33" s="142">
        <v>42935</v>
      </c>
      <c r="H33" s="142">
        <v>42965</v>
      </c>
      <c r="I33" s="143">
        <v>47500</v>
      </c>
      <c r="J33" s="143">
        <v>47500</v>
      </c>
      <c r="K33" s="144">
        <v>47500</v>
      </c>
      <c r="L33" s="144">
        <v>47500</v>
      </c>
      <c r="M33" s="145">
        <v>-32</v>
      </c>
      <c r="N33" s="146" t="s">
        <v>128</v>
      </c>
      <c r="O33" s="147">
        <v>1</v>
      </c>
      <c r="P33" s="146">
        <v>47500</v>
      </c>
      <c r="Q33" s="143">
        <v>47500</v>
      </c>
      <c r="R33" s="147">
        <v>1</v>
      </c>
      <c r="S33" s="144">
        <v>47500</v>
      </c>
      <c r="T33" s="148" t="s">
        <v>129</v>
      </c>
      <c r="U33" s="149" t="s">
        <v>130</v>
      </c>
      <c r="V33" s="143">
        <v>5000</v>
      </c>
      <c r="W33" s="143">
        <v>9.5</v>
      </c>
      <c r="X33" s="150">
        <v>47500</v>
      </c>
      <c r="Y33" s="151">
        <v>300038663</v>
      </c>
      <c r="Z33" s="141" t="s">
        <v>131</v>
      </c>
      <c r="AA33" s="141">
        <v>22731</v>
      </c>
      <c r="AB33" s="142">
        <v>42905</v>
      </c>
      <c r="AC33" s="141" t="s">
        <v>132</v>
      </c>
    </row>
    <row r="34" spans="1:29" ht="13.5" thickBot="1" x14ac:dyDescent="0.25">
      <c r="A34" s="140" t="s">
        <v>137</v>
      </c>
      <c r="B34" s="140" t="s">
        <v>124</v>
      </c>
      <c r="C34" s="140" t="s">
        <v>125</v>
      </c>
      <c r="D34" s="140" t="s">
        <v>153</v>
      </c>
      <c r="E34" s="141">
        <v>1</v>
      </c>
      <c r="F34" s="140" t="s">
        <v>127</v>
      </c>
      <c r="G34" s="142">
        <v>42935</v>
      </c>
      <c r="H34" s="142">
        <v>42965</v>
      </c>
      <c r="I34" s="143">
        <v>61500</v>
      </c>
      <c r="J34" s="143">
        <v>61500</v>
      </c>
      <c r="K34" s="144">
        <v>61500</v>
      </c>
      <c r="L34" s="144">
        <v>61500</v>
      </c>
      <c r="M34" s="145">
        <v>-32</v>
      </c>
      <c r="N34" s="146" t="s">
        <v>128</v>
      </c>
      <c r="O34" s="147">
        <v>1</v>
      </c>
      <c r="P34" s="146">
        <v>61500</v>
      </c>
      <c r="Q34" s="143">
        <v>61500</v>
      </c>
      <c r="R34" s="147">
        <v>1</v>
      </c>
      <c r="S34" s="144">
        <v>61500</v>
      </c>
      <c r="T34" s="148" t="s">
        <v>129</v>
      </c>
      <c r="U34" s="149" t="s">
        <v>133</v>
      </c>
      <c r="V34" s="143">
        <v>5000</v>
      </c>
      <c r="W34" s="143">
        <v>12.3</v>
      </c>
      <c r="X34" s="150">
        <v>61500</v>
      </c>
      <c r="Y34" s="151">
        <v>300038663</v>
      </c>
      <c r="Z34" s="141" t="s">
        <v>131</v>
      </c>
      <c r="AA34" s="141">
        <v>22731</v>
      </c>
      <c r="AB34" s="142">
        <v>42905</v>
      </c>
      <c r="AC34" s="141" t="s">
        <v>132</v>
      </c>
    </row>
    <row r="35" spans="1:29" ht="13.5" thickBot="1" x14ac:dyDescent="0.25">
      <c r="A35" s="140"/>
      <c r="B35" s="140"/>
      <c r="C35" s="140"/>
      <c r="D35" s="140"/>
      <c r="E35" s="141"/>
      <c r="F35" s="140"/>
      <c r="G35" s="142"/>
      <c r="H35" s="142"/>
      <c r="I35" s="143">
        <v>1197452.3199999998</v>
      </c>
      <c r="J35" s="143">
        <v>1197452.3199999998</v>
      </c>
      <c r="K35" s="152">
        <v>1197452.3199999998</v>
      </c>
      <c r="L35" s="153">
        <v>1197452.3199999998</v>
      </c>
      <c r="M35" s="154"/>
      <c r="N35" s="143"/>
      <c r="O35" s="155"/>
      <c r="P35" s="143">
        <v>1197452.3199999998</v>
      </c>
      <c r="Q35" s="143">
        <v>1197452.3199999998</v>
      </c>
      <c r="R35" s="155"/>
      <c r="S35" s="152">
        <v>1197452.3199999998</v>
      </c>
      <c r="T35" s="148"/>
      <c r="U35" s="149"/>
      <c r="V35" s="156" t="s">
        <v>154</v>
      </c>
      <c r="W35" s="157"/>
      <c r="X35" s="158">
        <f>SUM(X15:X34)</f>
        <v>1197452.3199999998</v>
      </c>
      <c r="Y35" s="159"/>
      <c r="Z35" s="141"/>
      <c r="AA35" s="141"/>
      <c r="AB35" s="141"/>
      <c r="AC35" s="141"/>
    </row>
    <row r="36" spans="1:29" x14ac:dyDescent="0.2">
      <c r="A36" s="140"/>
      <c r="B36" s="140"/>
      <c r="C36" s="140"/>
      <c r="D36" s="140"/>
      <c r="E36" s="141"/>
      <c r="F36" s="140"/>
      <c r="G36" s="142"/>
      <c r="H36" s="142"/>
      <c r="I36" s="143"/>
      <c r="J36" s="143"/>
      <c r="K36" s="153"/>
      <c r="L36" s="153"/>
      <c r="M36" s="154"/>
      <c r="N36" s="143"/>
      <c r="O36" s="155"/>
      <c r="P36" s="143"/>
      <c r="Q36" s="143"/>
      <c r="R36" s="155"/>
      <c r="S36" s="153"/>
      <c r="T36" s="148"/>
      <c r="U36" s="149"/>
      <c r="V36" s="156" t="s">
        <v>155</v>
      </c>
      <c r="W36" s="143"/>
      <c r="X36" s="160">
        <v>1212936.49</v>
      </c>
      <c r="Y36" s="141"/>
      <c r="Z36" s="141"/>
      <c r="AA36" s="141"/>
      <c r="AB36" s="141"/>
      <c r="AC36" s="141"/>
    </row>
    <row r="37" spans="1:29" x14ac:dyDescent="0.2">
      <c r="A37" s="140"/>
      <c r="B37" s="140"/>
      <c r="C37" s="140"/>
      <c r="D37" s="140"/>
      <c r="E37" s="141"/>
      <c r="F37" s="140"/>
      <c r="G37" s="142"/>
      <c r="H37" s="142"/>
      <c r="I37" s="143"/>
      <c r="J37" s="143"/>
      <c r="K37" s="153"/>
      <c r="L37" s="153"/>
      <c r="M37" s="154"/>
      <c r="N37" s="143"/>
      <c r="O37" s="155"/>
      <c r="P37" s="143"/>
      <c r="Q37" s="143"/>
      <c r="R37" s="155"/>
      <c r="S37" s="153"/>
      <c r="T37" s="148"/>
      <c r="U37" s="149"/>
      <c r="V37" s="143"/>
      <c r="W37" s="143"/>
      <c r="X37" s="161">
        <f>X36-X35</f>
        <v>15484.170000000158</v>
      </c>
      <c r="Y37" s="162" t="s">
        <v>156</v>
      </c>
      <c r="Z37" s="162"/>
      <c r="AA37" s="162"/>
      <c r="AB37" s="141"/>
      <c r="AC37" s="141"/>
    </row>
    <row r="38" spans="1:29" x14ac:dyDescent="0.2">
      <c r="A38" s="140"/>
      <c r="B38" s="140"/>
      <c r="C38" s="140"/>
      <c r="D38" s="140"/>
      <c r="E38" s="141"/>
      <c r="F38" s="140"/>
      <c r="G38" s="142"/>
      <c r="H38" s="142"/>
      <c r="I38" s="143"/>
      <c r="J38" s="143"/>
      <c r="K38" s="153"/>
      <c r="L38" s="153"/>
      <c r="M38" s="154"/>
      <c r="N38" s="143"/>
      <c r="O38" s="155"/>
      <c r="P38" s="143"/>
      <c r="Q38" s="143"/>
      <c r="R38" s="155"/>
      <c r="S38" s="153"/>
      <c r="T38" s="148"/>
      <c r="U38" s="149"/>
      <c r="V38" s="143"/>
      <c r="W38" s="143"/>
      <c r="X38" s="160"/>
      <c r="Y38" s="141"/>
      <c r="Z38" s="141"/>
      <c r="AA38" s="141"/>
      <c r="AB38" s="141"/>
      <c r="AC38" s="141"/>
    </row>
    <row r="39" spans="1:29" x14ac:dyDescent="0.2">
      <c r="A39" s="140"/>
      <c r="B39" s="140"/>
      <c r="C39" s="140"/>
      <c r="D39" s="140"/>
      <c r="E39" s="141"/>
      <c r="F39" s="140"/>
      <c r="G39" s="142"/>
      <c r="H39" s="142"/>
      <c r="I39" s="143"/>
      <c r="J39" s="143"/>
      <c r="K39" s="153"/>
      <c r="L39" s="153"/>
      <c r="M39" s="154"/>
      <c r="N39" s="143"/>
      <c r="O39" s="155"/>
      <c r="P39" s="143"/>
      <c r="Q39" s="143"/>
      <c r="R39" s="155"/>
      <c r="S39" s="153"/>
      <c r="T39" s="148"/>
      <c r="U39" s="149"/>
      <c r="V39" s="143"/>
      <c r="W39" s="143"/>
      <c r="X39" s="160"/>
      <c r="Y39" s="141"/>
      <c r="Z39" s="141"/>
      <c r="AA39" s="141"/>
      <c r="AB39" s="141"/>
      <c r="AC39" s="141"/>
    </row>
    <row r="40" spans="1:29" x14ac:dyDescent="0.2">
      <c r="A40" s="140"/>
      <c r="B40" s="140"/>
      <c r="C40" s="140"/>
      <c r="D40" s="140"/>
      <c r="E40" s="141"/>
      <c r="F40" s="140"/>
      <c r="G40" s="142"/>
      <c r="H40" s="142"/>
      <c r="I40" s="143"/>
      <c r="J40" s="143"/>
      <c r="K40" s="153"/>
      <c r="L40" s="153"/>
      <c r="M40" s="154"/>
      <c r="N40" s="143"/>
      <c r="O40" s="155"/>
      <c r="P40" s="143"/>
      <c r="Q40" s="143"/>
      <c r="R40" s="155"/>
      <c r="S40" s="153"/>
      <c r="T40" s="148"/>
      <c r="U40" s="149"/>
      <c r="V40" s="143"/>
      <c r="W40" s="143"/>
      <c r="X40" s="160"/>
      <c r="Y40" s="141"/>
      <c r="Z40" s="141"/>
      <c r="AA40" s="141"/>
      <c r="AB40" s="141"/>
      <c r="AC40" s="141"/>
    </row>
    <row r="41" spans="1:29" x14ac:dyDescent="0.2">
      <c r="A41" s="140"/>
      <c r="B41" s="140"/>
      <c r="C41" s="140"/>
      <c r="D41" s="140"/>
      <c r="E41" s="141"/>
      <c r="F41" s="140"/>
      <c r="G41" s="142"/>
      <c r="H41" s="142"/>
      <c r="I41" s="143"/>
      <c r="J41" s="143"/>
      <c r="K41" s="153"/>
      <c r="L41" s="153"/>
      <c r="M41" s="154"/>
      <c r="N41" s="143"/>
      <c r="O41" s="155"/>
      <c r="P41" s="143"/>
      <c r="Q41" s="143"/>
      <c r="R41" s="155"/>
      <c r="S41" s="153"/>
      <c r="T41" s="148"/>
      <c r="U41" s="149"/>
      <c r="V41" s="143"/>
      <c r="W41" s="143"/>
      <c r="X41" s="160"/>
      <c r="Y41" s="141"/>
      <c r="Z41" s="141"/>
      <c r="AA41" s="141"/>
      <c r="AB41" s="141"/>
      <c r="AC41" s="141"/>
    </row>
    <row r="42" spans="1:29" x14ac:dyDescent="0.2">
      <c r="A42" s="140"/>
      <c r="B42" s="140"/>
      <c r="C42" s="140"/>
      <c r="D42" s="140"/>
      <c r="E42" s="141"/>
      <c r="F42" s="140"/>
      <c r="G42" s="142"/>
      <c r="H42" s="142"/>
      <c r="I42" s="143"/>
      <c r="J42" s="143"/>
      <c r="K42" s="153"/>
      <c r="L42" s="153"/>
      <c r="M42" s="154"/>
      <c r="N42" s="143"/>
      <c r="O42" s="155"/>
      <c r="P42" s="143"/>
      <c r="Q42" s="143"/>
      <c r="R42" s="155"/>
      <c r="S42" s="153"/>
      <c r="T42" s="148"/>
      <c r="U42" s="149"/>
      <c r="V42" s="143"/>
      <c r="W42" s="143"/>
      <c r="X42" s="160"/>
      <c r="Y42" s="141"/>
      <c r="Z42" s="141"/>
      <c r="AA42" s="141"/>
      <c r="AB42" s="141"/>
      <c r="AC42" s="141"/>
    </row>
    <row r="43" spans="1:29" x14ac:dyDescent="0.2">
      <c r="A43" s="140"/>
      <c r="B43" s="140"/>
      <c r="C43" s="140"/>
      <c r="D43" s="140"/>
      <c r="E43" s="141"/>
      <c r="F43" s="140"/>
      <c r="G43" s="142"/>
      <c r="H43" s="142"/>
      <c r="I43" s="143"/>
      <c r="J43" s="143"/>
      <c r="K43" s="153"/>
      <c r="L43" s="153"/>
      <c r="M43" s="154"/>
      <c r="N43" s="143"/>
      <c r="O43" s="155"/>
      <c r="P43" s="143"/>
      <c r="Q43" s="143"/>
      <c r="R43" s="155"/>
      <c r="S43" s="153"/>
      <c r="T43" s="148"/>
      <c r="U43" s="149"/>
      <c r="V43" s="143"/>
      <c r="W43" s="143"/>
      <c r="X43" s="160"/>
      <c r="Y43" s="141"/>
      <c r="Z43" s="141"/>
      <c r="AA43" s="141"/>
      <c r="AB43" s="141"/>
      <c r="AC43" s="141"/>
    </row>
    <row r="44" spans="1:29" x14ac:dyDescent="0.2">
      <c r="A44" s="140"/>
      <c r="B44" s="140"/>
      <c r="C44" s="140"/>
      <c r="D44" s="140"/>
      <c r="E44" s="141"/>
      <c r="F44" s="140"/>
      <c r="G44" s="142"/>
      <c r="H44" s="142"/>
      <c r="I44" s="143"/>
      <c r="J44" s="143"/>
      <c r="K44" s="153"/>
      <c r="L44" s="153"/>
      <c r="M44" s="154"/>
      <c r="N44" s="143"/>
      <c r="O44" s="155"/>
      <c r="P44" s="143"/>
      <c r="Q44" s="143"/>
      <c r="R44" s="155"/>
      <c r="S44" s="153"/>
      <c r="T44" s="148"/>
      <c r="U44" s="149"/>
      <c r="V44" s="143"/>
      <c r="W44" s="143"/>
      <c r="X44" s="160"/>
      <c r="Y44" s="141"/>
      <c r="Z44" s="141"/>
      <c r="AA44" s="141"/>
      <c r="AB44" s="141"/>
      <c r="AC44" s="141"/>
    </row>
    <row r="45" spans="1:29" x14ac:dyDescent="0.2">
      <c r="A45" s="140"/>
      <c r="B45" s="140"/>
      <c r="C45" s="140"/>
      <c r="D45" s="140"/>
      <c r="E45" s="141"/>
      <c r="F45" s="140"/>
      <c r="G45" s="142"/>
      <c r="H45" s="142"/>
      <c r="I45" s="143"/>
      <c r="J45" s="143"/>
      <c r="K45" s="153"/>
      <c r="L45" s="153"/>
      <c r="M45" s="154"/>
      <c r="N45" s="143"/>
      <c r="O45" s="155"/>
      <c r="P45" s="143"/>
      <c r="Q45" s="143"/>
      <c r="R45" s="155"/>
      <c r="S45" s="153"/>
      <c r="T45" s="148"/>
      <c r="U45" s="149"/>
      <c r="V45" s="143"/>
      <c r="W45" s="143"/>
      <c r="X45" s="160"/>
      <c r="Y45" s="141"/>
      <c r="Z45" s="141"/>
      <c r="AA45" s="141"/>
      <c r="AB45" s="141"/>
      <c r="AC45" s="141"/>
    </row>
    <row r="46" spans="1:29" x14ac:dyDescent="0.2">
      <c r="A46" s="140"/>
      <c r="B46" s="140"/>
      <c r="C46" s="140"/>
      <c r="D46" s="140"/>
      <c r="E46" s="141"/>
      <c r="F46" s="140"/>
      <c r="G46" s="142"/>
      <c r="H46" s="142"/>
      <c r="I46" s="143"/>
      <c r="J46" s="143"/>
      <c r="K46" s="153"/>
      <c r="L46" s="153"/>
      <c r="M46" s="154"/>
      <c r="N46" s="143"/>
      <c r="O46" s="155"/>
      <c r="P46" s="143"/>
      <c r="Q46" s="143"/>
      <c r="R46" s="155"/>
      <c r="S46" s="153"/>
      <c r="T46" s="148"/>
      <c r="U46" s="149"/>
      <c r="V46" s="143"/>
      <c r="W46" s="143"/>
      <c r="X46" s="160"/>
      <c r="Y46" s="141"/>
      <c r="Z46" s="141"/>
      <c r="AA46" s="141"/>
      <c r="AB46" s="141"/>
      <c r="AC46" s="141"/>
    </row>
    <row r="47" spans="1:29" x14ac:dyDescent="0.2">
      <c r="A47" s="140"/>
      <c r="B47" s="140"/>
      <c r="C47" s="140"/>
      <c r="D47" s="140"/>
      <c r="E47" s="141"/>
      <c r="F47" s="140"/>
      <c r="G47" s="142"/>
      <c r="H47" s="142"/>
      <c r="I47" s="143"/>
      <c r="J47" s="143"/>
      <c r="K47" s="153"/>
      <c r="L47" s="153"/>
      <c r="M47" s="154"/>
      <c r="N47" s="143"/>
      <c r="O47" s="155"/>
      <c r="P47" s="143"/>
      <c r="Q47" s="143"/>
      <c r="R47" s="155"/>
      <c r="S47" s="153"/>
      <c r="T47" s="148"/>
      <c r="U47" s="149"/>
      <c r="V47" s="143"/>
      <c r="W47" s="143"/>
      <c r="X47" s="160"/>
      <c r="Y47" s="141"/>
      <c r="Z47" s="141"/>
      <c r="AA47" s="141"/>
      <c r="AB47" s="141"/>
      <c r="AC47" s="141"/>
    </row>
    <row r="48" spans="1:29" x14ac:dyDescent="0.2">
      <c r="A48" s="140"/>
      <c r="B48" s="140"/>
      <c r="C48" s="140"/>
      <c r="D48" s="140"/>
      <c r="E48" s="141"/>
      <c r="F48" s="140"/>
      <c r="G48" s="142"/>
      <c r="H48" s="142"/>
      <c r="I48" s="143"/>
      <c r="J48" s="143"/>
      <c r="K48" s="153"/>
      <c r="L48" s="153"/>
      <c r="M48" s="154"/>
      <c r="N48" s="143"/>
      <c r="O48" s="155"/>
      <c r="P48" s="143"/>
      <c r="Q48" s="143"/>
      <c r="R48" s="155"/>
      <c r="S48" s="153"/>
      <c r="T48" s="148"/>
      <c r="U48" s="149"/>
      <c r="V48" s="143"/>
      <c r="W48" s="143"/>
      <c r="X48" s="160"/>
    </row>
    <row r="49" spans="1:24" x14ac:dyDescent="0.2">
      <c r="A49" s="140"/>
      <c r="B49" s="140"/>
      <c r="C49" s="140"/>
      <c r="D49" s="140"/>
      <c r="E49" s="141"/>
      <c r="F49" s="140"/>
      <c r="G49" s="142"/>
      <c r="H49" s="142"/>
      <c r="I49" s="143"/>
      <c r="J49" s="143"/>
      <c r="K49" s="153"/>
      <c r="L49" s="153"/>
      <c r="M49" s="154"/>
      <c r="N49" s="143"/>
      <c r="O49" s="155"/>
      <c r="P49" s="143"/>
      <c r="Q49" s="143"/>
      <c r="R49" s="155"/>
      <c r="S49" s="153"/>
      <c r="T49" s="148"/>
      <c r="U49" s="149"/>
      <c r="V49" s="143"/>
      <c r="W49" s="143"/>
      <c r="X49" s="160"/>
    </row>
    <row r="50" spans="1:24" x14ac:dyDescent="0.2">
      <c r="A50" s="140"/>
      <c r="B50" s="140"/>
      <c r="C50" s="140"/>
      <c r="D50" s="140"/>
      <c r="E50" s="141"/>
      <c r="F50" s="140"/>
      <c r="G50" s="142"/>
      <c r="H50" s="142"/>
      <c r="I50" s="143"/>
      <c r="J50" s="143"/>
      <c r="K50" s="153"/>
      <c r="L50" s="153"/>
      <c r="M50" s="154"/>
      <c r="N50" s="143"/>
      <c r="O50" s="155"/>
      <c r="P50" s="143"/>
      <c r="Q50" s="143"/>
      <c r="R50" s="155"/>
      <c r="S50" s="153"/>
      <c r="T50" s="148"/>
      <c r="U50" s="149"/>
      <c r="V50" s="143"/>
      <c r="W50" s="143"/>
      <c r="X50" s="160"/>
    </row>
    <row r="51" spans="1:24" x14ac:dyDescent="0.2">
      <c r="A51" s="140"/>
      <c r="B51" s="140"/>
      <c r="C51" s="140"/>
      <c r="D51" s="140"/>
      <c r="E51" s="141"/>
      <c r="F51" s="140"/>
      <c r="G51" s="142"/>
      <c r="H51" s="142"/>
      <c r="I51" s="143"/>
      <c r="J51" s="143"/>
      <c r="K51" s="153"/>
      <c r="L51" s="153"/>
      <c r="M51" s="154"/>
      <c r="N51" s="143"/>
      <c r="O51" s="155"/>
      <c r="P51" s="143"/>
      <c r="Q51" s="143"/>
      <c r="R51" s="155"/>
      <c r="S51" s="153"/>
      <c r="T51" s="148"/>
      <c r="U51" s="149"/>
      <c r="V51" s="143"/>
      <c r="W51" s="143"/>
      <c r="X51" s="160"/>
    </row>
    <row r="52" spans="1:24" x14ac:dyDescent="0.2">
      <c r="A52" s="140"/>
      <c r="B52" s="140"/>
      <c r="C52" s="140"/>
      <c r="D52" s="140"/>
      <c r="E52" s="141"/>
      <c r="F52" s="140"/>
      <c r="G52" s="142"/>
      <c r="H52" s="142"/>
      <c r="I52" s="143"/>
      <c r="J52" s="143"/>
      <c r="K52" s="153"/>
      <c r="L52" s="153"/>
      <c r="M52" s="154"/>
      <c r="N52" s="143"/>
      <c r="O52" s="155"/>
      <c r="P52" s="143"/>
      <c r="Q52" s="143"/>
      <c r="R52" s="155"/>
      <c r="S52" s="153"/>
      <c r="T52" s="148"/>
      <c r="U52" s="149"/>
      <c r="V52" s="143"/>
      <c r="W52" s="143"/>
      <c r="X52" s="160"/>
    </row>
    <row r="53" spans="1:24" x14ac:dyDescent="0.2">
      <c r="A53" s="140"/>
      <c r="B53" s="140"/>
      <c r="C53" s="140"/>
      <c r="D53" s="140"/>
      <c r="E53" s="141"/>
      <c r="F53" s="140"/>
      <c r="G53" s="142"/>
      <c r="H53" s="142"/>
      <c r="I53" s="143"/>
      <c r="J53" s="143"/>
      <c r="K53" s="153"/>
      <c r="L53" s="153"/>
      <c r="M53" s="154"/>
      <c r="N53" s="143"/>
      <c r="O53" s="155"/>
      <c r="P53" s="143"/>
      <c r="Q53" s="143"/>
      <c r="R53" s="155"/>
      <c r="S53" s="153"/>
      <c r="T53" s="148"/>
      <c r="U53" s="149"/>
      <c r="V53" s="143"/>
      <c r="W53" s="143"/>
      <c r="X53" s="160"/>
    </row>
    <row r="54" spans="1:24" x14ac:dyDescent="0.2">
      <c r="A54" s="140"/>
      <c r="B54" s="140"/>
      <c r="C54" s="140"/>
      <c r="D54" s="140"/>
      <c r="E54" s="141"/>
      <c r="F54" s="140"/>
      <c r="G54" s="142"/>
      <c r="H54" s="142"/>
      <c r="I54" s="143"/>
      <c r="J54" s="143"/>
      <c r="K54" s="153"/>
      <c r="L54" s="153"/>
      <c r="M54" s="154"/>
      <c r="N54" s="143"/>
      <c r="O54" s="155"/>
      <c r="P54" s="143"/>
      <c r="Q54" s="143"/>
      <c r="R54" s="155"/>
      <c r="S54" s="153"/>
      <c r="T54" s="148"/>
      <c r="U54" s="149"/>
      <c r="V54" s="143"/>
      <c r="W54" s="143"/>
      <c r="X54" s="160"/>
    </row>
    <row r="55" spans="1:24" x14ac:dyDescent="0.2">
      <c r="A55" s="140"/>
      <c r="B55" s="140"/>
      <c r="C55" s="140"/>
      <c r="D55" s="140"/>
      <c r="E55" s="141"/>
      <c r="F55" s="140"/>
      <c r="G55" s="142"/>
      <c r="H55" s="142"/>
      <c r="I55" s="143"/>
      <c r="J55" s="143"/>
      <c r="K55" s="153"/>
      <c r="L55" s="153"/>
      <c r="M55" s="154"/>
      <c r="N55" s="143"/>
      <c r="O55" s="155"/>
      <c r="P55" s="143"/>
      <c r="Q55" s="143"/>
      <c r="R55" s="155"/>
      <c r="S55" s="153"/>
      <c r="T55" s="148"/>
      <c r="U55" s="149"/>
      <c r="V55" s="143"/>
      <c r="W55" s="143"/>
      <c r="X55" s="160"/>
    </row>
    <row r="56" spans="1:24" x14ac:dyDescent="0.2">
      <c r="A56" s="140"/>
      <c r="B56" s="140"/>
      <c r="C56" s="140"/>
      <c r="D56" s="140"/>
      <c r="E56" s="141"/>
      <c r="F56" s="140"/>
      <c r="G56" s="142"/>
      <c r="H56" s="142"/>
      <c r="I56" s="143"/>
      <c r="J56" s="143"/>
      <c r="K56" s="153"/>
      <c r="L56" s="153"/>
      <c r="M56" s="154"/>
      <c r="N56" s="143"/>
      <c r="O56" s="155"/>
      <c r="P56" s="143"/>
      <c r="Q56" s="143"/>
      <c r="R56" s="155"/>
      <c r="S56" s="153"/>
      <c r="T56" s="148"/>
      <c r="U56" s="149"/>
      <c r="V56" s="143"/>
      <c r="W56" s="143"/>
      <c r="X56" s="160"/>
    </row>
    <row r="57" spans="1:24" x14ac:dyDescent="0.2">
      <c r="A57" s="140"/>
      <c r="B57" s="140"/>
      <c r="C57" s="140"/>
      <c r="D57" s="140"/>
      <c r="E57" s="141"/>
      <c r="F57" s="140"/>
      <c r="G57" s="142"/>
      <c r="H57" s="142"/>
      <c r="I57" s="143"/>
      <c r="J57" s="143"/>
      <c r="K57" s="153"/>
      <c r="L57" s="153"/>
      <c r="M57" s="154"/>
      <c r="N57" s="143"/>
      <c r="O57" s="155"/>
      <c r="P57" s="143"/>
      <c r="Q57" s="143"/>
      <c r="R57" s="155"/>
      <c r="S57" s="153"/>
      <c r="T57" s="148"/>
      <c r="U57" s="149"/>
      <c r="V57" s="143"/>
      <c r="W57" s="143"/>
      <c r="X57" s="160"/>
    </row>
    <row r="58" spans="1:24" x14ac:dyDescent="0.2">
      <c r="A58" s="140"/>
      <c r="B58" s="140"/>
      <c r="C58" s="140"/>
      <c r="D58" s="140"/>
      <c r="E58" s="141"/>
      <c r="F58" s="140"/>
      <c r="G58" s="142"/>
      <c r="H58" s="142"/>
      <c r="I58" s="143"/>
      <c r="J58" s="143"/>
      <c r="K58" s="153"/>
      <c r="L58" s="153"/>
      <c r="M58" s="154"/>
      <c r="N58" s="143"/>
      <c r="O58" s="155"/>
      <c r="P58" s="143"/>
      <c r="Q58" s="143"/>
      <c r="R58" s="155"/>
      <c r="S58" s="153"/>
      <c r="T58" s="148"/>
      <c r="U58" s="149"/>
      <c r="V58" s="143"/>
      <c r="W58" s="143"/>
      <c r="X58" s="160"/>
    </row>
    <row r="59" spans="1:24" x14ac:dyDescent="0.2">
      <c r="A59" s="140"/>
      <c r="B59" s="140"/>
      <c r="C59" s="140"/>
      <c r="D59" s="140"/>
      <c r="E59" s="141"/>
      <c r="F59" s="140"/>
      <c r="G59" s="142"/>
      <c r="H59" s="142"/>
      <c r="I59" s="143"/>
      <c r="J59" s="143"/>
      <c r="K59" s="153"/>
      <c r="L59" s="153"/>
      <c r="M59" s="154"/>
      <c r="N59" s="143"/>
      <c r="O59" s="155"/>
      <c r="P59" s="143"/>
      <c r="Q59" s="143"/>
      <c r="R59" s="155"/>
      <c r="S59" s="153"/>
      <c r="T59" s="148"/>
      <c r="U59" s="149"/>
      <c r="V59" s="143"/>
      <c r="W59" s="143"/>
      <c r="X59" s="160"/>
    </row>
    <row r="60" spans="1:24" x14ac:dyDescent="0.2">
      <c r="A60" s="140"/>
      <c r="B60" s="140"/>
      <c r="C60" s="140"/>
      <c r="D60" s="140"/>
      <c r="E60" s="141"/>
      <c r="F60" s="140"/>
      <c r="G60" s="142"/>
      <c r="H60" s="142"/>
      <c r="I60" s="143"/>
      <c r="J60" s="143"/>
      <c r="K60" s="153"/>
      <c r="L60" s="153"/>
      <c r="M60" s="154"/>
      <c r="N60" s="143"/>
      <c r="O60" s="155"/>
      <c r="P60" s="143"/>
      <c r="Q60" s="143"/>
      <c r="R60" s="155"/>
      <c r="S60" s="153"/>
      <c r="T60" s="148"/>
      <c r="U60" s="149"/>
      <c r="V60" s="143"/>
      <c r="W60" s="143"/>
      <c r="X60" s="160"/>
    </row>
    <row r="61" spans="1:24" x14ac:dyDescent="0.2">
      <c r="A61" s="140"/>
      <c r="B61" s="140"/>
      <c r="C61" s="140"/>
      <c r="D61" s="140"/>
      <c r="E61" s="141"/>
      <c r="F61" s="140"/>
      <c r="G61" s="142"/>
      <c r="H61" s="142"/>
      <c r="I61" s="143"/>
      <c r="J61" s="143"/>
      <c r="K61" s="153"/>
      <c r="L61" s="153"/>
      <c r="M61" s="154"/>
      <c r="N61" s="143"/>
      <c r="O61" s="155"/>
      <c r="P61" s="143"/>
      <c r="Q61" s="143"/>
      <c r="R61" s="155"/>
      <c r="S61" s="153"/>
      <c r="T61" s="148"/>
      <c r="U61" s="149"/>
      <c r="V61" s="143"/>
      <c r="W61" s="143"/>
      <c r="X61" s="160"/>
    </row>
    <row r="62" spans="1:24" x14ac:dyDescent="0.2">
      <c r="A62" s="140"/>
      <c r="B62" s="140"/>
      <c r="C62" s="140"/>
      <c r="D62" s="140"/>
      <c r="E62" s="141"/>
      <c r="F62" s="140"/>
      <c r="G62" s="142"/>
      <c r="H62" s="142"/>
      <c r="I62" s="143"/>
      <c r="J62" s="143"/>
      <c r="K62" s="153"/>
      <c r="L62" s="153"/>
      <c r="M62" s="154"/>
      <c r="N62" s="143"/>
      <c r="O62" s="155"/>
      <c r="P62" s="143"/>
      <c r="Q62" s="143"/>
      <c r="R62" s="155"/>
      <c r="S62" s="153"/>
      <c r="T62" s="148"/>
      <c r="U62" s="149"/>
      <c r="V62" s="143"/>
      <c r="W62" s="143"/>
      <c r="X62" s="160"/>
    </row>
    <row r="63" spans="1:24" x14ac:dyDescent="0.2">
      <c r="A63" s="140"/>
      <c r="B63" s="140"/>
      <c r="C63" s="140"/>
      <c r="D63" s="140"/>
      <c r="E63" s="141"/>
      <c r="F63" s="140"/>
      <c r="G63" s="142"/>
      <c r="H63" s="142"/>
      <c r="I63" s="143"/>
      <c r="J63" s="143"/>
      <c r="K63" s="153"/>
      <c r="L63" s="153"/>
      <c r="M63" s="154"/>
      <c r="N63" s="143"/>
      <c r="O63" s="155"/>
      <c r="P63" s="143"/>
      <c r="Q63" s="143"/>
      <c r="R63" s="155"/>
      <c r="S63" s="153"/>
      <c r="T63" s="148"/>
      <c r="U63" s="149"/>
      <c r="V63" s="143"/>
      <c r="W63" s="143"/>
      <c r="X63" s="160"/>
    </row>
    <row r="64" spans="1:24" x14ac:dyDescent="0.2">
      <c r="A64" s="140"/>
      <c r="B64" s="140"/>
      <c r="C64" s="140"/>
      <c r="D64" s="140"/>
      <c r="E64" s="141"/>
      <c r="F64" s="140"/>
      <c r="G64" s="142"/>
      <c r="H64" s="142"/>
      <c r="I64" s="143"/>
      <c r="J64" s="143"/>
      <c r="K64" s="153"/>
      <c r="L64" s="153"/>
      <c r="M64" s="154"/>
      <c r="N64" s="143"/>
      <c r="O64" s="155"/>
      <c r="P64" s="143"/>
      <c r="Q64" s="143"/>
      <c r="R64" s="155"/>
      <c r="S64" s="153"/>
      <c r="T64" s="148"/>
      <c r="U64" s="149"/>
      <c r="V64" s="143"/>
      <c r="W64" s="143"/>
      <c r="X64" s="160"/>
    </row>
    <row r="65" spans="1:24" x14ac:dyDescent="0.2">
      <c r="A65" s="140"/>
      <c r="B65" s="140"/>
      <c r="C65" s="140"/>
      <c r="D65" s="140"/>
      <c r="E65" s="141"/>
      <c r="F65" s="140"/>
      <c r="G65" s="142"/>
      <c r="H65" s="142"/>
      <c r="I65" s="143"/>
      <c r="J65" s="143"/>
      <c r="K65" s="153"/>
      <c r="L65" s="153"/>
      <c r="M65" s="154"/>
      <c r="N65" s="143"/>
      <c r="O65" s="155"/>
      <c r="P65" s="143"/>
      <c r="Q65" s="143"/>
      <c r="R65" s="155"/>
      <c r="S65" s="153"/>
      <c r="T65" s="148"/>
      <c r="U65" s="149"/>
      <c r="V65" s="143"/>
      <c r="W65" s="143"/>
      <c r="X65" s="160"/>
    </row>
    <row r="66" spans="1:24" x14ac:dyDescent="0.2">
      <c r="A66" s="140"/>
      <c r="B66" s="140"/>
      <c r="C66" s="140"/>
      <c r="D66" s="140"/>
      <c r="E66" s="141"/>
      <c r="F66" s="140"/>
      <c r="G66" s="142"/>
      <c r="H66" s="142"/>
      <c r="I66" s="143"/>
      <c r="J66" s="143"/>
      <c r="K66" s="153"/>
      <c r="L66" s="153"/>
      <c r="M66" s="154"/>
      <c r="N66" s="143"/>
      <c r="O66" s="155"/>
      <c r="P66" s="143"/>
      <c r="Q66" s="143"/>
      <c r="R66" s="155"/>
      <c r="S66" s="153"/>
      <c r="T66" s="148"/>
      <c r="U66" s="149"/>
      <c r="V66" s="143"/>
      <c r="W66" s="143"/>
      <c r="X66" s="160"/>
    </row>
    <row r="67" spans="1:24" x14ac:dyDescent="0.2">
      <c r="A67" s="140"/>
      <c r="B67" s="140"/>
      <c r="C67" s="140"/>
      <c r="D67" s="140"/>
      <c r="E67" s="141"/>
      <c r="F67" s="140"/>
      <c r="G67" s="142"/>
      <c r="H67" s="142"/>
      <c r="I67" s="143"/>
      <c r="J67" s="143"/>
      <c r="K67" s="153"/>
      <c r="L67" s="153"/>
      <c r="M67" s="154"/>
      <c r="N67" s="143"/>
      <c r="O67" s="155"/>
      <c r="P67" s="143"/>
      <c r="Q67" s="143"/>
      <c r="R67" s="155"/>
      <c r="S67" s="153"/>
      <c r="T67" s="148"/>
      <c r="U67" s="149"/>
      <c r="V67" s="143"/>
      <c r="W67" s="143"/>
      <c r="X67" s="160"/>
    </row>
    <row r="68" spans="1:24" x14ac:dyDescent="0.2">
      <c r="A68" s="140"/>
      <c r="B68" s="140"/>
      <c r="C68" s="140"/>
      <c r="D68" s="140"/>
      <c r="E68" s="141"/>
      <c r="F68" s="140"/>
      <c r="G68" s="142"/>
      <c r="H68" s="142"/>
      <c r="I68" s="143"/>
      <c r="J68" s="143"/>
      <c r="K68" s="153"/>
      <c r="L68" s="153"/>
      <c r="M68" s="154"/>
      <c r="N68" s="143"/>
      <c r="O68" s="155"/>
      <c r="P68" s="143"/>
      <c r="Q68" s="143"/>
      <c r="R68" s="155"/>
      <c r="S68" s="153"/>
      <c r="T68" s="148"/>
      <c r="U68" s="149"/>
      <c r="V68" s="143"/>
      <c r="W68" s="143"/>
      <c r="X68" s="160"/>
    </row>
    <row r="69" spans="1:24" x14ac:dyDescent="0.2">
      <c r="A69" s="140"/>
      <c r="B69" s="140"/>
      <c r="C69" s="140"/>
      <c r="D69" s="140"/>
      <c r="E69" s="141"/>
      <c r="F69" s="140"/>
      <c r="G69" s="142"/>
      <c r="H69" s="142"/>
      <c r="I69" s="143"/>
      <c r="J69" s="143"/>
      <c r="K69" s="153"/>
      <c r="L69" s="153"/>
      <c r="M69" s="154"/>
      <c r="N69" s="143"/>
      <c r="O69" s="155"/>
      <c r="P69" s="143"/>
      <c r="Q69" s="143"/>
      <c r="R69" s="155"/>
      <c r="S69" s="153"/>
      <c r="T69" s="148"/>
      <c r="U69" s="149"/>
      <c r="V69" s="143"/>
      <c r="W69" s="143"/>
      <c r="X69" s="160"/>
    </row>
    <row r="70" spans="1:24" x14ac:dyDescent="0.2">
      <c r="A70" s="140"/>
      <c r="B70" s="140"/>
      <c r="C70" s="140"/>
      <c r="D70" s="140"/>
      <c r="E70" s="141"/>
      <c r="F70" s="140"/>
      <c r="G70" s="142"/>
      <c r="H70" s="142"/>
      <c r="I70" s="143"/>
      <c r="J70" s="143"/>
      <c r="K70" s="153"/>
      <c r="L70" s="153"/>
      <c r="M70" s="154"/>
      <c r="N70" s="143"/>
      <c r="O70" s="155"/>
      <c r="P70" s="143"/>
      <c r="Q70" s="143"/>
      <c r="R70" s="155"/>
      <c r="S70" s="153"/>
      <c r="T70" s="148"/>
      <c r="U70" s="149"/>
      <c r="V70" s="143"/>
      <c r="W70" s="143"/>
      <c r="X70" s="160"/>
    </row>
    <row r="71" spans="1:24" x14ac:dyDescent="0.2">
      <c r="A71" s="140"/>
      <c r="B71" s="140"/>
      <c r="C71" s="140"/>
      <c r="D71" s="140"/>
      <c r="E71" s="141"/>
      <c r="F71" s="140"/>
      <c r="G71" s="142"/>
      <c r="H71" s="142"/>
      <c r="I71" s="143"/>
      <c r="J71" s="143"/>
      <c r="K71" s="153"/>
      <c r="L71" s="153"/>
      <c r="M71" s="154"/>
      <c r="N71" s="143"/>
      <c r="O71" s="155"/>
      <c r="P71" s="143"/>
      <c r="Q71" s="143"/>
      <c r="R71" s="155"/>
      <c r="S71" s="153"/>
      <c r="T71" s="148"/>
      <c r="U71" s="149"/>
      <c r="V71" s="143"/>
      <c r="W71" s="143"/>
      <c r="X71" s="160"/>
    </row>
    <row r="72" spans="1:24" x14ac:dyDescent="0.2">
      <c r="A72" s="140"/>
      <c r="B72" s="140"/>
      <c r="C72" s="140"/>
      <c r="D72" s="140"/>
      <c r="E72" s="141"/>
      <c r="F72" s="140"/>
      <c r="G72" s="142"/>
      <c r="H72" s="142"/>
      <c r="I72" s="143"/>
      <c r="J72" s="143"/>
      <c r="K72" s="153"/>
      <c r="L72" s="153"/>
      <c r="M72" s="154"/>
      <c r="N72" s="143"/>
      <c r="O72" s="155"/>
      <c r="P72" s="143"/>
      <c r="Q72" s="143"/>
      <c r="R72" s="155"/>
      <c r="S72" s="153"/>
      <c r="T72" s="148"/>
      <c r="U72" s="149"/>
      <c r="V72" s="143"/>
      <c r="W72" s="143"/>
      <c r="X72" s="160"/>
    </row>
    <row r="73" spans="1:24" x14ac:dyDescent="0.2">
      <c r="A73" s="140"/>
      <c r="B73" s="140"/>
      <c r="C73" s="140"/>
      <c r="D73" s="140"/>
      <c r="E73" s="141"/>
      <c r="F73" s="140"/>
      <c r="G73" s="142"/>
      <c r="H73" s="142"/>
      <c r="I73" s="143"/>
      <c r="J73" s="143"/>
      <c r="K73" s="153"/>
      <c r="L73" s="153"/>
      <c r="M73" s="154"/>
      <c r="N73" s="143"/>
      <c r="O73" s="155"/>
      <c r="P73" s="143"/>
      <c r="Q73" s="143"/>
      <c r="R73" s="155"/>
      <c r="S73" s="153"/>
      <c r="T73" s="148"/>
      <c r="U73" s="149"/>
      <c r="V73" s="143"/>
      <c r="W73" s="143"/>
      <c r="X73" s="160"/>
    </row>
    <row r="74" spans="1:24" x14ac:dyDescent="0.2">
      <c r="A74" s="140"/>
      <c r="B74" s="140"/>
      <c r="C74" s="140"/>
      <c r="D74" s="140"/>
      <c r="E74" s="141"/>
      <c r="F74" s="140"/>
      <c r="G74" s="142"/>
      <c r="H74" s="142"/>
      <c r="I74" s="143"/>
      <c r="J74" s="143"/>
      <c r="K74" s="153"/>
      <c r="L74" s="153"/>
      <c r="M74" s="154"/>
      <c r="N74" s="143"/>
      <c r="O74" s="155"/>
      <c r="P74" s="143"/>
      <c r="Q74" s="143"/>
      <c r="R74" s="155"/>
      <c r="S74" s="153"/>
      <c r="T74" s="148"/>
      <c r="U74" s="149"/>
      <c r="V74" s="143"/>
      <c r="W74" s="143"/>
      <c r="X74" s="160"/>
    </row>
    <row r="75" spans="1:24" x14ac:dyDescent="0.2">
      <c r="A75" s="140"/>
      <c r="B75" s="140"/>
      <c r="C75" s="140"/>
      <c r="D75" s="140"/>
      <c r="E75" s="141"/>
      <c r="F75" s="140"/>
      <c r="G75" s="142"/>
      <c r="H75" s="142"/>
      <c r="I75" s="143"/>
      <c r="J75" s="143"/>
      <c r="K75" s="153"/>
      <c r="L75" s="153"/>
      <c r="M75" s="154"/>
      <c r="N75" s="143"/>
      <c r="O75" s="155"/>
      <c r="P75" s="143"/>
      <c r="Q75" s="143"/>
      <c r="R75" s="155"/>
      <c r="S75" s="153"/>
      <c r="T75" s="148"/>
      <c r="U75" s="149"/>
      <c r="V75" s="143"/>
      <c r="W75" s="143"/>
      <c r="X75" s="160"/>
    </row>
    <row r="76" spans="1:24" x14ac:dyDescent="0.2">
      <c r="A76" s="140"/>
      <c r="B76" s="140"/>
      <c r="C76" s="140"/>
      <c r="D76" s="140"/>
      <c r="E76" s="141"/>
      <c r="F76" s="140"/>
      <c r="G76" s="142"/>
      <c r="H76" s="142"/>
      <c r="I76" s="143"/>
      <c r="J76" s="143"/>
      <c r="K76" s="153"/>
      <c r="L76" s="153"/>
      <c r="M76" s="154"/>
      <c r="N76" s="143"/>
      <c r="O76" s="155"/>
      <c r="P76" s="143"/>
      <c r="Q76" s="143"/>
      <c r="R76" s="155"/>
      <c r="S76" s="153"/>
      <c r="T76" s="148"/>
      <c r="U76" s="149"/>
      <c r="V76" s="143"/>
      <c r="W76" s="143"/>
      <c r="X76" s="160"/>
    </row>
    <row r="77" spans="1:24" x14ac:dyDescent="0.2">
      <c r="A77" s="140"/>
      <c r="B77" s="140"/>
      <c r="C77" s="140"/>
      <c r="D77" s="140"/>
      <c r="E77" s="141"/>
      <c r="F77" s="140"/>
      <c r="G77" s="142"/>
      <c r="H77" s="142"/>
      <c r="I77" s="143"/>
      <c r="J77" s="143"/>
      <c r="K77" s="153"/>
      <c r="L77" s="153"/>
      <c r="M77" s="154"/>
      <c r="N77" s="143"/>
      <c r="O77" s="155"/>
      <c r="P77" s="143"/>
      <c r="Q77" s="143"/>
      <c r="R77" s="155"/>
      <c r="S77" s="153"/>
      <c r="T77" s="148"/>
      <c r="U77" s="149"/>
      <c r="V77" s="143"/>
      <c r="W77" s="143"/>
      <c r="X77" s="160"/>
    </row>
    <row r="78" spans="1:24" x14ac:dyDescent="0.2">
      <c r="A78" s="140"/>
      <c r="B78" s="140"/>
      <c r="C78" s="140"/>
      <c r="D78" s="140"/>
      <c r="E78" s="141"/>
      <c r="F78" s="140"/>
      <c r="G78" s="142"/>
      <c r="H78" s="142"/>
      <c r="I78" s="143"/>
      <c r="J78" s="143"/>
      <c r="K78" s="153"/>
      <c r="L78" s="153"/>
      <c r="M78" s="154"/>
      <c r="N78" s="143"/>
      <c r="O78" s="155"/>
      <c r="P78" s="143"/>
      <c r="Q78" s="143"/>
      <c r="R78" s="155"/>
      <c r="S78" s="153"/>
      <c r="T78" s="148"/>
      <c r="U78" s="149"/>
      <c r="V78" s="143"/>
      <c r="W78" s="143"/>
      <c r="X78" s="160"/>
    </row>
    <row r="79" spans="1:24" x14ac:dyDescent="0.2">
      <c r="A79" s="140"/>
      <c r="B79" s="140"/>
      <c r="C79" s="140"/>
      <c r="D79" s="140"/>
      <c r="E79" s="141"/>
      <c r="F79" s="140"/>
      <c r="G79" s="142"/>
      <c r="H79" s="142"/>
      <c r="I79" s="143"/>
      <c r="J79" s="143"/>
      <c r="K79" s="153"/>
      <c r="L79" s="153"/>
      <c r="M79" s="154"/>
      <c r="N79" s="143"/>
      <c r="O79" s="155"/>
      <c r="P79" s="143"/>
      <c r="Q79" s="143"/>
      <c r="R79" s="155"/>
      <c r="S79" s="153"/>
      <c r="T79" s="148"/>
      <c r="U79" s="149"/>
      <c r="V79" s="143"/>
      <c r="W79" s="143"/>
      <c r="X79" s="160"/>
    </row>
    <row r="80" spans="1:24" x14ac:dyDescent="0.2">
      <c r="A80" s="140"/>
      <c r="B80" s="140"/>
      <c r="C80" s="140"/>
      <c r="D80" s="140"/>
      <c r="E80" s="141"/>
      <c r="F80" s="140"/>
      <c r="G80" s="142"/>
      <c r="H80" s="142"/>
      <c r="I80" s="143"/>
      <c r="J80" s="143"/>
      <c r="K80" s="153"/>
      <c r="L80" s="153"/>
      <c r="M80" s="154"/>
      <c r="N80" s="143"/>
      <c r="O80" s="155"/>
      <c r="P80" s="143"/>
      <c r="Q80" s="143"/>
      <c r="R80" s="155"/>
      <c r="S80" s="153"/>
      <c r="T80" s="148"/>
      <c r="U80" s="149"/>
      <c r="V80" s="143"/>
      <c r="W80" s="143"/>
      <c r="X80" s="160"/>
    </row>
    <row r="81" spans="1:24" x14ac:dyDescent="0.2">
      <c r="A81" s="140"/>
      <c r="B81" s="140"/>
      <c r="C81" s="140"/>
      <c r="D81" s="140"/>
      <c r="E81" s="141"/>
      <c r="F81" s="140"/>
      <c r="G81" s="142"/>
      <c r="H81" s="142"/>
      <c r="I81" s="143"/>
      <c r="J81" s="143"/>
      <c r="K81" s="153"/>
      <c r="L81" s="153"/>
      <c r="M81" s="154"/>
      <c r="N81" s="143"/>
      <c r="O81" s="155"/>
      <c r="P81" s="143"/>
      <c r="Q81" s="143"/>
      <c r="R81" s="155"/>
      <c r="S81" s="153"/>
      <c r="T81" s="148"/>
      <c r="U81" s="149"/>
      <c r="V81" s="143"/>
      <c r="W81" s="143"/>
      <c r="X81" s="160"/>
    </row>
    <row r="82" spans="1:24" x14ac:dyDescent="0.2">
      <c r="A82" s="140"/>
      <c r="B82" s="140"/>
      <c r="C82" s="140"/>
      <c r="D82" s="140"/>
      <c r="E82" s="141"/>
      <c r="F82" s="140"/>
      <c r="G82" s="142"/>
      <c r="H82" s="142"/>
      <c r="I82" s="143"/>
      <c r="J82" s="143"/>
      <c r="K82" s="153"/>
      <c r="L82" s="153"/>
      <c r="M82" s="154"/>
      <c r="N82" s="143"/>
      <c r="O82" s="155"/>
      <c r="P82" s="143"/>
      <c r="Q82" s="143"/>
      <c r="R82" s="155"/>
      <c r="S82" s="153"/>
      <c r="T82" s="148"/>
      <c r="U82" s="149"/>
      <c r="V82" s="143"/>
      <c r="W82" s="143"/>
      <c r="X82" s="160"/>
    </row>
    <row r="83" spans="1:24" x14ac:dyDescent="0.2">
      <c r="A83" s="140"/>
      <c r="B83" s="140"/>
      <c r="C83" s="140"/>
      <c r="D83" s="140"/>
      <c r="E83" s="141"/>
      <c r="F83" s="140"/>
      <c r="G83" s="142"/>
      <c r="H83" s="142"/>
      <c r="I83" s="143"/>
      <c r="J83" s="143"/>
      <c r="K83" s="153"/>
      <c r="L83" s="153"/>
      <c r="M83" s="154"/>
      <c r="N83" s="143"/>
      <c r="O83" s="155"/>
      <c r="P83" s="143"/>
      <c r="Q83" s="143"/>
      <c r="R83" s="155"/>
      <c r="S83" s="153"/>
      <c r="T83" s="148"/>
      <c r="U83" s="149"/>
      <c r="V83" s="143"/>
      <c r="W83" s="143"/>
      <c r="X83" s="160"/>
    </row>
    <row r="84" spans="1:24" x14ac:dyDescent="0.2">
      <c r="A84" s="140"/>
      <c r="B84" s="140"/>
      <c r="C84" s="140"/>
      <c r="D84" s="140"/>
      <c r="E84" s="141"/>
      <c r="F84" s="140"/>
      <c r="G84" s="142"/>
      <c r="H84" s="142"/>
      <c r="I84" s="143"/>
      <c r="J84" s="143"/>
      <c r="K84" s="153"/>
      <c r="L84" s="153"/>
      <c r="M84" s="154"/>
      <c r="N84" s="143"/>
      <c r="O84" s="155"/>
      <c r="P84" s="143"/>
      <c r="Q84" s="143"/>
      <c r="R84" s="155"/>
      <c r="S84" s="153"/>
      <c r="T84" s="148"/>
      <c r="U84" s="149"/>
      <c r="V84" s="143"/>
      <c r="W84" s="143"/>
      <c r="X84" s="160"/>
    </row>
    <row r="85" spans="1:24" x14ac:dyDescent="0.2">
      <c r="A85" s="140"/>
      <c r="B85" s="140"/>
      <c r="C85" s="140"/>
      <c r="D85" s="140"/>
      <c r="E85" s="141"/>
      <c r="F85" s="140"/>
      <c r="G85" s="142"/>
      <c r="H85" s="142"/>
      <c r="I85" s="143"/>
      <c r="J85" s="143"/>
      <c r="K85" s="153"/>
      <c r="L85" s="153"/>
      <c r="M85" s="154"/>
      <c r="N85" s="143"/>
      <c r="O85" s="155"/>
      <c r="P85" s="143"/>
      <c r="Q85" s="143"/>
      <c r="R85" s="155"/>
      <c r="S85" s="153"/>
      <c r="T85" s="148"/>
      <c r="U85" s="149"/>
      <c r="V85" s="143"/>
      <c r="W85" s="143"/>
      <c r="X85" s="160"/>
    </row>
    <row r="86" spans="1:24" x14ac:dyDescent="0.2">
      <c r="A86" s="140"/>
      <c r="B86" s="140"/>
      <c r="C86" s="140"/>
      <c r="D86" s="140"/>
      <c r="E86" s="141"/>
      <c r="F86" s="140"/>
      <c r="G86" s="142"/>
      <c r="H86" s="142"/>
      <c r="I86" s="143"/>
      <c r="J86" s="143"/>
      <c r="K86" s="153"/>
      <c r="L86" s="153"/>
      <c r="M86" s="154"/>
      <c r="N86" s="143"/>
      <c r="O86" s="155"/>
      <c r="P86" s="143"/>
      <c r="Q86" s="143"/>
      <c r="R86" s="155"/>
      <c r="S86" s="153"/>
      <c r="T86" s="148"/>
      <c r="U86" s="149"/>
      <c r="V86" s="143"/>
      <c r="W86" s="143"/>
      <c r="X86" s="160"/>
    </row>
    <row r="87" spans="1:24" x14ac:dyDescent="0.2">
      <c r="A87" s="140"/>
      <c r="B87" s="140"/>
      <c r="C87" s="140"/>
      <c r="D87" s="140"/>
      <c r="E87" s="141"/>
      <c r="F87" s="140"/>
      <c r="G87" s="142"/>
      <c r="H87" s="142"/>
      <c r="I87" s="143"/>
      <c r="J87" s="143"/>
      <c r="K87" s="153"/>
      <c r="L87" s="153"/>
      <c r="M87" s="154"/>
      <c r="N87" s="143"/>
      <c r="O87" s="155"/>
      <c r="P87" s="143"/>
      <c r="Q87" s="143"/>
      <c r="R87" s="155"/>
      <c r="S87" s="153"/>
      <c r="T87" s="148"/>
      <c r="U87" s="149"/>
      <c r="V87" s="143"/>
      <c r="W87" s="143"/>
      <c r="X87" s="160"/>
    </row>
    <row r="88" spans="1:24" x14ac:dyDescent="0.2">
      <c r="A88" s="140"/>
      <c r="B88" s="140"/>
      <c r="C88" s="140"/>
      <c r="D88" s="140"/>
      <c r="E88" s="141"/>
      <c r="F88" s="140"/>
      <c r="G88" s="142"/>
      <c r="H88" s="142"/>
      <c r="I88" s="143"/>
      <c r="J88" s="143"/>
      <c r="K88" s="153"/>
      <c r="L88" s="153"/>
      <c r="M88" s="154"/>
      <c r="N88" s="143"/>
      <c r="O88" s="155"/>
      <c r="P88" s="143"/>
      <c r="Q88" s="143"/>
      <c r="R88" s="155"/>
      <c r="S88" s="153"/>
      <c r="T88" s="148"/>
      <c r="U88" s="149"/>
      <c r="V88" s="143"/>
      <c r="W88" s="143"/>
      <c r="X88" s="160"/>
    </row>
    <row r="89" spans="1:24" x14ac:dyDescent="0.2">
      <c r="A89" s="140"/>
      <c r="B89" s="140"/>
      <c r="C89" s="140"/>
      <c r="D89" s="140"/>
      <c r="E89" s="141"/>
      <c r="F89" s="140"/>
      <c r="G89" s="142"/>
      <c r="H89" s="142"/>
      <c r="I89" s="143"/>
      <c r="J89" s="143"/>
      <c r="K89" s="153"/>
      <c r="L89" s="153"/>
      <c r="M89" s="154"/>
      <c r="N89" s="143"/>
      <c r="O89" s="155"/>
      <c r="P89" s="143"/>
      <c r="Q89" s="143"/>
      <c r="R89" s="155"/>
      <c r="S89" s="153"/>
      <c r="T89" s="148"/>
      <c r="U89" s="149"/>
      <c r="V89" s="143"/>
      <c r="W89" s="143"/>
      <c r="X89" s="160"/>
    </row>
    <row r="90" spans="1:24" x14ac:dyDescent="0.2">
      <c r="A90" s="140"/>
      <c r="B90" s="140"/>
      <c r="C90" s="140"/>
      <c r="D90" s="140"/>
      <c r="E90" s="141"/>
      <c r="F90" s="140"/>
      <c r="G90" s="142"/>
      <c r="H90" s="142"/>
      <c r="I90" s="143"/>
      <c r="J90" s="143"/>
      <c r="K90" s="153"/>
      <c r="L90" s="153"/>
      <c r="M90" s="154"/>
      <c r="N90" s="143"/>
      <c r="O90" s="155"/>
      <c r="P90" s="143"/>
      <c r="Q90" s="143"/>
      <c r="R90" s="155"/>
      <c r="S90" s="153"/>
      <c r="T90" s="148"/>
      <c r="U90" s="149"/>
      <c r="V90" s="143"/>
      <c r="W90" s="143"/>
      <c r="X90" s="160"/>
    </row>
    <row r="91" spans="1:24" x14ac:dyDescent="0.2">
      <c r="A91" s="140"/>
      <c r="B91" s="140"/>
      <c r="C91" s="140"/>
      <c r="D91" s="140"/>
      <c r="E91" s="141"/>
      <c r="F91" s="140"/>
      <c r="G91" s="142"/>
      <c r="H91" s="142"/>
      <c r="I91" s="143"/>
      <c r="J91" s="143"/>
      <c r="K91" s="153"/>
      <c r="L91" s="153"/>
      <c r="M91" s="154"/>
      <c r="N91" s="143"/>
      <c r="O91" s="155"/>
      <c r="P91" s="143"/>
      <c r="Q91" s="143"/>
      <c r="R91" s="155"/>
      <c r="S91" s="153"/>
      <c r="T91" s="148"/>
      <c r="U91" s="149"/>
      <c r="V91" s="143"/>
      <c r="W91" s="143"/>
      <c r="X91" s="160"/>
    </row>
    <row r="92" spans="1:24" x14ac:dyDescent="0.2">
      <c r="A92" s="140"/>
      <c r="B92" s="140"/>
      <c r="C92" s="140"/>
      <c r="D92" s="140"/>
      <c r="E92" s="141"/>
      <c r="F92" s="140"/>
      <c r="G92" s="142"/>
      <c r="H92" s="142"/>
      <c r="I92" s="143"/>
      <c r="J92" s="143"/>
      <c r="K92" s="153"/>
      <c r="L92" s="153"/>
      <c r="M92" s="154"/>
      <c r="N92" s="143"/>
      <c r="O92" s="155"/>
      <c r="P92" s="143"/>
      <c r="Q92" s="143"/>
      <c r="R92" s="155"/>
      <c r="S92" s="153"/>
      <c r="T92" s="148"/>
      <c r="U92" s="149"/>
      <c r="V92" s="143"/>
      <c r="W92" s="143"/>
      <c r="X92" s="160"/>
    </row>
  </sheetData>
  <mergeCells count="1">
    <mergeCell ref="F13:G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CRA - VERT</vt:lpstr>
      <vt:lpstr>JUROS</vt:lpstr>
      <vt:lpstr>Detalhamento VERT</vt:lpstr>
      <vt:lpstr>Conversão de Taxas</vt:lpstr>
      <vt:lpstr>Saldo IMPLANTAÇÃO</vt:lpstr>
      <vt:lpstr>Relac. Notas Fiscais</vt:lpstr>
      <vt:lpstr>'CRA - VERT'!Area_de_impressao</vt:lpstr>
    </vt:vector>
  </TitlesOfParts>
  <Company>Gennesys Consulting SS Ltda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Gennesys Consulting SS Ltda</dc:creator>
  <cp:lastModifiedBy>contabilidade01</cp:lastModifiedBy>
  <cp:lastPrinted>2021-10-06T14:21:14Z</cp:lastPrinted>
  <dcterms:created xsi:type="dcterms:W3CDTF">2005-03-02T13:34:40Z</dcterms:created>
  <dcterms:modified xsi:type="dcterms:W3CDTF">2022-02-14T13:05:26Z</dcterms:modified>
</cp:coreProperties>
</file>