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lorena.soares\Desktop\"/>
    </mc:Choice>
  </mc:AlternateContent>
  <xr:revisionPtr revIDLastSave="0" documentId="13_ncr:1_{74E8718C-4FD0-4CB0-A49B-8203F49C2846}" xr6:coauthVersionLast="34" xr6:coauthVersionMax="34" xr10:uidLastSave="{00000000-0000-0000-0000-000000000000}"/>
  <bookViews>
    <workbookView xWindow="0" yWindow="0" windowWidth="20490" windowHeight="8940" xr2:uid="{00000000-000D-0000-FFFF-FFFF00000000}"/>
  </bookViews>
  <sheets>
    <sheet name="Fluxo Consolidado" sheetId="240" r:id="rId1"/>
    <sheet name="Indicadores" sheetId="251" r:id="rId2"/>
    <sheet name="Fluxo - Com Terreno" sheetId="236" state="hidden" r:id="rId3"/>
    <sheet name="Resumo Ano" sheetId="253" state="hidden" r:id="rId4"/>
    <sheet name="DRE - Grafico" sheetId="255" state="hidden" r:id="rId5"/>
    <sheet name="Planejamento Estoque" sheetId="256" state="hidden" r:id="rId6"/>
  </sheets>
  <externalReferences>
    <externalReference r:id="rId7"/>
    <externalReference r:id="rId8"/>
    <externalReference r:id="rId9"/>
  </externalReferences>
  <definedNames>
    <definedName name="_xlnm._FilterDatabase" localSheetId="0" hidden="1">'Fluxo Consolidado'!$A$2:$AQ$187</definedName>
    <definedName name="a" localSheetId="4">#REF!</definedName>
    <definedName name="agosto" localSheetId="4">#REF!</definedName>
    <definedName name="ano" localSheetId="4">#REF!</definedName>
    <definedName name="ANUAL" localSheetId="4">#REF!</definedName>
    <definedName name="ANUALL" localSheetId="4">#REF!</definedName>
    <definedName name="asd" localSheetId="4">#REF!</definedName>
    <definedName name="asdd" localSheetId="4">#REF!</definedName>
    <definedName name="asdf" localSheetId="4">#REF!</definedName>
    <definedName name="bdi" localSheetId="4">#REF!</definedName>
    <definedName name="bdis" localSheetId="4">#REF!</definedName>
    <definedName name="bg" localSheetId="4">#REF!</definedName>
    <definedName name="BN" localSheetId="4">#REF!</definedName>
    <definedName name="CASAMADEIRA" localSheetId="4">#REF!</definedName>
    <definedName name="cash_terminal" localSheetId="4">#REF!</definedName>
    <definedName name="ÇÇÇ" localSheetId="4">#REF!</definedName>
    <definedName name="cccccc" localSheetId="4">#REF!</definedName>
    <definedName name="cddddd" localSheetId="4">#REF!</definedName>
    <definedName name="COFINS" localSheetId="4">#REF!</definedName>
    <definedName name="dc" localSheetId="4">#REF!</definedName>
    <definedName name="dcf_year" localSheetId="4">#REF!</definedName>
    <definedName name="dd" localSheetId="4">#REF!</definedName>
    <definedName name="debt_terminal" localSheetId="4">#REF!</definedName>
    <definedName name="DespPPubFProm" localSheetId="4">'[1]desp op prom_obras'!#REF!</definedName>
    <definedName name="ds" localSheetId="4">#REF!</definedName>
    <definedName name="e" localSheetId="4">#REF!</definedName>
    <definedName name="EBITDA_mult" localSheetId="4">#REF!</definedName>
    <definedName name="ECECR" localSheetId="4">#REF!</definedName>
    <definedName name="er" localSheetId="4">#REF!</definedName>
    <definedName name="FF" localSheetId="4">#REF!</definedName>
    <definedName name="FWQFWFWQFWE" localSheetId="4">#REF!</definedName>
    <definedName name="GFNLHKNF" localSheetId="4">#REF!</definedName>
    <definedName name="GUCIGKJGJKFHTDMHGTDJY" localSheetId="4">#REF!</definedName>
    <definedName name="indicesss" localSheetId="4">#REF!</definedName>
    <definedName name="informe" localSheetId="4">#REF!</definedName>
    <definedName name="ITBI" localSheetId="4">'[2]desp op prom_obras'!#REF!</definedName>
    <definedName name="jfjfjfjfj" localSheetId="4">#REF!</definedName>
    <definedName name="jgjgj" localSheetId="4">#REF!</definedName>
    <definedName name="JORGE" localSheetId="4">#REF!</definedName>
    <definedName name="kasl" localSheetId="4">'[2]desp op prom_obras'!#REF!</definedName>
    <definedName name="kdkdkd" localSheetId="4">#REF!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f" localSheetId="4">#REF!</definedName>
    <definedName name="MatrizOcupAdim" localSheetId="4">#REF!</definedName>
    <definedName name="MENSAL" localSheetId="4">#REF!</definedName>
    <definedName name="Mensal." localSheetId="4">#REF!</definedName>
    <definedName name="MOBILIA" localSheetId="4">#REF!</definedName>
    <definedName name="mult_sen" localSheetId="4">#REF!</definedName>
    <definedName name="n" localSheetId="4">#REF!</definedName>
    <definedName name="ng" localSheetId="4">#REF!</definedName>
    <definedName name="nhhhh" localSheetId="4">#REF!</definedName>
    <definedName name="NJDGFUDGE" localSheetId="4">#REF!</definedName>
    <definedName name="novva" localSheetId="4">#REF!</definedName>
    <definedName name="parcelamentorfb" localSheetId="4">#REF!</definedName>
    <definedName name="periodo_selecionado" localSheetId="4">#REF!</definedName>
    <definedName name="PeriodoInPlanejado" localSheetId="4">#REF!=MEDIAN(#REF!,#REF!,#REF!+#REF!-1)</definedName>
    <definedName name="PeriodoInReal" localSheetId="4">#REF!=MEDIAN(#REF!,#REF!,#REF!+#REF!-1)</definedName>
    <definedName name="Plano" localSheetId="4">'DRE - Grafico'!PeriodoInPlanejado*(#REF!&gt;0)</definedName>
    <definedName name="POOL" localSheetId="4">#REF!</definedName>
    <definedName name="POOLL" localSheetId="4">#REF!</definedName>
    <definedName name="PorcentagemConcluída" localSheetId="4">'DRE - Grafico'!PorcentagemConcluídaPosterior*'DRE - Grafico'!PeriodoInPlanejado</definedName>
    <definedName name="PorcentagemConcluídaPosterior" localSheetId="4">(#REF!=MEDIAN(#REF!,#REF!,#REF!+#REF!)*(#REF!&gt;0))*((#REF!&lt;(INT(#REF!+#REF!*#REF!)))+(#REF!=#REF!))*(#REF!&gt;0)</definedName>
    <definedName name="RCYTFTFTFD" localSheetId="4">#REF!</definedName>
    <definedName name="Real" localSheetId="4">('DRE - Grafico'!PeriodoInReal*(#REF!&gt;0))*'DRE - Grafico'!PeriodoInPlanejado</definedName>
    <definedName name="RealPosterior" localSheetId="4">'DRE - Grafico'!PeriodoInReal*(#REF!&gt;0)</definedName>
    <definedName name="RESPERATA" localSheetId="4">#REF!</definedName>
    <definedName name="RFBPARCE" localSheetId="4">#REF!</definedName>
    <definedName name="sa" localSheetId="4">#REF!</definedName>
    <definedName name="SERR" localSheetId="4">#REF!</definedName>
    <definedName name="TAB_INSUMOS" localSheetId="4">#REF!</definedName>
    <definedName name="tabPrecosUnitarios" localSheetId="4">#REF!</definedName>
    <definedName name="taise" localSheetId="4">#REF!</definedName>
    <definedName name="tttt" localSheetId="4">#REF!</definedName>
    <definedName name="vb" localSheetId="4">#REF!</definedName>
    <definedName name="vf" localSheetId="4">#REF!</definedName>
    <definedName name="VIDROS_TRAGUABOX" localSheetId="4">#REF!</definedName>
    <definedName name="WALDO_PALMERSTON___EMPRESTIMO" localSheetId="4">#REF!</definedName>
    <definedName name="y" localSheetId="4">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82" i="240" l="1"/>
  <c r="G83" i="240"/>
  <c r="G84" i="240" s="1"/>
  <c r="G85" i="240" s="1"/>
  <c r="G86" i="240" s="1"/>
  <c r="G87" i="240" s="1"/>
  <c r="G88" i="240" s="1"/>
  <c r="G89" i="240" s="1"/>
  <c r="G90" i="240" s="1"/>
  <c r="G91" i="240" s="1"/>
  <c r="G92" i="240" s="1"/>
  <c r="G93" i="240" s="1"/>
  <c r="G94" i="240" s="1"/>
  <c r="G95" i="240" s="1"/>
  <c r="G96" i="240" s="1"/>
  <c r="G97" i="240" s="1"/>
  <c r="G98" i="240" s="1"/>
  <c r="G99" i="240" s="1"/>
  <c r="G100" i="240" s="1"/>
  <c r="G101" i="240" s="1"/>
  <c r="G102" i="240" s="1"/>
  <c r="G103" i="240" s="1"/>
  <c r="G104" i="240" s="1"/>
  <c r="G105" i="240" s="1"/>
  <c r="G106" i="240" s="1"/>
  <c r="G107" i="240" s="1"/>
  <c r="G108" i="240" s="1"/>
  <c r="G109" i="240" s="1"/>
  <c r="G110" i="240" s="1"/>
  <c r="G111" i="240" s="1"/>
  <c r="G112" i="240" s="1"/>
  <c r="G113" i="240" s="1"/>
  <c r="G114" i="240" s="1"/>
  <c r="G115" i="240" s="1"/>
  <c r="G116" i="240" s="1"/>
  <c r="G117" i="240" s="1"/>
  <c r="G118" i="240" s="1"/>
  <c r="G119" i="240" s="1"/>
  <c r="G120" i="240" s="1"/>
  <c r="G121" i="240" s="1"/>
  <c r="G122" i="240" s="1"/>
  <c r="G123" i="240" s="1"/>
  <c r="G124" i="240" s="1"/>
  <c r="G125" i="240" s="1"/>
  <c r="G126" i="240" s="1"/>
  <c r="G127" i="240" s="1"/>
  <c r="G128" i="240" s="1"/>
  <c r="G129" i="240" s="1"/>
  <c r="G130" i="240" s="1"/>
  <c r="G131" i="240" s="1"/>
  <c r="G132" i="240" s="1"/>
  <c r="G133" i="240" s="1"/>
  <c r="G134" i="240" s="1"/>
  <c r="G135" i="240" s="1"/>
  <c r="G136" i="240" s="1"/>
  <c r="G137" i="240" s="1"/>
  <c r="G138" i="240" s="1"/>
  <c r="G139" i="240" s="1"/>
  <c r="G140" i="240" s="1"/>
  <c r="G141" i="240" s="1"/>
  <c r="G142" i="240" s="1"/>
  <c r="G143" i="240" s="1"/>
  <c r="G144" i="240" s="1"/>
  <c r="G145" i="240" s="1"/>
  <c r="G146" i="240" s="1"/>
  <c r="G147" i="240" s="1"/>
  <c r="G148" i="240" s="1"/>
  <c r="G149" i="240" s="1"/>
  <c r="G150" i="240" s="1"/>
  <c r="G151" i="240" s="1"/>
  <c r="G152" i="240" s="1"/>
  <c r="G153" i="240" s="1"/>
  <c r="G154" i="240" s="1"/>
  <c r="G155" i="240" s="1"/>
  <c r="G156" i="240" s="1"/>
  <c r="G157" i="240" s="1"/>
  <c r="G158" i="240" s="1"/>
  <c r="G159" i="240" s="1"/>
  <c r="G160" i="240" s="1"/>
  <c r="G161" i="240" s="1"/>
  <c r="G162" i="240" s="1"/>
  <c r="G163" i="240" s="1"/>
  <c r="G164" i="240" s="1"/>
  <c r="G165" i="240" s="1"/>
  <c r="G166" i="240" s="1"/>
  <c r="G167" i="240" s="1"/>
  <c r="G168" i="240" s="1"/>
  <c r="G169" i="240" s="1"/>
  <c r="G170" i="240" s="1"/>
  <c r="G171" i="240" s="1"/>
  <c r="G172" i="240" s="1"/>
  <c r="G173" i="240" s="1"/>
  <c r="G174" i="240" s="1"/>
  <c r="G175" i="240" s="1"/>
  <c r="G176" i="240" s="1"/>
  <c r="G177" i="240" s="1"/>
  <c r="G178" i="240" s="1"/>
  <c r="G179" i="240" s="1"/>
  <c r="G180" i="240" s="1"/>
  <c r="G181" i="240" s="1"/>
  <c r="G182" i="240" s="1"/>
  <c r="G183" i="240" s="1"/>
  <c r="G184" i="240" s="1"/>
  <c r="G185" i="240" s="1"/>
  <c r="O10" i="251" l="1"/>
  <c r="O9" i="251"/>
  <c r="AZ3" i="240"/>
  <c r="BD84" i="240" l="1"/>
  <c r="BD85" i="240"/>
  <c r="BD86" i="240"/>
  <c r="BD87" i="240"/>
  <c r="BD88" i="240"/>
  <c r="BD89" i="240"/>
  <c r="BD90" i="240"/>
  <c r="BD91" i="240"/>
  <c r="BD92" i="240"/>
  <c r="BD93" i="240"/>
  <c r="BD94" i="240"/>
  <c r="BD95" i="240"/>
  <c r="BD96" i="240"/>
  <c r="BD97" i="240"/>
  <c r="BD98" i="240"/>
  <c r="BD99" i="240"/>
  <c r="BD100" i="240"/>
  <c r="BD101" i="240"/>
  <c r="BD102" i="240"/>
  <c r="BD103" i="240"/>
  <c r="BD104" i="240"/>
  <c r="BD105" i="240"/>
  <c r="BD106" i="240"/>
  <c r="BD107" i="240"/>
  <c r="BD108" i="240"/>
  <c r="BD109" i="240"/>
  <c r="BD110" i="240"/>
  <c r="BD111" i="240"/>
  <c r="BD112" i="240"/>
  <c r="BD113" i="240"/>
  <c r="BD114" i="240"/>
  <c r="BD115" i="240"/>
  <c r="BD116" i="240"/>
  <c r="BD117" i="240"/>
  <c r="BD118" i="240"/>
  <c r="BD119" i="240"/>
  <c r="BD120" i="240"/>
  <c r="BD121" i="240"/>
  <c r="BD122" i="240"/>
  <c r="BD123" i="240"/>
  <c r="BD124" i="240"/>
  <c r="BD125" i="240"/>
  <c r="BD126" i="240"/>
  <c r="BD127" i="240"/>
  <c r="BD128" i="240"/>
  <c r="BD129" i="240"/>
  <c r="BD130" i="240"/>
  <c r="BD131" i="240"/>
  <c r="BD132" i="240"/>
  <c r="BD133" i="240"/>
  <c r="BD134" i="240"/>
  <c r="BD135" i="240"/>
  <c r="BD136" i="240"/>
  <c r="BD137" i="240"/>
  <c r="BD138" i="240"/>
  <c r="BD139" i="240"/>
  <c r="BD140" i="240"/>
  <c r="BD141" i="240"/>
  <c r="BD142" i="240"/>
  <c r="BD143" i="240"/>
  <c r="BD144" i="240"/>
  <c r="BD145" i="240"/>
  <c r="BD146" i="240"/>
  <c r="BD147" i="240"/>
  <c r="BD148" i="240"/>
  <c r="BD149" i="240"/>
  <c r="BD150" i="240"/>
  <c r="BD151" i="240"/>
  <c r="BD152" i="240"/>
  <c r="BD153" i="240"/>
  <c r="BD154" i="240"/>
  <c r="BD155" i="240"/>
  <c r="BD156" i="240"/>
  <c r="BD157" i="240"/>
  <c r="BD158" i="240"/>
  <c r="BD159" i="240"/>
  <c r="BD160" i="240"/>
  <c r="BD161" i="240"/>
  <c r="BD162" i="240"/>
  <c r="BD163" i="240"/>
  <c r="BD164" i="240"/>
  <c r="BD165" i="240"/>
  <c r="BD166" i="240"/>
  <c r="BD167" i="240"/>
  <c r="BD168" i="240"/>
  <c r="BD169" i="240"/>
  <c r="BD170" i="240"/>
  <c r="BD171" i="240"/>
  <c r="BD172" i="240"/>
  <c r="BD173" i="240"/>
  <c r="BD174" i="240"/>
  <c r="BD175" i="240"/>
  <c r="BD176" i="240"/>
  <c r="BD177" i="240"/>
  <c r="BD178" i="240"/>
  <c r="BD179" i="240"/>
  <c r="BD180" i="240"/>
  <c r="BD59" i="240"/>
  <c r="BD60" i="240"/>
  <c r="BD62" i="240"/>
  <c r="BD63" i="240"/>
  <c r="BD64" i="240"/>
  <c r="BD65" i="240"/>
  <c r="BD66" i="240"/>
  <c r="BD67" i="240"/>
  <c r="BD68" i="240"/>
  <c r="BD69" i="240"/>
  <c r="BD70" i="240"/>
  <c r="BD71" i="240"/>
  <c r="BD72" i="240"/>
  <c r="BD73" i="240"/>
  <c r="BD74" i="240"/>
  <c r="BD75" i="240"/>
  <c r="BD76" i="240"/>
  <c r="BD77" i="240"/>
  <c r="BD78" i="240"/>
  <c r="BD79" i="240"/>
  <c r="BD80" i="240"/>
  <c r="BD81" i="240"/>
  <c r="BD82" i="240"/>
  <c r="BD83" i="240"/>
  <c r="BD61" i="240"/>
  <c r="H38" i="255"/>
  <c r="H40" i="255"/>
  <c r="E37" i="255" l="1"/>
  <c r="I39" i="255" l="1"/>
  <c r="I40" i="255"/>
  <c r="I41" i="255"/>
  <c r="I42" i="255"/>
  <c r="I38" i="255"/>
  <c r="H39" i="255"/>
  <c r="H41" i="255"/>
  <c r="H42" i="255"/>
  <c r="F10" i="251"/>
  <c r="F9" i="251"/>
  <c r="M3" i="240" l="1"/>
  <c r="N3" i="240"/>
  <c r="O3" i="240"/>
  <c r="F5" i="251" l="1"/>
  <c r="BE61" i="240" l="1"/>
  <c r="BE62" i="240"/>
  <c r="BE63" i="240"/>
  <c r="BE64" i="240"/>
  <c r="BE65" i="240"/>
  <c r="BE66" i="240"/>
  <c r="BE67" i="240"/>
  <c r="BE68" i="240"/>
  <c r="BE69" i="240"/>
  <c r="BE70" i="240"/>
  <c r="BE71" i="240"/>
  <c r="BE72" i="240"/>
  <c r="BE73" i="240"/>
  <c r="BE74" i="240"/>
  <c r="BE75" i="240"/>
  <c r="BE76" i="240"/>
  <c r="BE77" i="240"/>
  <c r="BE78" i="240"/>
  <c r="BE79" i="240"/>
  <c r="BE80" i="240"/>
  <c r="BE81" i="240"/>
  <c r="BE82" i="240"/>
  <c r="BE83" i="240"/>
  <c r="BE84" i="240"/>
  <c r="BE85" i="240"/>
  <c r="BE86" i="240"/>
  <c r="BE87" i="240"/>
  <c r="BE88" i="240"/>
  <c r="BE89" i="240"/>
  <c r="BE90" i="240"/>
  <c r="BE91" i="240"/>
  <c r="BE92" i="240"/>
  <c r="BE93" i="240"/>
  <c r="BE94" i="240"/>
  <c r="BE95" i="240"/>
  <c r="BE96" i="240"/>
  <c r="BE97" i="240"/>
  <c r="BE98" i="240"/>
  <c r="BE99" i="240"/>
  <c r="BE100" i="240"/>
  <c r="BE101" i="240"/>
  <c r="BE102" i="240"/>
  <c r="BE103" i="240"/>
  <c r="BE104" i="240"/>
  <c r="BE105" i="240"/>
  <c r="BE106" i="240"/>
  <c r="BE107" i="240"/>
  <c r="BE108" i="240"/>
  <c r="BE109" i="240"/>
  <c r="BE110" i="240"/>
  <c r="BE111" i="240"/>
  <c r="BE112" i="240"/>
  <c r="BE113" i="240"/>
  <c r="BE114" i="240"/>
  <c r="BE115" i="240"/>
  <c r="BE116" i="240"/>
  <c r="BE117" i="240"/>
  <c r="BE118" i="240"/>
  <c r="BE119" i="240"/>
  <c r="BE120" i="240"/>
  <c r="BE121" i="240"/>
  <c r="BE122" i="240"/>
  <c r="BE123" i="240"/>
  <c r="BE124" i="240"/>
  <c r="BE125" i="240"/>
  <c r="BE126" i="240"/>
  <c r="BE127" i="240"/>
  <c r="BE128" i="240"/>
  <c r="BE129" i="240"/>
  <c r="BE130" i="240"/>
  <c r="BE131" i="240"/>
  <c r="BE132" i="240"/>
  <c r="BE133" i="240"/>
  <c r="BE134" i="240"/>
  <c r="BE135" i="240"/>
  <c r="BE136" i="240"/>
  <c r="BE137" i="240"/>
  <c r="BE138" i="240"/>
  <c r="BE139" i="240"/>
  <c r="BE140" i="240"/>
  <c r="BE141" i="240"/>
  <c r="BE142" i="240"/>
  <c r="BE143" i="240"/>
  <c r="BE144" i="240"/>
  <c r="BE145" i="240"/>
  <c r="BE146" i="240"/>
  <c r="BE147" i="240"/>
  <c r="BE148" i="240"/>
  <c r="BE149" i="240"/>
  <c r="BE150" i="240"/>
  <c r="BE151" i="240"/>
  <c r="BE152" i="240"/>
  <c r="BE153" i="240"/>
  <c r="BE154" i="240"/>
  <c r="BE155" i="240"/>
  <c r="BE156" i="240"/>
  <c r="BE157" i="240"/>
  <c r="BE158" i="240"/>
  <c r="BE159" i="240"/>
  <c r="BE160" i="240"/>
  <c r="BE161" i="240"/>
  <c r="BE162" i="240"/>
  <c r="BE163" i="240"/>
  <c r="BE164" i="240"/>
  <c r="BE165" i="240"/>
  <c r="BE166" i="240"/>
  <c r="BE167" i="240"/>
  <c r="BE168" i="240"/>
  <c r="BE169" i="240"/>
  <c r="BE170" i="240"/>
  <c r="BE171" i="240"/>
  <c r="BE172" i="240"/>
  <c r="BE173" i="240"/>
  <c r="BE174" i="240"/>
  <c r="BE175" i="240"/>
  <c r="BE176" i="240"/>
  <c r="BE177" i="240"/>
  <c r="BE178" i="240"/>
  <c r="BE179" i="240"/>
  <c r="BE180" i="240"/>
  <c r="BE181" i="240"/>
  <c r="BE182" i="240"/>
  <c r="BE183" i="240"/>
  <c r="BE184" i="240"/>
  <c r="BE185" i="240"/>
  <c r="BE60" i="240"/>
  <c r="BD181" i="240"/>
  <c r="BD182" i="240"/>
  <c r="BD183" i="240"/>
  <c r="BD184" i="240"/>
  <c r="BD185" i="240"/>
  <c r="BD186" i="240"/>
  <c r="BC3" i="240"/>
  <c r="BF186" i="240" l="1"/>
  <c r="BF58" i="240"/>
  <c r="BG58" i="240"/>
  <c r="AL3" i="240"/>
  <c r="AO3" i="240"/>
  <c r="AN59" i="240"/>
  <c r="AM59" i="240"/>
  <c r="AI3" i="240"/>
  <c r="AJ3" i="240"/>
  <c r="AK3" i="240"/>
  <c r="AH59" i="240"/>
  <c r="Z3" i="240"/>
  <c r="AA3" i="240"/>
  <c r="AB3" i="240"/>
  <c r="AC3" i="240"/>
  <c r="AD3" i="240"/>
  <c r="AE3" i="240"/>
  <c r="AF3" i="240"/>
  <c r="AG3" i="240"/>
  <c r="Y3" i="240"/>
  <c r="X3" i="240"/>
  <c r="R3" i="240"/>
  <c r="S3" i="240"/>
  <c r="T3" i="240"/>
  <c r="U3" i="240"/>
  <c r="V3" i="240"/>
  <c r="W3" i="240"/>
  <c r="Q3" i="240"/>
  <c r="P3" i="240"/>
  <c r="F3" i="240"/>
  <c r="E3" i="240"/>
  <c r="D3" i="240"/>
  <c r="AU58" i="240"/>
  <c r="D166" i="256" l="1"/>
  <c r="D165" i="256"/>
  <c r="D164" i="256"/>
  <c r="D163" i="256"/>
  <c r="D162" i="256"/>
  <c r="D161" i="256"/>
  <c r="D160" i="256"/>
  <c r="D159" i="256"/>
  <c r="D158" i="256"/>
  <c r="D157" i="256"/>
  <c r="D156" i="256"/>
  <c r="D155" i="256"/>
  <c r="D154" i="256"/>
  <c r="C154" i="256"/>
  <c r="D153" i="256"/>
  <c r="C153" i="256"/>
  <c r="D152" i="256"/>
  <c r="C152" i="256"/>
  <c r="D151" i="256"/>
  <c r="C151" i="256"/>
  <c r="C150" i="256"/>
  <c r="B150" i="256"/>
  <c r="C149" i="256"/>
  <c r="B149" i="256"/>
  <c r="C148" i="256"/>
  <c r="B148" i="256"/>
  <c r="C147" i="256"/>
  <c r="C146" i="256"/>
  <c r="C145" i="256"/>
  <c r="C144" i="256"/>
  <c r="C143" i="256"/>
  <c r="C142" i="256"/>
  <c r="C141" i="256"/>
  <c r="B141" i="256"/>
  <c r="C140" i="256"/>
  <c r="B140" i="256"/>
  <c r="C139" i="256"/>
  <c r="B139" i="256"/>
  <c r="K40" i="256"/>
  <c r="K41" i="256" s="1"/>
  <c r="K42" i="256" s="1"/>
  <c r="K43" i="256" s="1"/>
  <c r="K44" i="256" s="1"/>
  <c r="K45" i="256" s="1"/>
  <c r="K46" i="256" s="1"/>
  <c r="K47" i="256" s="1"/>
  <c r="K48" i="256" s="1"/>
  <c r="K49" i="256" s="1"/>
  <c r="K50" i="256" s="1"/>
  <c r="K51" i="256" s="1"/>
  <c r="K52" i="256" s="1"/>
  <c r="K53" i="256" s="1"/>
  <c r="K54" i="256" s="1"/>
  <c r="K55" i="256" s="1"/>
  <c r="K56" i="256" s="1"/>
  <c r="K57" i="256" s="1"/>
  <c r="K58" i="256" s="1"/>
  <c r="K59" i="256" s="1"/>
  <c r="K60" i="256" s="1"/>
  <c r="K61" i="256" s="1"/>
  <c r="K62" i="256" s="1"/>
  <c r="K63" i="256" s="1"/>
  <c r="K64" i="256" s="1"/>
  <c r="K65" i="256" s="1"/>
  <c r="K66" i="256" s="1"/>
  <c r="K67" i="256" s="1"/>
  <c r="K68" i="256" s="1"/>
  <c r="K69" i="256" s="1"/>
  <c r="K70" i="256" s="1"/>
  <c r="K71" i="256" s="1"/>
  <c r="K72" i="256" s="1"/>
  <c r="K73" i="256" s="1"/>
  <c r="K74" i="256" s="1"/>
  <c r="K75" i="256" s="1"/>
  <c r="K76" i="256" s="1"/>
  <c r="K77" i="256" s="1"/>
  <c r="K78" i="256" s="1"/>
  <c r="K79" i="256" s="1"/>
  <c r="K80" i="256" s="1"/>
  <c r="K81" i="256" s="1"/>
  <c r="K82" i="256" s="1"/>
  <c r="K83" i="256" s="1"/>
  <c r="K84" i="256" s="1"/>
  <c r="K85" i="256" s="1"/>
  <c r="K86" i="256" s="1"/>
  <c r="K87" i="256" s="1"/>
  <c r="K88" i="256" s="1"/>
  <c r="K89" i="256" s="1"/>
  <c r="K90" i="256" s="1"/>
  <c r="K91" i="256" s="1"/>
  <c r="K92" i="256" s="1"/>
  <c r="K93" i="256" s="1"/>
  <c r="K94" i="256" s="1"/>
  <c r="K95" i="256" s="1"/>
  <c r="K96" i="256" s="1"/>
  <c r="K97" i="256" s="1"/>
  <c r="K98" i="256" s="1"/>
  <c r="K99" i="256" s="1"/>
  <c r="K100" i="256" s="1"/>
  <c r="K101" i="256" s="1"/>
  <c r="K102" i="256" s="1"/>
  <c r="K103" i="256" s="1"/>
  <c r="K104" i="256" s="1"/>
  <c r="K105" i="256" s="1"/>
  <c r="K106" i="256" s="1"/>
  <c r="K107" i="256" s="1"/>
  <c r="K108" i="256" s="1"/>
  <c r="K109" i="256" s="1"/>
  <c r="K110" i="256" s="1"/>
  <c r="K111" i="256" s="1"/>
  <c r="K112" i="256" s="1"/>
  <c r="K113" i="256" s="1"/>
  <c r="K114" i="256" s="1"/>
  <c r="K115" i="256" s="1"/>
  <c r="K116" i="256" s="1"/>
  <c r="K117" i="256" s="1"/>
  <c r="K118" i="256" s="1"/>
  <c r="K119" i="256" s="1"/>
  <c r="K120" i="256" s="1"/>
  <c r="K121" i="256" s="1"/>
  <c r="K122" i="256" s="1"/>
  <c r="K123" i="256" s="1"/>
  <c r="K124" i="256" s="1"/>
  <c r="K125" i="256" s="1"/>
  <c r="K126" i="256" s="1"/>
  <c r="K127" i="256" s="1"/>
  <c r="K128" i="256" s="1"/>
  <c r="K129" i="256" s="1"/>
  <c r="K130" i="256" s="1"/>
  <c r="K131" i="256" s="1"/>
  <c r="K132" i="256" s="1"/>
  <c r="K133" i="256" s="1"/>
  <c r="K134" i="256" s="1"/>
  <c r="K135" i="256" s="1"/>
  <c r="K136" i="256" s="1"/>
  <c r="K137" i="256" s="1"/>
  <c r="K138" i="256" s="1"/>
  <c r="K139" i="256" s="1"/>
  <c r="K140" i="256" s="1"/>
  <c r="K141" i="256" s="1"/>
  <c r="K142" i="256" s="1"/>
  <c r="K143" i="256" s="1"/>
  <c r="K144" i="256" s="1"/>
  <c r="K145" i="256" s="1"/>
  <c r="K146" i="256" s="1"/>
  <c r="K147" i="256" s="1"/>
  <c r="K148" i="256" s="1"/>
  <c r="K149" i="256" s="1"/>
  <c r="K150" i="256" s="1"/>
  <c r="K151" i="256" s="1"/>
  <c r="K152" i="256" s="1"/>
  <c r="K153" i="256" s="1"/>
  <c r="K154" i="256" s="1"/>
  <c r="K155" i="256" s="1"/>
  <c r="K156" i="256" s="1"/>
  <c r="J32" i="256"/>
  <c r="I32" i="256"/>
  <c r="H32" i="256"/>
  <c r="G32" i="256"/>
  <c r="E31" i="256"/>
  <c r="C31" i="256"/>
  <c r="E30" i="256"/>
  <c r="D30" i="256"/>
  <c r="C30" i="256"/>
  <c r="B30" i="256"/>
  <c r="N27" i="256"/>
  <c r="W27" i="256" s="1"/>
  <c r="M27" i="256"/>
  <c r="V27" i="256" s="1"/>
  <c r="D150" i="256" s="1"/>
  <c r="L27" i="256"/>
  <c r="U27" i="256" s="1"/>
  <c r="C138" i="256" s="1"/>
  <c r="K27" i="256"/>
  <c r="T27" i="256" s="1"/>
  <c r="B138" i="256" s="1"/>
  <c r="F27" i="256"/>
  <c r="N26" i="256"/>
  <c r="W26" i="256" s="1"/>
  <c r="M26" i="256"/>
  <c r="V26" i="256" s="1"/>
  <c r="L26" i="256"/>
  <c r="U26" i="256" s="1"/>
  <c r="K26" i="256"/>
  <c r="F26" i="256"/>
  <c r="V25" i="256"/>
  <c r="N25" i="256"/>
  <c r="W25" i="256" s="1"/>
  <c r="M25" i="256"/>
  <c r="L25" i="256"/>
  <c r="U25" i="256" s="1"/>
  <c r="K25" i="256"/>
  <c r="T25" i="256" s="1"/>
  <c r="F25" i="256"/>
  <c r="N24" i="256"/>
  <c r="W24" i="256" s="1"/>
  <c r="M24" i="256"/>
  <c r="V24" i="256" s="1"/>
  <c r="L24" i="256"/>
  <c r="U24" i="256" s="1"/>
  <c r="K24" i="256"/>
  <c r="T24" i="256" s="1"/>
  <c r="F24" i="256"/>
  <c r="V23" i="256"/>
  <c r="N23" i="256"/>
  <c r="W23" i="256" s="1"/>
  <c r="M23" i="256"/>
  <c r="L23" i="256"/>
  <c r="U23" i="256" s="1"/>
  <c r="K23" i="256"/>
  <c r="T23" i="256" s="1"/>
  <c r="F23" i="256"/>
  <c r="N22" i="256"/>
  <c r="W22" i="256" s="1"/>
  <c r="M22" i="256"/>
  <c r="V22" i="256" s="1"/>
  <c r="L22" i="256"/>
  <c r="U22" i="256" s="1"/>
  <c r="K22" i="256"/>
  <c r="F22" i="256"/>
  <c r="V21" i="256"/>
  <c r="N21" i="256"/>
  <c r="W21" i="256" s="1"/>
  <c r="M21" i="256"/>
  <c r="L21" i="256"/>
  <c r="U21" i="256" s="1"/>
  <c r="K21" i="256"/>
  <c r="T21" i="256" s="1"/>
  <c r="F21" i="256"/>
  <c r="N20" i="256"/>
  <c r="W20" i="256" s="1"/>
  <c r="M20" i="256"/>
  <c r="V20" i="256" s="1"/>
  <c r="L20" i="256"/>
  <c r="U20" i="256" s="1"/>
  <c r="K20" i="256"/>
  <c r="T20" i="256" s="1"/>
  <c r="F20" i="256"/>
  <c r="V19" i="256"/>
  <c r="N19" i="256"/>
  <c r="W19" i="256" s="1"/>
  <c r="M19" i="256"/>
  <c r="L19" i="256"/>
  <c r="U19" i="256" s="1"/>
  <c r="K19" i="256"/>
  <c r="T19" i="256" s="1"/>
  <c r="F19" i="256"/>
  <c r="N18" i="256"/>
  <c r="W18" i="256" s="1"/>
  <c r="M18" i="256"/>
  <c r="V18" i="256" s="1"/>
  <c r="L18" i="256"/>
  <c r="U18" i="256" s="1"/>
  <c r="K18" i="256"/>
  <c r="F18" i="256"/>
  <c r="V17" i="256"/>
  <c r="N17" i="256"/>
  <c r="W17" i="256" s="1"/>
  <c r="M17" i="256"/>
  <c r="L17" i="256"/>
  <c r="U17" i="256" s="1"/>
  <c r="K17" i="256"/>
  <c r="T17" i="256" s="1"/>
  <c r="F17" i="256"/>
  <c r="N16" i="256"/>
  <c r="W16" i="256" s="1"/>
  <c r="M16" i="256"/>
  <c r="V16" i="256" s="1"/>
  <c r="L16" i="256"/>
  <c r="U16" i="256" s="1"/>
  <c r="K16" i="256"/>
  <c r="T16" i="256" s="1"/>
  <c r="F16" i="256"/>
  <c r="V15" i="256"/>
  <c r="N15" i="256"/>
  <c r="W15" i="256" s="1"/>
  <c r="M15" i="256"/>
  <c r="L15" i="256"/>
  <c r="U15" i="256" s="1"/>
  <c r="K15" i="256"/>
  <c r="T15" i="256" s="1"/>
  <c r="F15" i="256"/>
  <c r="N14" i="256"/>
  <c r="W14" i="256" s="1"/>
  <c r="M14" i="256"/>
  <c r="V14" i="256" s="1"/>
  <c r="L14" i="256"/>
  <c r="U14" i="256" s="1"/>
  <c r="K14" i="256"/>
  <c r="F14" i="256"/>
  <c r="V13" i="256"/>
  <c r="N13" i="256"/>
  <c r="W13" i="256" s="1"/>
  <c r="M13" i="256"/>
  <c r="L13" i="256"/>
  <c r="U13" i="256" s="1"/>
  <c r="K13" i="256"/>
  <c r="T13" i="256" s="1"/>
  <c r="F13" i="256"/>
  <c r="N12" i="256"/>
  <c r="W12" i="256" s="1"/>
  <c r="M12" i="256"/>
  <c r="V12" i="256" s="1"/>
  <c r="L12" i="256"/>
  <c r="U12" i="256" s="1"/>
  <c r="K12" i="256"/>
  <c r="T12" i="256" s="1"/>
  <c r="F12" i="256"/>
  <c r="V11" i="256"/>
  <c r="N11" i="256"/>
  <c r="W11" i="256" s="1"/>
  <c r="E41" i="256" s="1"/>
  <c r="M11" i="256"/>
  <c r="L11" i="256"/>
  <c r="U11" i="256" s="1"/>
  <c r="K11" i="256"/>
  <c r="T11" i="256" s="1"/>
  <c r="F11" i="256"/>
  <c r="N10" i="256"/>
  <c r="W10" i="256" s="1"/>
  <c r="E38" i="256" s="1"/>
  <c r="M10" i="256"/>
  <c r="M30" i="256" s="1"/>
  <c r="M31" i="256" s="1"/>
  <c r="M32" i="256" s="1"/>
  <c r="L10" i="256"/>
  <c r="U10" i="256" s="1"/>
  <c r="K10" i="256"/>
  <c r="F10" i="256"/>
  <c r="D6" i="256"/>
  <c r="C6" i="256"/>
  <c r="O5" i="256"/>
  <c r="F5" i="256"/>
  <c r="E5" i="256"/>
  <c r="F4" i="256"/>
  <c r="E4" i="256"/>
  <c r="D4" i="256"/>
  <c r="D31" i="256" s="1"/>
  <c r="D32" i="256" s="1"/>
  <c r="D33" i="256" s="1"/>
  <c r="F3" i="256"/>
  <c r="E3" i="256"/>
  <c r="F2" i="256"/>
  <c r="D2" i="256"/>
  <c r="E2" i="256" s="1"/>
  <c r="C122" i="256" l="1"/>
  <c r="O14" i="256"/>
  <c r="C126" i="256"/>
  <c r="D138" i="256"/>
  <c r="E153" i="256"/>
  <c r="F153" i="256" s="1"/>
  <c r="O18" i="256"/>
  <c r="T18" i="256"/>
  <c r="C130" i="256"/>
  <c r="D142" i="256"/>
  <c r="E157" i="256"/>
  <c r="O22" i="256"/>
  <c r="T22" i="256"/>
  <c r="C134" i="256"/>
  <c r="D146" i="256"/>
  <c r="F146" i="256" s="1"/>
  <c r="O26" i="256"/>
  <c r="T26" i="256"/>
  <c r="B137" i="256" s="1"/>
  <c r="E32" i="256"/>
  <c r="E33" i="256" s="1"/>
  <c r="E40" i="256"/>
  <c r="E7" i="256"/>
  <c r="D7" i="256"/>
  <c r="F6" i="256"/>
  <c r="K30" i="256"/>
  <c r="K31" i="256" s="1"/>
  <c r="K32" i="256" s="1"/>
  <c r="T10" i="256"/>
  <c r="E57" i="256"/>
  <c r="T14" i="256"/>
  <c r="B125" i="256" s="1"/>
  <c r="V10" i="256"/>
  <c r="D126" i="256" s="1"/>
  <c r="B31" i="256"/>
  <c r="B32" i="256" s="1"/>
  <c r="B33" i="256" s="1"/>
  <c r="F31" i="256"/>
  <c r="C32" i="256"/>
  <c r="C33" i="256" s="1"/>
  <c r="B121" i="256"/>
  <c r="B119" i="256"/>
  <c r="B117" i="256"/>
  <c r="B115" i="256"/>
  <c r="B113" i="256"/>
  <c r="B111" i="256"/>
  <c r="B109" i="256"/>
  <c r="B107" i="256"/>
  <c r="B105" i="256"/>
  <c r="B103" i="256"/>
  <c r="B101" i="256"/>
  <c r="B99" i="256"/>
  <c r="B118" i="256"/>
  <c r="B114" i="256"/>
  <c r="B110" i="256"/>
  <c r="B106" i="256"/>
  <c r="B102" i="256"/>
  <c r="B120" i="256"/>
  <c r="B116" i="256"/>
  <c r="B112" i="256"/>
  <c r="B108" i="256"/>
  <c r="B104" i="256"/>
  <c r="B100" i="256"/>
  <c r="B97" i="256"/>
  <c r="B93" i="256"/>
  <c r="B89" i="256"/>
  <c r="B85" i="256"/>
  <c r="B81" i="256"/>
  <c r="B77" i="256"/>
  <c r="B70" i="256"/>
  <c r="B68" i="256"/>
  <c r="B66" i="256"/>
  <c r="B64" i="256"/>
  <c r="B62" i="256"/>
  <c r="B60" i="256"/>
  <c r="B58" i="256"/>
  <c r="B56" i="256"/>
  <c r="B54" i="256"/>
  <c r="B52" i="256"/>
  <c r="B50" i="256"/>
  <c r="B48" i="256"/>
  <c r="B46" i="256"/>
  <c r="B44" i="256"/>
  <c r="B42" i="256"/>
  <c r="B40" i="256"/>
  <c r="B98" i="256"/>
  <c r="B94" i="256"/>
  <c r="B90" i="256"/>
  <c r="B86" i="256"/>
  <c r="B82" i="256"/>
  <c r="B95" i="256"/>
  <c r="B91" i="256"/>
  <c r="B87" i="256"/>
  <c r="B83" i="256"/>
  <c r="B79" i="256"/>
  <c r="B75" i="256"/>
  <c r="B72" i="256"/>
  <c r="B71" i="256"/>
  <c r="B69" i="256"/>
  <c r="B67" i="256"/>
  <c r="B65" i="256"/>
  <c r="B63" i="256"/>
  <c r="B61" i="256"/>
  <c r="B59" i="256"/>
  <c r="B57" i="256"/>
  <c r="B55" i="256"/>
  <c r="B53" i="256"/>
  <c r="B51" i="256"/>
  <c r="B49" i="256"/>
  <c r="B47" i="256"/>
  <c r="B45" i="256"/>
  <c r="B43" i="256"/>
  <c r="B41" i="256"/>
  <c r="B38" i="256"/>
  <c r="B96" i="256"/>
  <c r="B92" i="256"/>
  <c r="B88" i="256"/>
  <c r="B84" i="256"/>
  <c r="B80" i="256"/>
  <c r="B74" i="256"/>
  <c r="B73" i="256"/>
  <c r="B76" i="256"/>
  <c r="B78" i="256"/>
  <c r="B39" i="256"/>
  <c r="D134" i="256"/>
  <c r="D81" i="256"/>
  <c r="E45" i="256"/>
  <c r="C56" i="256"/>
  <c r="E61" i="256"/>
  <c r="F30" i="256"/>
  <c r="F32" i="256" s="1"/>
  <c r="F34" i="256" s="1"/>
  <c r="E68" i="256"/>
  <c r="C40" i="256"/>
  <c r="C52" i="256"/>
  <c r="C68" i="256"/>
  <c r="E149" i="256"/>
  <c r="E69" i="256"/>
  <c r="C48" i="256"/>
  <c r="E53" i="256"/>
  <c r="C64" i="256"/>
  <c r="E73" i="256"/>
  <c r="C44" i="256"/>
  <c r="E49" i="256"/>
  <c r="C60" i="256"/>
  <c r="E65" i="256"/>
  <c r="C121" i="256"/>
  <c r="C119" i="256"/>
  <c r="C117" i="256"/>
  <c r="C115" i="256"/>
  <c r="C113" i="256"/>
  <c r="C111" i="256"/>
  <c r="C109" i="256"/>
  <c r="C107" i="256"/>
  <c r="C105" i="256"/>
  <c r="C103" i="256"/>
  <c r="C101" i="256"/>
  <c r="C99" i="256"/>
  <c r="C98" i="256"/>
  <c r="C96" i="256"/>
  <c r="C94" i="256"/>
  <c r="C92" i="256"/>
  <c r="C90" i="256"/>
  <c r="C88" i="256"/>
  <c r="C86" i="256"/>
  <c r="C84" i="256"/>
  <c r="C82" i="256"/>
  <c r="C80" i="256"/>
  <c r="C78" i="256"/>
  <c r="C76" i="256"/>
  <c r="C74" i="256"/>
  <c r="C97" i="256"/>
  <c r="C95" i="256"/>
  <c r="C93" i="256"/>
  <c r="C91" i="256"/>
  <c r="C89" i="256"/>
  <c r="C87" i="256"/>
  <c r="C85" i="256"/>
  <c r="C83" i="256"/>
  <c r="C81" i="256"/>
  <c r="C79" i="256"/>
  <c r="C77" i="256"/>
  <c r="C75" i="256"/>
  <c r="C73" i="256"/>
  <c r="C71" i="256"/>
  <c r="C114" i="256"/>
  <c r="C106" i="256"/>
  <c r="C39" i="256"/>
  <c r="C116" i="256"/>
  <c r="C108" i="256"/>
  <c r="C100" i="256"/>
  <c r="C118" i="256"/>
  <c r="C110" i="256"/>
  <c r="C102" i="256"/>
  <c r="C120" i="256"/>
  <c r="C112" i="256"/>
  <c r="C104" i="256"/>
  <c r="D132" i="256"/>
  <c r="D124" i="256"/>
  <c r="D116" i="256"/>
  <c r="D108" i="256"/>
  <c r="D100" i="256"/>
  <c r="D119" i="256"/>
  <c r="D103" i="256"/>
  <c r="D125" i="256"/>
  <c r="D109" i="256"/>
  <c r="D94" i="256"/>
  <c r="D78" i="256"/>
  <c r="D69" i="256"/>
  <c r="D61" i="256"/>
  <c r="D53" i="256"/>
  <c r="D45" i="256"/>
  <c r="D95" i="256"/>
  <c r="D79" i="256"/>
  <c r="D84" i="256"/>
  <c r="D68" i="256"/>
  <c r="D60" i="256"/>
  <c r="D52" i="256"/>
  <c r="D44" i="256"/>
  <c r="D93" i="256"/>
  <c r="O13" i="256"/>
  <c r="C125" i="256"/>
  <c r="F125" i="256" s="1"/>
  <c r="E152" i="256"/>
  <c r="F152" i="256" s="1"/>
  <c r="B128" i="256"/>
  <c r="D141" i="256"/>
  <c r="O21" i="256"/>
  <c r="C133" i="256"/>
  <c r="O25" i="256"/>
  <c r="C137" i="256"/>
  <c r="C43" i="256"/>
  <c r="E48" i="256"/>
  <c r="C51" i="256"/>
  <c r="C55" i="256"/>
  <c r="E60" i="256"/>
  <c r="E64" i="256"/>
  <c r="E6" i="256"/>
  <c r="E147" i="256"/>
  <c r="O12" i="256"/>
  <c r="B123" i="256"/>
  <c r="C124" i="256"/>
  <c r="D136" i="256"/>
  <c r="E151" i="256"/>
  <c r="O16" i="256"/>
  <c r="B127" i="256"/>
  <c r="C128" i="256"/>
  <c r="D140" i="256"/>
  <c r="E155" i="256"/>
  <c r="O20" i="256"/>
  <c r="B131" i="256"/>
  <c r="C132" i="256"/>
  <c r="D144" i="256"/>
  <c r="E159" i="256"/>
  <c r="F159" i="256" s="1"/>
  <c r="O24" i="256"/>
  <c r="B135" i="256"/>
  <c r="C136" i="256"/>
  <c r="D148" i="256"/>
  <c r="F148" i="256" s="1"/>
  <c r="L30" i="256"/>
  <c r="L31" i="256" s="1"/>
  <c r="L32" i="256" s="1"/>
  <c r="C42" i="256"/>
  <c r="E43" i="256"/>
  <c r="C46" i="256"/>
  <c r="E47" i="256"/>
  <c r="C50" i="256"/>
  <c r="E51" i="256"/>
  <c r="C54" i="256"/>
  <c r="E55" i="256"/>
  <c r="C58" i="256"/>
  <c r="E59" i="256"/>
  <c r="C62" i="256"/>
  <c r="E63" i="256"/>
  <c r="C66" i="256"/>
  <c r="E67" i="256"/>
  <c r="C70" i="256"/>
  <c r="E148" i="256"/>
  <c r="B124" i="256"/>
  <c r="D137" i="256"/>
  <c r="O17" i="256"/>
  <c r="C129" i="256"/>
  <c r="E156" i="256"/>
  <c r="B132" i="256"/>
  <c r="D145" i="256"/>
  <c r="F145" i="256" s="1"/>
  <c r="E163" i="256"/>
  <c r="F163" i="256" s="1"/>
  <c r="E164" i="256"/>
  <c r="E160" i="256"/>
  <c r="F160" i="256" s="1"/>
  <c r="E165" i="256"/>
  <c r="E162" i="256"/>
  <c r="F162" i="256" s="1"/>
  <c r="E166" i="256"/>
  <c r="F166" i="256" s="1"/>
  <c r="E161" i="256"/>
  <c r="F161" i="256" s="1"/>
  <c r="B136" i="256"/>
  <c r="D149" i="256"/>
  <c r="E44" i="256"/>
  <c r="C47" i="256"/>
  <c r="E52" i="256"/>
  <c r="E56" i="256"/>
  <c r="C59" i="256"/>
  <c r="C63" i="256"/>
  <c r="C67" i="256"/>
  <c r="E143" i="256"/>
  <c r="E140" i="256"/>
  <c r="E138" i="256"/>
  <c r="F138" i="256" s="1"/>
  <c r="E136" i="256"/>
  <c r="E134" i="256"/>
  <c r="E132" i="256"/>
  <c r="E130" i="256"/>
  <c r="E128" i="256"/>
  <c r="E126" i="256"/>
  <c r="E124" i="256"/>
  <c r="E122" i="256"/>
  <c r="E120" i="256"/>
  <c r="E118" i="256"/>
  <c r="E116" i="256"/>
  <c r="E114" i="256"/>
  <c r="E112" i="256"/>
  <c r="E110" i="256"/>
  <c r="E108" i="256"/>
  <c r="E106" i="256"/>
  <c r="E104" i="256"/>
  <c r="E102" i="256"/>
  <c r="E100" i="256"/>
  <c r="E98" i="256"/>
  <c r="E146" i="256"/>
  <c r="E142" i="256"/>
  <c r="F142" i="256" s="1"/>
  <c r="E97" i="256"/>
  <c r="E95" i="256"/>
  <c r="E93" i="256"/>
  <c r="E91" i="256"/>
  <c r="E89" i="256"/>
  <c r="E87" i="256"/>
  <c r="E85" i="256"/>
  <c r="E83" i="256"/>
  <c r="E81" i="256"/>
  <c r="E79" i="256"/>
  <c r="E77" i="256"/>
  <c r="E75" i="256"/>
  <c r="E96" i="256"/>
  <c r="E94" i="256"/>
  <c r="E92" i="256"/>
  <c r="E90" i="256"/>
  <c r="E88" i="256"/>
  <c r="E86" i="256"/>
  <c r="E84" i="256"/>
  <c r="E82" i="256"/>
  <c r="E80" i="256"/>
  <c r="E78" i="256"/>
  <c r="E76" i="256"/>
  <c r="E74" i="256"/>
  <c r="E72" i="256"/>
  <c r="E144" i="256"/>
  <c r="E139" i="256"/>
  <c r="E135" i="256"/>
  <c r="E127" i="256"/>
  <c r="E119" i="256"/>
  <c r="E111" i="256"/>
  <c r="E103" i="256"/>
  <c r="E71" i="256"/>
  <c r="E137" i="256"/>
  <c r="E129" i="256"/>
  <c r="E121" i="256"/>
  <c r="E113" i="256"/>
  <c r="E105" i="256"/>
  <c r="E145" i="256"/>
  <c r="E141" i="256"/>
  <c r="F141" i="256" s="1"/>
  <c r="E131" i="256"/>
  <c r="E123" i="256"/>
  <c r="E115" i="256"/>
  <c r="E107" i="256"/>
  <c r="E99" i="256"/>
  <c r="E39" i="256"/>
  <c r="E133" i="256"/>
  <c r="E125" i="256"/>
  <c r="E117" i="256"/>
  <c r="E109" i="256"/>
  <c r="E101" i="256"/>
  <c r="O11" i="256"/>
  <c r="B122" i="256"/>
  <c r="C123" i="256"/>
  <c r="D135" i="256"/>
  <c r="E150" i="256"/>
  <c r="F150" i="256" s="1"/>
  <c r="O15" i="256"/>
  <c r="B126" i="256"/>
  <c r="C127" i="256"/>
  <c r="D139" i="256"/>
  <c r="E154" i="256"/>
  <c r="F154" i="256" s="1"/>
  <c r="O19" i="256"/>
  <c r="B130" i="256"/>
  <c r="C131" i="256"/>
  <c r="D143" i="256"/>
  <c r="E158" i="256"/>
  <c r="F158" i="256" s="1"/>
  <c r="O23" i="256"/>
  <c r="B134" i="256"/>
  <c r="F134" i="256" s="1"/>
  <c r="C135" i="256"/>
  <c r="D147" i="256"/>
  <c r="O27" i="256"/>
  <c r="N30" i="256"/>
  <c r="N31" i="256" s="1"/>
  <c r="N32" i="256" s="1"/>
  <c r="C38" i="256"/>
  <c r="C41" i="256"/>
  <c r="E42" i="256"/>
  <c r="C45" i="256"/>
  <c r="E46" i="256"/>
  <c r="C49" i="256"/>
  <c r="E50" i="256"/>
  <c r="C53" i="256"/>
  <c r="E54" i="256"/>
  <c r="C57" i="256"/>
  <c r="E58" i="256"/>
  <c r="C61" i="256"/>
  <c r="E62" i="256"/>
  <c r="C65" i="256"/>
  <c r="E66" i="256"/>
  <c r="C69" i="256"/>
  <c r="E70" i="256"/>
  <c r="C72" i="256"/>
  <c r="F143" i="256"/>
  <c r="F164" i="256"/>
  <c r="F149" i="256"/>
  <c r="O10" i="256"/>
  <c r="F151" i="256"/>
  <c r="F156" i="256"/>
  <c r="F139" i="256"/>
  <c r="F155" i="256"/>
  <c r="F157" i="256"/>
  <c r="F165" i="256"/>
  <c r="D39" i="256" l="1"/>
  <c r="F39" i="256" s="1"/>
  <c r="D71" i="256"/>
  <c r="D85" i="256"/>
  <c r="D40" i="256"/>
  <c r="D48" i="256"/>
  <c r="D56" i="256"/>
  <c r="D64" i="256"/>
  <c r="D76" i="256"/>
  <c r="D92" i="256"/>
  <c r="F92" i="256" s="1"/>
  <c r="D87" i="256"/>
  <c r="D41" i="256"/>
  <c r="D49" i="256"/>
  <c r="D57" i="256"/>
  <c r="D65" i="256"/>
  <c r="D73" i="256"/>
  <c r="D86" i="256"/>
  <c r="D101" i="256"/>
  <c r="F101" i="256" s="1"/>
  <c r="D117" i="256"/>
  <c r="D133" i="256"/>
  <c r="D111" i="256"/>
  <c r="D127" i="256"/>
  <c r="D104" i="256"/>
  <c r="D112" i="256"/>
  <c r="F112" i="256" s="1"/>
  <c r="D120" i="256"/>
  <c r="D128" i="256"/>
  <c r="B133" i="256"/>
  <c r="F147" i="256"/>
  <c r="E169" i="256"/>
  <c r="E170" i="256" s="1"/>
  <c r="F133" i="256"/>
  <c r="D89" i="256"/>
  <c r="D42" i="256"/>
  <c r="D50" i="256"/>
  <c r="D58" i="256"/>
  <c r="D66" i="256"/>
  <c r="D80" i="256"/>
  <c r="F80" i="256" s="1"/>
  <c r="D96" i="256"/>
  <c r="F96" i="256" s="1"/>
  <c r="D91" i="256"/>
  <c r="F91" i="256" s="1"/>
  <c r="D43" i="256"/>
  <c r="D51" i="256"/>
  <c r="D59" i="256"/>
  <c r="F59" i="256" s="1"/>
  <c r="D67" i="256"/>
  <c r="D74" i="256"/>
  <c r="D90" i="256"/>
  <c r="D105" i="256"/>
  <c r="D121" i="256"/>
  <c r="D99" i="256"/>
  <c r="D115" i="256"/>
  <c r="D131" i="256"/>
  <c r="D106" i="256"/>
  <c r="D114" i="256"/>
  <c r="D122" i="256"/>
  <c r="F122" i="256" s="1"/>
  <c r="D130" i="256"/>
  <c r="D77" i="256"/>
  <c r="B129" i="256"/>
  <c r="F129" i="256" s="1"/>
  <c r="F137" i="256"/>
  <c r="F140" i="256"/>
  <c r="D75" i="256"/>
  <c r="D97" i="256"/>
  <c r="F97" i="256" s="1"/>
  <c r="D46" i="256"/>
  <c r="D54" i="256"/>
  <c r="D62" i="256"/>
  <c r="F62" i="256" s="1"/>
  <c r="D70" i="256"/>
  <c r="F70" i="256" s="1"/>
  <c r="D88" i="256"/>
  <c r="D83" i="256"/>
  <c r="D38" i="256"/>
  <c r="D47" i="256"/>
  <c r="D55" i="256"/>
  <c r="D63" i="256"/>
  <c r="D72" i="256"/>
  <c r="D82" i="256"/>
  <c r="D98" i="256"/>
  <c r="F98" i="256" s="1"/>
  <c r="D113" i="256"/>
  <c r="D129" i="256"/>
  <c r="D107" i="256"/>
  <c r="F107" i="256" s="1"/>
  <c r="D123" i="256"/>
  <c r="F123" i="256" s="1"/>
  <c r="D102" i="256"/>
  <c r="D110" i="256"/>
  <c r="F110" i="256" s="1"/>
  <c r="D118" i="256"/>
  <c r="F118" i="256" s="1"/>
  <c r="F51" i="256"/>
  <c r="F67" i="256"/>
  <c r="F42" i="256"/>
  <c r="F50" i="256"/>
  <c r="F66" i="256"/>
  <c r="F106" i="256"/>
  <c r="F115" i="256"/>
  <c r="F78" i="256"/>
  <c r="F53" i="256"/>
  <c r="F69" i="256"/>
  <c r="F95" i="256"/>
  <c r="F44" i="256"/>
  <c r="F52" i="256"/>
  <c r="F68" i="256"/>
  <c r="F100" i="256"/>
  <c r="F117" i="256"/>
  <c r="F130" i="256"/>
  <c r="F144" i="256"/>
  <c r="D169" i="256"/>
  <c r="D170" i="256" s="1"/>
  <c r="F76" i="256"/>
  <c r="F84" i="256"/>
  <c r="F38" i="256"/>
  <c r="F47" i="256"/>
  <c r="F55" i="256"/>
  <c r="F63" i="256"/>
  <c r="F71" i="256"/>
  <c r="F83" i="256"/>
  <c r="F82" i="256"/>
  <c r="F46" i="256"/>
  <c r="F54" i="256"/>
  <c r="F89" i="256"/>
  <c r="F104" i="256"/>
  <c r="F120" i="256"/>
  <c r="F114" i="256"/>
  <c r="F103" i="256"/>
  <c r="F111" i="256"/>
  <c r="F119" i="256"/>
  <c r="F132" i="256"/>
  <c r="F131" i="256"/>
  <c r="F74" i="256"/>
  <c r="F43" i="256"/>
  <c r="F75" i="256"/>
  <c r="F90" i="256"/>
  <c r="F58" i="256"/>
  <c r="F81" i="256"/>
  <c r="F99" i="256"/>
  <c r="F124" i="256"/>
  <c r="F127" i="256"/>
  <c r="F45" i="256"/>
  <c r="F61" i="256"/>
  <c r="F79" i="256"/>
  <c r="F94" i="256"/>
  <c r="F60" i="256"/>
  <c r="F85" i="256"/>
  <c r="F116" i="256"/>
  <c r="F109" i="256"/>
  <c r="O30" i="256"/>
  <c r="O31" i="256" s="1"/>
  <c r="O32" i="256" s="1"/>
  <c r="C169" i="256"/>
  <c r="C170" i="256" s="1"/>
  <c r="F126" i="256"/>
  <c r="F136" i="256"/>
  <c r="F135" i="256"/>
  <c r="F128" i="256"/>
  <c r="F73" i="256"/>
  <c r="F88" i="256"/>
  <c r="F41" i="256"/>
  <c r="F49" i="256"/>
  <c r="F57" i="256"/>
  <c r="F65" i="256"/>
  <c r="F72" i="256"/>
  <c r="F87" i="256"/>
  <c r="F86" i="256"/>
  <c r="F40" i="256"/>
  <c r="F48" i="256"/>
  <c r="F56" i="256"/>
  <c r="F64" i="256"/>
  <c r="F77" i="256"/>
  <c r="F93" i="256"/>
  <c r="F108" i="256"/>
  <c r="F102" i="256"/>
  <c r="F105" i="256"/>
  <c r="F113" i="256"/>
  <c r="F121" i="256"/>
  <c r="B169" i="256" l="1"/>
  <c r="B170" i="256" s="1"/>
  <c r="F169" i="256"/>
  <c r="F170" i="256" s="1"/>
  <c r="I43" i="255" l="1"/>
  <c r="I44" i="255"/>
  <c r="I45" i="255"/>
  <c r="I46" i="255"/>
  <c r="I47" i="255"/>
  <c r="I48" i="255"/>
  <c r="I49" i="255"/>
  <c r="I50" i="255"/>
  <c r="I51" i="255"/>
  <c r="I52" i="255"/>
  <c r="I53" i="255"/>
  <c r="I54" i="255"/>
  <c r="I55" i="255"/>
  <c r="I56" i="255"/>
  <c r="I57" i="255"/>
  <c r="I58" i="255"/>
  <c r="I59" i="255"/>
  <c r="I60" i="255"/>
  <c r="I61" i="255"/>
  <c r="I62" i="255"/>
  <c r="I63" i="255"/>
  <c r="I64" i="255"/>
  <c r="I65" i="255"/>
  <c r="I66" i="255"/>
  <c r="I67" i="255"/>
  <c r="I68" i="255"/>
  <c r="I69" i="255"/>
  <c r="I70" i="255"/>
  <c r="I71" i="255"/>
  <c r="I72" i="255"/>
  <c r="I73" i="255"/>
  <c r="I74" i="255"/>
  <c r="I75" i="255"/>
  <c r="I76" i="255"/>
  <c r="I77" i="255"/>
  <c r="I78" i="255"/>
  <c r="I79" i="255"/>
  <c r="I80" i="255"/>
  <c r="I81" i="255"/>
  <c r="I82" i="255"/>
  <c r="I83" i="255"/>
  <c r="I84" i="255"/>
  <c r="I85" i="255"/>
  <c r="I86" i="255"/>
  <c r="I87" i="255"/>
  <c r="I88" i="255"/>
  <c r="I89" i="255"/>
  <c r="I90" i="255"/>
  <c r="I91" i="255"/>
  <c r="I92" i="255"/>
  <c r="I93" i="255"/>
  <c r="I94" i="255"/>
  <c r="I95" i="255"/>
  <c r="I96" i="255"/>
  <c r="I97" i="255"/>
  <c r="I98" i="255"/>
  <c r="I99" i="255"/>
  <c r="I100" i="255"/>
  <c r="I101" i="255"/>
  <c r="I102" i="255"/>
  <c r="I103" i="255"/>
  <c r="I104" i="255"/>
  <c r="I105" i="255"/>
  <c r="I106" i="255"/>
  <c r="I107" i="255"/>
  <c r="I108" i="255"/>
  <c r="I109" i="255"/>
  <c r="I110" i="255"/>
  <c r="I111" i="255"/>
  <c r="I112" i="255"/>
  <c r="I113" i="255"/>
  <c r="I114" i="255"/>
  <c r="I115" i="255"/>
  <c r="I116" i="255"/>
  <c r="I117" i="255"/>
  <c r="I118" i="255"/>
  <c r="I119" i="255"/>
  <c r="I120" i="255"/>
  <c r="I121" i="255"/>
  <c r="I122" i="255"/>
  <c r="I123" i="255"/>
  <c r="I124" i="255"/>
  <c r="I125" i="255"/>
  <c r="I126" i="255"/>
  <c r="I127" i="255"/>
  <c r="I128" i="255"/>
  <c r="I129" i="255"/>
  <c r="I130" i="255"/>
  <c r="I131" i="255"/>
  <c r="I132" i="255"/>
  <c r="I133" i="255"/>
  <c r="I134" i="255"/>
  <c r="I135" i="255"/>
  <c r="I136" i="255"/>
  <c r="I137" i="255"/>
  <c r="I138" i="255"/>
  <c r="I139" i="255"/>
  <c r="I140" i="255"/>
  <c r="I141" i="255"/>
  <c r="I142" i="255"/>
  <c r="I143" i="255"/>
  <c r="I144" i="255"/>
  <c r="I145" i="255"/>
  <c r="I146" i="255"/>
  <c r="I147" i="255"/>
  <c r="I148" i="255"/>
  <c r="I149" i="255"/>
  <c r="I150" i="255"/>
  <c r="I151" i="255"/>
  <c r="I152" i="255"/>
  <c r="I153" i="255"/>
  <c r="I154" i="255"/>
  <c r="I155" i="255"/>
  <c r="I156" i="255"/>
  <c r="I157" i="255"/>
  <c r="I158" i="255"/>
  <c r="I159" i="255"/>
  <c r="I160" i="255"/>
  <c r="I161" i="255"/>
  <c r="I162" i="255"/>
  <c r="I163" i="255"/>
  <c r="I164" i="255"/>
  <c r="I165" i="255"/>
  <c r="I166" i="255"/>
  <c r="I167" i="255"/>
  <c r="I168" i="255"/>
  <c r="I169" i="255"/>
  <c r="I170" i="255"/>
  <c r="I171" i="255"/>
  <c r="I172" i="255"/>
  <c r="I173" i="255"/>
  <c r="I174" i="255"/>
  <c r="I175" i="255"/>
  <c r="I176" i="255"/>
  <c r="I177" i="255"/>
  <c r="I178" i="255"/>
  <c r="I179" i="255"/>
  <c r="I180" i="255"/>
  <c r="I181" i="255"/>
  <c r="I182" i="255"/>
  <c r="I183" i="255"/>
  <c r="I184" i="255"/>
  <c r="I185" i="255"/>
  <c r="I186" i="255"/>
  <c r="I187" i="255"/>
  <c r="I188" i="255"/>
  <c r="I189" i="255"/>
  <c r="I190" i="255"/>
  <c r="I191" i="255"/>
  <c r="I192" i="255"/>
  <c r="I193" i="255"/>
  <c r="I194" i="255"/>
  <c r="I195" i="255"/>
  <c r="I196" i="255"/>
  <c r="I197" i="255"/>
  <c r="I198" i="255"/>
  <c r="I199" i="255"/>
  <c r="I200" i="255"/>
  <c r="I201" i="255"/>
  <c r="I202" i="255"/>
  <c r="I203" i="255"/>
  <c r="I204" i="255"/>
  <c r="I205" i="255"/>
  <c r="I206" i="255"/>
  <c r="I207" i="255"/>
  <c r="I208" i="255"/>
  <c r="I209" i="255"/>
  <c r="I210" i="255"/>
  <c r="I211" i="255"/>
  <c r="I212" i="255"/>
  <c r="I213" i="255"/>
  <c r="I214" i="255"/>
  <c r="I215" i="255"/>
  <c r="I216" i="255"/>
  <c r="I218" i="255"/>
  <c r="I2" i="255"/>
  <c r="I4" i="255"/>
  <c r="J4" i="255" s="1"/>
  <c r="N17" i="255" s="1"/>
  <c r="J5" i="255"/>
  <c r="J6" i="255"/>
  <c r="N19" i="255" s="1"/>
  <c r="J7" i="255"/>
  <c r="N20" i="255" s="1"/>
  <c r="I8" i="255"/>
  <c r="J8" i="255" s="1"/>
  <c r="N21" i="255" s="1"/>
  <c r="C9" i="255"/>
  <c r="D9" i="255"/>
  <c r="D28" i="255" s="1"/>
  <c r="E9" i="255"/>
  <c r="E28" i="255" s="1"/>
  <c r="F9" i="255"/>
  <c r="F28" i="255" s="1"/>
  <c r="G9" i="255"/>
  <c r="G28" i="255" s="1"/>
  <c r="H9" i="255"/>
  <c r="H28" i="255" s="1"/>
  <c r="I11" i="255"/>
  <c r="I12" i="255"/>
  <c r="J12" i="255" s="1"/>
  <c r="I13" i="255"/>
  <c r="J13" i="255" s="1"/>
  <c r="R19" i="255" s="1"/>
  <c r="I14" i="255"/>
  <c r="J14" i="255" s="1"/>
  <c r="I15" i="255"/>
  <c r="J15" i="255" s="1"/>
  <c r="R21" i="255" s="1"/>
  <c r="I16" i="255"/>
  <c r="J16" i="255" s="1"/>
  <c r="R22" i="255" s="1"/>
  <c r="I17" i="255"/>
  <c r="J17" i="255" s="1"/>
  <c r="J18" i="255"/>
  <c r="R24" i="255" s="1"/>
  <c r="N18" i="255"/>
  <c r="J19" i="255"/>
  <c r="C20" i="255"/>
  <c r="D20" i="255"/>
  <c r="E20" i="255"/>
  <c r="E29" i="255" s="1"/>
  <c r="E30" i="255" s="1"/>
  <c r="F20" i="255"/>
  <c r="F29" i="255" s="1"/>
  <c r="G20" i="255"/>
  <c r="G29" i="255" s="1"/>
  <c r="H20" i="255"/>
  <c r="J22" i="255"/>
  <c r="R25" i="255"/>
  <c r="I27" i="255"/>
  <c r="C30" i="255"/>
  <c r="I32" i="255"/>
  <c r="C37" i="255"/>
  <c r="D37" i="255"/>
  <c r="F37" i="255"/>
  <c r="G37" i="255"/>
  <c r="K39" i="255"/>
  <c r="K41" i="255"/>
  <c r="K42" i="255"/>
  <c r="H43" i="255"/>
  <c r="H44" i="255"/>
  <c r="K44" i="255" s="1"/>
  <c r="H45" i="255"/>
  <c r="K45" i="255" s="1"/>
  <c r="H46" i="255"/>
  <c r="H47" i="255"/>
  <c r="K47" i="255" s="1"/>
  <c r="H48" i="255"/>
  <c r="H49" i="255"/>
  <c r="K49" i="255" s="1"/>
  <c r="H50" i="255"/>
  <c r="K50" i="255" s="1"/>
  <c r="H51" i="255"/>
  <c r="H52" i="255"/>
  <c r="K52" i="255" s="1"/>
  <c r="H53" i="255"/>
  <c r="K53" i="255" s="1"/>
  <c r="H54" i="255"/>
  <c r="H55" i="255"/>
  <c r="K55" i="255" s="1"/>
  <c r="H56" i="255"/>
  <c r="H57" i="255"/>
  <c r="K57" i="255" s="1"/>
  <c r="H58" i="255"/>
  <c r="K58" i="255" s="1"/>
  <c r="H59" i="255"/>
  <c r="H60" i="255"/>
  <c r="K60" i="255" s="1"/>
  <c r="H61" i="255"/>
  <c r="K61" i="255" s="1"/>
  <c r="H62" i="255"/>
  <c r="H63" i="255"/>
  <c r="K63" i="255" s="1"/>
  <c r="H64" i="255"/>
  <c r="H65" i="255"/>
  <c r="K65" i="255" s="1"/>
  <c r="H66" i="255"/>
  <c r="K66" i="255" s="1"/>
  <c r="H67" i="255"/>
  <c r="H68" i="255"/>
  <c r="K68" i="255" s="1"/>
  <c r="H69" i="255"/>
  <c r="K69" i="255" s="1"/>
  <c r="H70" i="255"/>
  <c r="H71" i="255"/>
  <c r="K71" i="255" s="1"/>
  <c r="H72" i="255"/>
  <c r="H73" i="255"/>
  <c r="K73" i="255" s="1"/>
  <c r="H74" i="255"/>
  <c r="K74" i="255" s="1"/>
  <c r="H75" i="255"/>
  <c r="H76" i="255"/>
  <c r="K76" i="255" s="1"/>
  <c r="H77" i="255"/>
  <c r="K77" i="255" s="1"/>
  <c r="H78" i="255"/>
  <c r="H79" i="255"/>
  <c r="K79" i="255" s="1"/>
  <c r="H80" i="255"/>
  <c r="H81" i="255"/>
  <c r="K81" i="255" s="1"/>
  <c r="H82" i="255"/>
  <c r="H83" i="255"/>
  <c r="H84" i="255"/>
  <c r="K84" i="255" s="1"/>
  <c r="H85" i="255"/>
  <c r="K85" i="255" s="1"/>
  <c r="H86" i="255"/>
  <c r="H87" i="255"/>
  <c r="K87" i="255" s="1"/>
  <c r="H88" i="255"/>
  <c r="H89" i="255"/>
  <c r="K89" i="255" s="1"/>
  <c r="H90" i="255"/>
  <c r="K90" i="255" s="1"/>
  <c r="H91" i="255"/>
  <c r="A92" i="255"/>
  <c r="H92" i="255"/>
  <c r="H93" i="255"/>
  <c r="H94" i="255"/>
  <c r="H95" i="255"/>
  <c r="H96" i="255"/>
  <c r="H97" i="255"/>
  <c r="H98" i="255"/>
  <c r="H99" i="255"/>
  <c r="H100" i="255"/>
  <c r="H101" i="255"/>
  <c r="H102" i="255"/>
  <c r="H103" i="255"/>
  <c r="H104" i="255"/>
  <c r="H105" i="255"/>
  <c r="H106" i="255"/>
  <c r="H107" i="255"/>
  <c r="H108" i="255"/>
  <c r="H109" i="255"/>
  <c r="H110" i="255"/>
  <c r="H111" i="255"/>
  <c r="H112" i="255"/>
  <c r="H113" i="255"/>
  <c r="H114" i="255"/>
  <c r="H115" i="255"/>
  <c r="H116" i="255"/>
  <c r="H117" i="255"/>
  <c r="H118" i="255"/>
  <c r="H119" i="255"/>
  <c r="H120" i="255"/>
  <c r="H121" i="255"/>
  <c r="H122" i="255"/>
  <c r="H123" i="255"/>
  <c r="H124" i="255"/>
  <c r="H125" i="255"/>
  <c r="H126" i="255"/>
  <c r="H127" i="255"/>
  <c r="H128" i="255"/>
  <c r="H129" i="255"/>
  <c r="H130" i="255"/>
  <c r="H131" i="255"/>
  <c r="H132" i="255"/>
  <c r="H133" i="255"/>
  <c r="H134" i="255"/>
  <c r="H135" i="255"/>
  <c r="H136" i="255"/>
  <c r="H137" i="255"/>
  <c r="H138" i="255"/>
  <c r="H139" i="255"/>
  <c r="H140" i="255"/>
  <c r="H141" i="255"/>
  <c r="H142" i="255"/>
  <c r="H143" i="255"/>
  <c r="H144" i="255"/>
  <c r="H145" i="255"/>
  <c r="H146" i="255"/>
  <c r="H147" i="255"/>
  <c r="H148" i="255"/>
  <c r="H149" i="255"/>
  <c r="H150" i="255"/>
  <c r="H151" i="255"/>
  <c r="H152" i="255"/>
  <c r="H153" i="255"/>
  <c r="H154" i="255"/>
  <c r="H155" i="255"/>
  <c r="H156" i="255"/>
  <c r="H157" i="255"/>
  <c r="H158" i="255"/>
  <c r="H159" i="255"/>
  <c r="H160" i="255"/>
  <c r="H161" i="255"/>
  <c r="H162" i="255"/>
  <c r="H163" i="255"/>
  <c r="H164" i="255"/>
  <c r="H165" i="255"/>
  <c r="H166" i="255"/>
  <c r="H167" i="255"/>
  <c r="H168" i="255"/>
  <c r="H169" i="255"/>
  <c r="H170" i="255"/>
  <c r="H171" i="255"/>
  <c r="H172" i="255"/>
  <c r="H173" i="255"/>
  <c r="H174" i="255"/>
  <c r="H175" i="255"/>
  <c r="H176" i="255"/>
  <c r="H177" i="255"/>
  <c r="H178" i="255"/>
  <c r="H179" i="255"/>
  <c r="H180" i="255"/>
  <c r="H181" i="255"/>
  <c r="H182" i="255"/>
  <c r="H183" i="255"/>
  <c r="H184" i="255"/>
  <c r="H185" i="255"/>
  <c r="H186" i="255"/>
  <c r="H187" i="255"/>
  <c r="H188" i="255"/>
  <c r="H189" i="255"/>
  <c r="H190" i="255"/>
  <c r="H191" i="255"/>
  <c r="H192" i="255"/>
  <c r="H193" i="255"/>
  <c r="H194" i="255"/>
  <c r="H195" i="255"/>
  <c r="H196" i="255"/>
  <c r="H197" i="255"/>
  <c r="H198" i="255"/>
  <c r="H199" i="255"/>
  <c r="H200" i="255"/>
  <c r="H201" i="255"/>
  <c r="H202" i="255"/>
  <c r="H203" i="255"/>
  <c r="H204" i="255"/>
  <c r="H205" i="255"/>
  <c r="H206" i="255"/>
  <c r="H207" i="255"/>
  <c r="H208" i="255"/>
  <c r="H209" i="255"/>
  <c r="H210" i="255"/>
  <c r="H211" i="255"/>
  <c r="H212" i="255"/>
  <c r="H213" i="255"/>
  <c r="H214" i="255"/>
  <c r="H215" i="255"/>
  <c r="H216" i="255"/>
  <c r="G217" i="255"/>
  <c r="I217" i="255" s="1"/>
  <c r="AU6" i="240"/>
  <c r="BH6" i="240" s="1"/>
  <c r="D7" i="253"/>
  <c r="D8" i="253"/>
  <c r="D9" i="253"/>
  <c r="C7" i="253"/>
  <c r="I7" i="253" s="1"/>
  <c r="C8" i="253"/>
  <c r="I8" i="253" s="1"/>
  <c r="C9" i="253"/>
  <c r="I9" i="253" s="1"/>
  <c r="C6" i="253"/>
  <c r="I6" i="253" s="1"/>
  <c r="H11" i="253"/>
  <c r="H12" i="253" s="1"/>
  <c r="B11" i="253"/>
  <c r="B12" i="253" s="1"/>
  <c r="BF6" i="240"/>
  <c r="BG6" i="240"/>
  <c r="BF7" i="240"/>
  <c r="BF8" i="240"/>
  <c r="BG8" i="240"/>
  <c r="BF9" i="240"/>
  <c r="BF10" i="240"/>
  <c r="BG10" i="240"/>
  <c r="BF11" i="240"/>
  <c r="BG11" i="240"/>
  <c r="BF12" i="240"/>
  <c r="BG12" i="240"/>
  <c r="BF13" i="240"/>
  <c r="BG13" i="240"/>
  <c r="BF14" i="240"/>
  <c r="BG14" i="240"/>
  <c r="BF15" i="240"/>
  <c r="BG15" i="240"/>
  <c r="BF16" i="240"/>
  <c r="BG16" i="240"/>
  <c r="BF17" i="240"/>
  <c r="BG17" i="240"/>
  <c r="BF18" i="240"/>
  <c r="BG18" i="240"/>
  <c r="BF19" i="240"/>
  <c r="BG19" i="240"/>
  <c r="BF20" i="240"/>
  <c r="BG20" i="240"/>
  <c r="BF21" i="240"/>
  <c r="BG21" i="240"/>
  <c r="BF22" i="240"/>
  <c r="BG22" i="240"/>
  <c r="BF23" i="240"/>
  <c r="BG23" i="240"/>
  <c r="BF24" i="240"/>
  <c r="BG24" i="240"/>
  <c r="BF25" i="240"/>
  <c r="BG25" i="240"/>
  <c r="BF26" i="240"/>
  <c r="BG26" i="240"/>
  <c r="BF27" i="240"/>
  <c r="BG27" i="240"/>
  <c r="BF28" i="240"/>
  <c r="BG28" i="240"/>
  <c r="BF29" i="240"/>
  <c r="BG29" i="240"/>
  <c r="BF30" i="240"/>
  <c r="BG30" i="240"/>
  <c r="BF31" i="240"/>
  <c r="BG31" i="240"/>
  <c r="BF32" i="240"/>
  <c r="BG32" i="240"/>
  <c r="BF33" i="240"/>
  <c r="BG33" i="240"/>
  <c r="BF34" i="240"/>
  <c r="BG34" i="240"/>
  <c r="BF35" i="240"/>
  <c r="BG35" i="240"/>
  <c r="BF36" i="240"/>
  <c r="BG36" i="240"/>
  <c r="BF37" i="240"/>
  <c r="BG37" i="240"/>
  <c r="BF38" i="240"/>
  <c r="BG38" i="240"/>
  <c r="BF39" i="240"/>
  <c r="BG39" i="240"/>
  <c r="BF40" i="240"/>
  <c r="BG40" i="240"/>
  <c r="BF41" i="240"/>
  <c r="BG41" i="240"/>
  <c r="BF42" i="240"/>
  <c r="BG42" i="240"/>
  <c r="BF43" i="240"/>
  <c r="BG43" i="240"/>
  <c r="BF44" i="240"/>
  <c r="BG44" i="240"/>
  <c r="BF45" i="240"/>
  <c r="BG45" i="240"/>
  <c r="BF46" i="240"/>
  <c r="BG46" i="240"/>
  <c r="BF47" i="240"/>
  <c r="BG47" i="240"/>
  <c r="BF48" i="240"/>
  <c r="BG48" i="240"/>
  <c r="BF49" i="240"/>
  <c r="BG49" i="240"/>
  <c r="BF50" i="240"/>
  <c r="BG50" i="240"/>
  <c r="BF51" i="240"/>
  <c r="BG51" i="240"/>
  <c r="BF52" i="240"/>
  <c r="BG52" i="240"/>
  <c r="BF53" i="240"/>
  <c r="BG53" i="240"/>
  <c r="BF54" i="240"/>
  <c r="BG54" i="240"/>
  <c r="BF55" i="240"/>
  <c r="BG55" i="240"/>
  <c r="BF56" i="240"/>
  <c r="BG56" i="240"/>
  <c r="BF57" i="240"/>
  <c r="BG57" i="240"/>
  <c r="BF5" i="240"/>
  <c r="AT9" i="240"/>
  <c r="AU9" i="240" s="1"/>
  <c r="BH9" i="240" s="1"/>
  <c r="AT7" i="240"/>
  <c r="AU7" i="240" s="1"/>
  <c r="AU23" i="240"/>
  <c r="BH23" i="240" s="1"/>
  <c r="AU24" i="240"/>
  <c r="BH24" i="240" s="1"/>
  <c r="AU25" i="240"/>
  <c r="BH25" i="240" s="1"/>
  <c r="AU26" i="240"/>
  <c r="BH26" i="240" s="1"/>
  <c r="AU27" i="240"/>
  <c r="BH27" i="240" s="1"/>
  <c r="AU28" i="240"/>
  <c r="BH28" i="240" s="1"/>
  <c r="AU29" i="240"/>
  <c r="BH29" i="240" s="1"/>
  <c r="AU30" i="240"/>
  <c r="BH30" i="240" s="1"/>
  <c r="AU31" i="240"/>
  <c r="BH31" i="240" s="1"/>
  <c r="AU32" i="240"/>
  <c r="BH32" i="240" s="1"/>
  <c r="AU33" i="240"/>
  <c r="BH33" i="240" s="1"/>
  <c r="AU34" i="240"/>
  <c r="BH34" i="240" s="1"/>
  <c r="AU35" i="240"/>
  <c r="BH35" i="240" s="1"/>
  <c r="AU36" i="240"/>
  <c r="BH36" i="240" s="1"/>
  <c r="AU37" i="240"/>
  <c r="BH37" i="240" s="1"/>
  <c r="AU38" i="240"/>
  <c r="BH38" i="240" s="1"/>
  <c r="AU39" i="240"/>
  <c r="BH39" i="240" s="1"/>
  <c r="AU40" i="240"/>
  <c r="BH40" i="240" s="1"/>
  <c r="AU41" i="240"/>
  <c r="BH41" i="240" s="1"/>
  <c r="AU42" i="240"/>
  <c r="BH42" i="240" s="1"/>
  <c r="AU43" i="240"/>
  <c r="BH43" i="240" s="1"/>
  <c r="AU44" i="240"/>
  <c r="BH44" i="240" s="1"/>
  <c r="AU45" i="240"/>
  <c r="BH45" i="240" s="1"/>
  <c r="AU46" i="240"/>
  <c r="BH46" i="240" s="1"/>
  <c r="AU47" i="240"/>
  <c r="BH47" i="240" s="1"/>
  <c r="AU48" i="240"/>
  <c r="BH48" i="240" s="1"/>
  <c r="AU49" i="240"/>
  <c r="BH49" i="240" s="1"/>
  <c r="AU50" i="240"/>
  <c r="BH50" i="240" s="1"/>
  <c r="AU51" i="240"/>
  <c r="BH51" i="240" s="1"/>
  <c r="AU52" i="240"/>
  <c r="BH52" i="240" s="1"/>
  <c r="AU53" i="240"/>
  <c r="BH53" i="240" s="1"/>
  <c r="AU54" i="240"/>
  <c r="BH54" i="240" s="1"/>
  <c r="AU55" i="240"/>
  <c r="BH55" i="240" s="1"/>
  <c r="AU56" i="240"/>
  <c r="BH56" i="240" s="1"/>
  <c r="AU57" i="240"/>
  <c r="BH57" i="240" s="1"/>
  <c r="AU8" i="240"/>
  <c r="BH8" i="240" s="1"/>
  <c r="AU10" i="240"/>
  <c r="BH10" i="240" s="1"/>
  <c r="AU11" i="240"/>
  <c r="BH11" i="240" s="1"/>
  <c r="AU12" i="240"/>
  <c r="BH12" i="240" s="1"/>
  <c r="AU13" i="240"/>
  <c r="BH13" i="240" s="1"/>
  <c r="AU14" i="240"/>
  <c r="BH14" i="240" s="1"/>
  <c r="AU15" i="240"/>
  <c r="BH15" i="240" s="1"/>
  <c r="AU16" i="240"/>
  <c r="BH16" i="240" s="1"/>
  <c r="AU17" i="240"/>
  <c r="BH17" i="240" s="1"/>
  <c r="AU18" i="240"/>
  <c r="BH18" i="240" s="1"/>
  <c r="AU19" i="240"/>
  <c r="BH19" i="240" s="1"/>
  <c r="AU20" i="240"/>
  <c r="BH20" i="240" s="1"/>
  <c r="AU21" i="240"/>
  <c r="BH21" i="240" s="1"/>
  <c r="AU22" i="240"/>
  <c r="BH22" i="240" s="1"/>
  <c r="AT5" i="240"/>
  <c r="BG5" i="240" s="1"/>
  <c r="L40" i="255" l="1"/>
  <c r="O11" i="251" s="1"/>
  <c r="BG7" i="240"/>
  <c r="AU5" i="240"/>
  <c r="BH5" i="240" s="1"/>
  <c r="J7" i="253"/>
  <c r="K7" i="253" s="1"/>
  <c r="L35" i="251" s="1"/>
  <c r="BG9" i="240"/>
  <c r="D6" i="253"/>
  <c r="E6" i="253" s="1"/>
  <c r="BH7" i="240"/>
  <c r="J9" i="253"/>
  <c r="K9" i="253" s="1"/>
  <c r="L37" i="251" s="1"/>
  <c r="J8" i="253"/>
  <c r="K8" i="253" s="1"/>
  <c r="L36" i="251" s="1"/>
  <c r="I37" i="255"/>
  <c r="C21" i="255"/>
  <c r="C23" i="255" s="1"/>
  <c r="D23" i="255" s="1"/>
  <c r="I9" i="255"/>
  <c r="I28" i="255" s="1"/>
  <c r="G21" i="255"/>
  <c r="H21" i="255"/>
  <c r="D21" i="255"/>
  <c r="G30" i="255"/>
  <c r="N22" i="255"/>
  <c r="D29" i="255"/>
  <c r="D30" i="255" s="1"/>
  <c r="H29" i="255"/>
  <c r="H30" i="255" s="1"/>
  <c r="K92" i="255"/>
  <c r="A93" i="255"/>
  <c r="K80" i="255"/>
  <c r="K67" i="255"/>
  <c r="K54" i="255"/>
  <c r="K48" i="255"/>
  <c r="K91" i="255"/>
  <c r="K75" i="255"/>
  <c r="K62" i="255"/>
  <c r="K56" i="255"/>
  <c r="K43" i="255"/>
  <c r="F21" i="255"/>
  <c r="R20" i="255"/>
  <c r="K83" i="255"/>
  <c r="K70" i="255"/>
  <c r="K64" i="255"/>
  <c r="K51" i="255"/>
  <c r="J38" i="255"/>
  <c r="J39" i="255" s="1"/>
  <c r="J40" i="255" s="1"/>
  <c r="J41" i="255" s="1"/>
  <c r="J42" i="255" s="1"/>
  <c r="J43" i="255" s="1"/>
  <c r="J44" i="255" s="1"/>
  <c r="J45" i="255" s="1"/>
  <c r="J46" i="255" s="1"/>
  <c r="J47" i="255" s="1"/>
  <c r="J48" i="255" s="1"/>
  <c r="J49" i="255" s="1"/>
  <c r="J50" i="255" s="1"/>
  <c r="J51" i="255" s="1"/>
  <c r="J52" i="255" s="1"/>
  <c r="J53" i="255" s="1"/>
  <c r="J54" i="255" s="1"/>
  <c r="J55" i="255" s="1"/>
  <c r="J56" i="255" s="1"/>
  <c r="J57" i="255" s="1"/>
  <c r="J58" i="255" s="1"/>
  <c r="J59" i="255" s="1"/>
  <c r="J60" i="255" s="1"/>
  <c r="J61" i="255" s="1"/>
  <c r="L35" i="255"/>
  <c r="K38" i="255"/>
  <c r="H37" i="255"/>
  <c r="R18" i="255"/>
  <c r="J11" i="255"/>
  <c r="I20" i="255"/>
  <c r="J20" i="255" s="1"/>
  <c r="K88" i="255"/>
  <c r="K86" i="255"/>
  <c r="K82" i="255"/>
  <c r="K78" i="255"/>
  <c r="K72" i="255"/>
  <c r="K59" i="255"/>
  <c r="K46" i="255"/>
  <c r="K40" i="255"/>
  <c r="F30" i="255"/>
  <c r="R23" i="255"/>
  <c r="E21" i="255"/>
  <c r="E7" i="253"/>
  <c r="F35" i="251" s="1"/>
  <c r="E9" i="253"/>
  <c r="F37" i="251" s="1"/>
  <c r="H13" i="253"/>
  <c r="E8" i="253"/>
  <c r="F36" i="251" s="1"/>
  <c r="B13" i="253"/>
  <c r="L41" i="255" l="1"/>
  <c r="AV5" i="240"/>
  <c r="AV6" i="240" s="1"/>
  <c r="J6" i="253"/>
  <c r="K6" i="253" s="1"/>
  <c r="L6" i="253" s="1"/>
  <c r="L7" i="253" s="1"/>
  <c r="L8" i="253" s="1"/>
  <c r="L9" i="253" s="1"/>
  <c r="L36" i="255"/>
  <c r="F11" i="251"/>
  <c r="J9" i="255"/>
  <c r="K5" i="255" s="1"/>
  <c r="D24" i="255"/>
  <c r="E23" i="255" s="1"/>
  <c r="J62" i="255"/>
  <c r="J63" i="255" s="1"/>
  <c r="J64" i="255" s="1"/>
  <c r="J65" i="255" s="1"/>
  <c r="J66" i="255" s="1"/>
  <c r="J67" i="255" s="1"/>
  <c r="J68" i="255" s="1"/>
  <c r="J69" i="255" s="1"/>
  <c r="J70" i="255" s="1"/>
  <c r="J71" i="255" s="1"/>
  <c r="J72" i="255" s="1"/>
  <c r="J73" i="255" s="1"/>
  <c r="J74" i="255" s="1"/>
  <c r="J75" i="255" s="1"/>
  <c r="J76" i="255" s="1"/>
  <c r="J77" i="255" s="1"/>
  <c r="J78" i="255" s="1"/>
  <c r="J79" i="255" s="1"/>
  <c r="J80" i="255" s="1"/>
  <c r="J81" i="255" s="1"/>
  <c r="J82" i="255" s="1"/>
  <c r="J83" i="255" s="1"/>
  <c r="J84" i="255" s="1"/>
  <c r="J85" i="255" s="1"/>
  <c r="J86" i="255" s="1"/>
  <c r="J87" i="255" s="1"/>
  <c r="J88" i="255" s="1"/>
  <c r="J89" i="255" s="1"/>
  <c r="J90" i="255" s="1"/>
  <c r="J91" i="255" s="1"/>
  <c r="J92" i="255" s="1"/>
  <c r="J93" i="255" s="1"/>
  <c r="J94" i="255" s="1"/>
  <c r="J95" i="255" s="1"/>
  <c r="J96" i="255" s="1"/>
  <c r="J97" i="255" s="1"/>
  <c r="J98" i="255" s="1"/>
  <c r="J99" i="255" s="1"/>
  <c r="J100" i="255" s="1"/>
  <c r="J101" i="255" s="1"/>
  <c r="J102" i="255" s="1"/>
  <c r="J103" i="255" s="1"/>
  <c r="J104" i="255" s="1"/>
  <c r="J105" i="255" s="1"/>
  <c r="J106" i="255" s="1"/>
  <c r="J107" i="255" s="1"/>
  <c r="J108" i="255" s="1"/>
  <c r="J109" i="255" s="1"/>
  <c r="J110" i="255" s="1"/>
  <c r="J111" i="255" s="1"/>
  <c r="J112" i="255" s="1"/>
  <c r="J113" i="255" s="1"/>
  <c r="J114" i="255" s="1"/>
  <c r="J115" i="255" s="1"/>
  <c r="J116" i="255" s="1"/>
  <c r="J117" i="255" s="1"/>
  <c r="J118" i="255" s="1"/>
  <c r="J119" i="255" s="1"/>
  <c r="J120" i="255" s="1"/>
  <c r="J121" i="255" s="1"/>
  <c r="J122" i="255" s="1"/>
  <c r="J123" i="255" s="1"/>
  <c r="J124" i="255" s="1"/>
  <c r="J125" i="255" s="1"/>
  <c r="J126" i="255" s="1"/>
  <c r="J127" i="255" s="1"/>
  <c r="J128" i="255" s="1"/>
  <c r="J129" i="255" s="1"/>
  <c r="J130" i="255" s="1"/>
  <c r="J131" i="255" s="1"/>
  <c r="J132" i="255" s="1"/>
  <c r="J133" i="255" s="1"/>
  <c r="J134" i="255" s="1"/>
  <c r="J135" i="255" s="1"/>
  <c r="J136" i="255" s="1"/>
  <c r="J137" i="255" s="1"/>
  <c r="J138" i="255" s="1"/>
  <c r="J139" i="255" s="1"/>
  <c r="J140" i="255" s="1"/>
  <c r="J141" i="255" s="1"/>
  <c r="J142" i="255" s="1"/>
  <c r="J143" i="255" s="1"/>
  <c r="J144" i="255" s="1"/>
  <c r="J145" i="255" s="1"/>
  <c r="J146" i="255" s="1"/>
  <c r="J147" i="255" s="1"/>
  <c r="J148" i="255" s="1"/>
  <c r="J149" i="255" s="1"/>
  <c r="J150" i="255" s="1"/>
  <c r="J151" i="255" s="1"/>
  <c r="J152" i="255" s="1"/>
  <c r="J153" i="255" s="1"/>
  <c r="J154" i="255" s="1"/>
  <c r="J155" i="255" s="1"/>
  <c r="J156" i="255" s="1"/>
  <c r="J157" i="255" s="1"/>
  <c r="J158" i="255" s="1"/>
  <c r="J159" i="255" s="1"/>
  <c r="J160" i="255" s="1"/>
  <c r="J161" i="255" s="1"/>
  <c r="J162" i="255" s="1"/>
  <c r="J163" i="255" s="1"/>
  <c r="J164" i="255" s="1"/>
  <c r="J165" i="255" s="1"/>
  <c r="J166" i="255" s="1"/>
  <c r="J167" i="255" s="1"/>
  <c r="J168" i="255" s="1"/>
  <c r="J169" i="255" s="1"/>
  <c r="J170" i="255" s="1"/>
  <c r="J171" i="255" s="1"/>
  <c r="J172" i="255" s="1"/>
  <c r="J173" i="255" s="1"/>
  <c r="J174" i="255" s="1"/>
  <c r="J175" i="255" s="1"/>
  <c r="J176" i="255" s="1"/>
  <c r="J177" i="255" s="1"/>
  <c r="J178" i="255" s="1"/>
  <c r="J179" i="255" s="1"/>
  <c r="J180" i="255" s="1"/>
  <c r="J181" i="255" s="1"/>
  <c r="J182" i="255" s="1"/>
  <c r="J183" i="255" s="1"/>
  <c r="J184" i="255" s="1"/>
  <c r="J185" i="255" s="1"/>
  <c r="J186" i="255" s="1"/>
  <c r="J187" i="255" s="1"/>
  <c r="J188" i="255" s="1"/>
  <c r="J189" i="255" s="1"/>
  <c r="J190" i="255" s="1"/>
  <c r="J191" i="255" s="1"/>
  <c r="J192" i="255" s="1"/>
  <c r="J193" i="255" s="1"/>
  <c r="J194" i="255" s="1"/>
  <c r="J195" i="255" s="1"/>
  <c r="J196" i="255" s="1"/>
  <c r="J197" i="255" s="1"/>
  <c r="J198" i="255" s="1"/>
  <c r="J199" i="255" s="1"/>
  <c r="J200" i="255" s="1"/>
  <c r="J201" i="255" s="1"/>
  <c r="J202" i="255" s="1"/>
  <c r="J203" i="255" s="1"/>
  <c r="J204" i="255" s="1"/>
  <c r="J205" i="255" s="1"/>
  <c r="J206" i="255" s="1"/>
  <c r="J207" i="255" s="1"/>
  <c r="J208" i="255" s="1"/>
  <c r="J209" i="255" s="1"/>
  <c r="J210" i="255" s="1"/>
  <c r="J211" i="255" s="1"/>
  <c r="J212" i="255" s="1"/>
  <c r="J213" i="255" s="1"/>
  <c r="J214" i="255" s="1"/>
  <c r="J215" i="255" s="1"/>
  <c r="J216" i="255" s="1"/>
  <c r="H217" i="255" s="1"/>
  <c r="K17" i="255"/>
  <c r="K14" i="255"/>
  <c r="K11" i="255"/>
  <c r="R17" i="255"/>
  <c r="R26" i="255" s="1"/>
  <c r="K18" i="255"/>
  <c r="K19" i="255"/>
  <c r="K16" i="255"/>
  <c r="K13" i="255"/>
  <c r="K15" i="255"/>
  <c r="K93" i="255"/>
  <c r="A94" i="255"/>
  <c r="K12" i="255"/>
  <c r="E24" i="255"/>
  <c r="F23" i="255" s="1"/>
  <c r="F24" i="255" s="1"/>
  <c r="G23" i="255" s="1"/>
  <c r="G24" i="255" s="1"/>
  <c r="H23" i="255" s="1"/>
  <c r="H24" i="255" s="1"/>
  <c r="I23" i="255" s="1"/>
  <c r="I21" i="255"/>
  <c r="I29" i="255"/>
  <c r="I30" i="255" s="1"/>
  <c r="F6" i="253"/>
  <c r="F7" i="253" s="1"/>
  <c r="F8" i="253" s="1"/>
  <c r="F9" i="253" s="1"/>
  <c r="F34" i="251"/>
  <c r="H14" i="253"/>
  <c r="B14" i="253"/>
  <c r="BI5" i="240" l="1"/>
  <c r="J21" i="255"/>
  <c r="J23" i="255" s="1"/>
  <c r="J24" i="255" s="1"/>
  <c r="K4" i="255"/>
  <c r="L34" i="251"/>
  <c r="K8" i="255"/>
  <c r="K6" i="255"/>
  <c r="K7" i="255"/>
  <c r="K94" i="255"/>
  <c r="A95" i="255"/>
  <c r="I24" i="255"/>
  <c r="H15" i="253"/>
  <c r="B15" i="253"/>
  <c r="AV7" i="240"/>
  <c r="BI6" i="240"/>
  <c r="K95" i="255" l="1"/>
  <c r="A96" i="255"/>
  <c r="H16" i="253"/>
  <c r="B16" i="253"/>
  <c r="AV8" i="240"/>
  <c r="BI7" i="240"/>
  <c r="K96" i="255" l="1"/>
  <c r="A97" i="255"/>
  <c r="H17" i="253"/>
  <c r="B17" i="253"/>
  <c r="AV9" i="240"/>
  <c r="BI8" i="240"/>
  <c r="K97" i="255" l="1"/>
  <c r="A98" i="255"/>
  <c r="H18" i="253"/>
  <c r="B18" i="253"/>
  <c r="AV10" i="240"/>
  <c r="BI9" i="240"/>
  <c r="K98" i="255" l="1"/>
  <c r="A99" i="255"/>
  <c r="H19" i="253"/>
  <c r="B19" i="253"/>
  <c r="AV11" i="240"/>
  <c r="BI10" i="240"/>
  <c r="K99" i="255" l="1"/>
  <c r="A100" i="255"/>
  <c r="H20" i="253"/>
  <c r="B20" i="253"/>
  <c r="AV12" i="240"/>
  <c r="BI11" i="240"/>
  <c r="K100" i="255" l="1"/>
  <c r="A101" i="255"/>
  <c r="H21" i="253"/>
  <c r="B21" i="253"/>
  <c r="AV13" i="240"/>
  <c r="BI12" i="240"/>
  <c r="K101" i="255" l="1"/>
  <c r="A102" i="255"/>
  <c r="H22" i="253"/>
  <c r="B22" i="253"/>
  <c r="AV14" i="240"/>
  <c r="BI13" i="240"/>
  <c r="I22" i="253" l="1"/>
  <c r="C22" i="253"/>
  <c r="J22" i="253"/>
  <c r="D22" i="253"/>
  <c r="K102" i="255"/>
  <c r="A103" i="255"/>
  <c r="H23" i="253"/>
  <c r="B23" i="253"/>
  <c r="AV15" i="240"/>
  <c r="BI14" i="240"/>
  <c r="D23" i="253" l="1"/>
  <c r="I23" i="253"/>
  <c r="J23" i="253"/>
  <c r="C23" i="253"/>
  <c r="K103" i="255"/>
  <c r="A104" i="255"/>
  <c r="K22" i="253"/>
  <c r="E22" i="253"/>
  <c r="H24" i="253"/>
  <c r="B24" i="253"/>
  <c r="AV16" i="240"/>
  <c r="BI15" i="240"/>
  <c r="J24" i="253" l="1"/>
  <c r="D24" i="253"/>
  <c r="I24" i="253"/>
  <c r="C24" i="253"/>
  <c r="K104" i="255"/>
  <c r="A105" i="255"/>
  <c r="F50" i="251"/>
  <c r="L50" i="251"/>
  <c r="E23" i="253"/>
  <c r="K23" i="253"/>
  <c r="AV17" i="240"/>
  <c r="BI16" i="240"/>
  <c r="K105" i="255" l="1"/>
  <c r="A106" i="255"/>
  <c r="K24" i="253"/>
  <c r="E24" i="253"/>
  <c r="AV18" i="240"/>
  <c r="BI17" i="240"/>
  <c r="K106" i="255" l="1"/>
  <c r="A107" i="255"/>
  <c r="AV19" i="240"/>
  <c r="BI18" i="240"/>
  <c r="K107" i="255" l="1"/>
  <c r="A108" i="255"/>
  <c r="AV20" i="240"/>
  <c r="BI19" i="240"/>
  <c r="K108" i="255" l="1"/>
  <c r="A109" i="255"/>
  <c r="AV21" i="240"/>
  <c r="BI20" i="240"/>
  <c r="K109" i="255" l="1"/>
  <c r="A110" i="255"/>
  <c r="AV22" i="240"/>
  <c r="BI21" i="240"/>
  <c r="K110" i="255" l="1"/>
  <c r="A111" i="255"/>
  <c r="AV23" i="240"/>
  <c r="BI22" i="240"/>
  <c r="K111" i="255" l="1"/>
  <c r="A112" i="255"/>
  <c r="AV24" i="240"/>
  <c r="BI23" i="240"/>
  <c r="K112" i="255" l="1"/>
  <c r="A113" i="255"/>
  <c r="AV25" i="240"/>
  <c r="BI24" i="240"/>
  <c r="K113" i="255" l="1"/>
  <c r="A114" i="255"/>
  <c r="AV26" i="240"/>
  <c r="BI25" i="240"/>
  <c r="K114" i="255" l="1"/>
  <c r="A115" i="255"/>
  <c r="AV27" i="240"/>
  <c r="BI26" i="240"/>
  <c r="K115" i="255" l="1"/>
  <c r="A116" i="255"/>
  <c r="AV28" i="240"/>
  <c r="BI27" i="240"/>
  <c r="K116" i="255" l="1"/>
  <c r="A117" i="255"/>
  <c r="AV29" i="240"/>
  <c r="BI28" i="240"/>
  <c r="K117" i="255" l="1"/>
  <c r="A118" i="255"/>
  <c r="AV30" i="240"/>
  <c r="BI29" i="240"/>
  <c r="K118" i="255" l="1"/>
  <c r="A119" i="255"/>
  <c r="AV31" i="240"/>
  <c r="BI30" i="240"/>
  <c r="K119" i="255" l="1"/>
  <c r="A120" i="255"/>
  <c r="AV32" i="240"/>
  <c r="BI31" i="240"/>
  <c r="K120" i="255" l="1"/>
  <c r="A121" i="255"/>
  <c r="AV33" i="240"/>
  <c r="BI32" i="240"/>
  <c r="K121" i="255" l="1"/>
  <c r="A122" i="255"/>
  <c r="AV34" i="240"/>
  <c r="BI33" i="240"/>
  <c r="K122" i="255" l="1"/>
  <c r="A123" i="255"/>
  <c r="AV35" i="240"/>
  <c r="BI34" i="240"/>
  <c r="K123" i="255" l="1"/>
  <c r="A124" i="255"/>
  <c r="AV36" i="240"/>
  <c r="BI35" i="240"/>
  <c r="K124" i="255" l="1"/>
  <c r="A125" i="255"/>
  <c r="AV37" i="240"/>
  <c r="BI36" i="240"/>
  <c r="K125" i="255" l="1"/>
  <c r="A126" i="255"/>
  <c r="AV38" i="240"/>
  <c r="BI37" i="240"/>
  <c r="K126" i="255" l="1"/>
  <c r="A127" i="255"/>
  <c r="AV39" i="240"/>
  <c r="BI38" i="240"/>
  <c r="K127" i="255" l="1"/>
  <c r="A128" i="255"/>
  <c r="AV40" i="240"/>
  <c r="BI39" i="240"/>
  <c r="K128" i="255" l="1"/>
  <c r="A129" i="255"/>
  <c r="AV41" i="240"/>
  <c r="BI40" i="240"/>
  <c r="K129" i="255" l="1"/>
  <c r="A130" i="255"/>
  <c r="AV42" i="240"/>
  <c r="BI41" i="240"/>
  <c r="K130" i="255" l="1"/>
  <c r="A131" i="255"/>
  <c r="AV43" i="240"/>
  <c r="BI42" i="240"/>
  <c r="K131" i="255" l="1"/>
  <c r="A132" i="255"/>
  <c r="AV44" i="240"/>
  <c r="BI43" i="240"/>
  <c r="K132" i="255" l="1"/>
  <c r="A133" i="255"/>
  <c r="AV45" i="240"/>
  <c r="BI44" i="240"/>
  <c r="A134" i="255" l="1"/>
  <c r="K133" i="255"/>
  <c r="AV46" i="240"/>
  <c r="BI45" i="240"/>
  <c r="A135" i="255" l="1"/>
  <c r="K134" i="255"/>
  <c r="AV47" i="240"/>
  <c r="BI46" i="240"/>
  <c r="A136" i="255" l="1"/>
  <c r="K135" i="255"/>
  <c r="AV48" i="240"/>
  <c r="BI47" i="240"/>
  <c r="A137" i="255" l="1"/>
  <c r="K136" i="255"/>
  <c r="AV49" i="240"/>
  <c r="BI48" i="240"/>
  <c r="A138" i="255" l="1"/>
  <c r="K137" i="255"/>
  <c r="AV50" i="240"/>
  <c r="BI49" i="240"/>
  <c r="A139" i="255" l="1"/>
  <c r="K138" i="255"/>
  <c r="AV51" i="240"/>
  <c r="BI50" i="240"/>
  <c r="A140" i="255" l="1"/>
  <c r="K139" i="255"/>
  <c r="AV52" i="240"/>
  <c r="BI51" i="240"/>
  <c r="A141" i="255" l="1"/>
  <c r="K140" i="255"/>
  <c r="AV53" i="240"/>
  <c r="BI52" i="240"/>
  <c r="A142" i="255" l="1"/>
  <c r="K141" i="255"/>
  <c r="AV54" i="240"/>
  <c r="BI53" i="240"/>
  <c r="A143" i="255" l="1"/>
  <c r="K142" i="255"/>
  <c r="AV55" i="240"/>
  <c r="BI54" i="240"/>
  <c r="A144" i="255" l="1"/>
  <c r="K143" i="255"/>
  <c r="AV56" i="240"/>
  <c r="BI55" i="240"/>
  <c r="A145" i="255" l="1"/>
  <c r="K144" i="255"/>
  <c r="AV57" i="240"/>
  <c r="BI56" i="240"/>
  <c r="BI57" i="240" l="1"/>
  <c r="AV58" i="240"/>
  <c r="A146" i="255"/>
  <c r="K145" i="255"/>
  <c r="A147" i="255" l="1"/>
  <c r="K146" i="255"/>
  <c r="A148" i="255" l="1"/>
  <c r="K147" i="255"/>
  <c r="A149" i="255" l="1"/>
  <c r="K148" i="255"/>
  <c r="A150" i="255" l="1"/>
  <c r="K149" i="255"/>
  <c r="A151" i="255" l="1"/>
  <c r="K150" i="255"/>
  <c r="A152" i="255" l="1"/>
  <c r="K151" i="255"/>
  <c r="A153" i="255" l="1"/>
  <c r="K152" i="255"/>
  <c r="A154" i="255" l="1"/>
  <c r="K153" i="255"/>
  <c r="A155" i="255" l="1"/>
  <c r="K154" i="255"/>
  <c r="A156" i="255" l="1"/>
  <c r="K155" i="255"/>
  <c r="A157" i="255" l="1"/>
  <c r="K156" i="255"/>
  <c r="A158" i="255" l="1"/>
  <c r="K157" i="255"/>
  <c r="A159" i="255" l="1"/>
  <c r="K158" i="255"/>
  <c r="A160" i="255" l="1"/>
  <c r="K159" i="255"/>
  <c r="A161" i="255" l="1"/>
  <c r="K160" i="255"/>
  <c r="A162" i="255" l="1"/>
  <c r="K161" i="255"/>
  <c r="A163" i="255" l="1"/>
  <c r="K162" i="255"/>
  <c r="A164" i="255" l="1"/>
  <c r="K163" i="255"/>
  <c r="A165" i="255" l="1"/>
  <c r="K164" i="255"/>
  <c r="A166" i="255" l="1"/>
  <c r="K165" i="255"/>
  <c r="A167" i="255" l="1"/>
  <c r="K166" i="255"/>
  <c r="A168" i="255" l="1"/>
  <c r="K167" i="255"/>
  <c r="A169" i="255" l="1"/>
  <c r="K168" i="255"/>
  <c r="A170" i="255" l="1"/>
  <c r="K169" i="255"/>
  <c r="A171" i="255" l="1"/>
  <c r="K170" i="255"/>
  <c r="A172" i="255" l="1"/>
  <c r="K171" i="255"/>
  <c r="A173" i="255" l="1"/>
  <c r="K172" i="255"/>
  <c r="A174" i="255" l="1"/>
  <c r="K173" i="255"/>
  <c r="A175" i="255" l="1"/>
  <c r="K174" i="255"/>
  <c r="A176" i="255" l="1"/>
  <c r="K175" i="255"/>
  <c r="A177" i="255" l="1"/>
  <c r="K176" i="255"/>
  <c r="A178" i="255" l="1"/>
  <c r="K177" i="255"/>
  <c r="A179" i="255" l="1"/>
  <c r="K178" i="255"/>
  <c r="A180" i="255" l="1"/>
  <c r="K179" i="255"/>
  <c r="A181" i="255" l="1"/>
  <c r="K180" i="255"/>
  <c r="A182" i="255" l="1"/>
  <c r="K181" i="255"/>
  <c r="A183" i="255" l="1"/>
  <c r="K182" i="255"/>
  <c r="A184" i="255" l="1"/>
  <c r="K183" i="255"/>
  <c r="A185" i="255" l="1"/>
  <c r="K184" i="255"/>
  <c r="A186" i="255" l="1"/>
  <c r="K185" i="255"/>
  <c r="A187" i="255" l="1"/>
  <c r="K186" i="255"/>
  <c r="A188" i="255" l="1"/>
  <c r="K187" i="255"/>
  <c r="A189" i="255" l="1"/>
  <c r="K188" i="255"/>
  <c r="A190" i="255" l="1"/>
  <c r="K189" i="255"/>
  <c r="A191" i="255" l="1"/>
  <c r="K190" i="255"/>
  <c r="A192" i="255" l="1"/>
  <c r="K191" i="255"/>
  <c r="A193" i="255" l="1"/>
  <c r="K192" i="255"/>
  <c r="A194" i="255" l="1"/>
  <c r="K193" i="255"/>
  <c r="A195" i="255" l="1"/>
  <c r="K194" i="255"/>
  <c r="A196" i="255" l="1"/>
  <c r="K195" i="255"/>
  <c r="A197" i="255" l="1"/>
  <c r="K196" i="255"/>
  <c r="A198" i="255" l="1"/>
  <c r="K197" i="255"/>
  <c r="A199" i="255" l="1"/>
  <c r="K198" i="255"/>
  <c r="A200" i="255" l="1"/>
  <c r="K199" i="255"/>
  <c r="A201" i="255" l="1"/>
  <c r="K200" i="255"/>
  <c r="A202" i="255" l="1"/>
  <c r="K201" i="255"/>
  <c r="A203" i="255" l="1"/>
  <c r="K202" i="255"/>
  <c r="A204" i="255" l="1"/>
  <c r="K203" i="255"/>
  <c r="A205" i="255" l="1"/>
  <c r="K204" i="255"/>
  <c r="A206" i="255" l="1"/>
  <c r="K205" i="255"/>
  <c r="A207" i="255" l="1"/>
  <c r="K206" i="255"/>
  <c r="A208" i="255" l="1"/>
  <c r="K207" i="255"/>
  <c r="A209" i="255" l="1"/>
  <c r="K208" i="255"/>
  <c r="A210" i="255" l="1"/>
  <c r="K209" i="255"/>
  <c r="A211" i="255" l="1"/>
  <c r="K210" i="255"/>
  <c r="K37" i="255" s="1"/>
  <c r="A212" i="255" l="1"/>
  <c r="K211" i="255"/>
  <c r="A213" i="255" l="1"/>
  <c r="K212" i="255"/>
  <c r="A214" i="255" l="1"/>
  <c r="K213" i="255"/>
  <c r="A215" i="255" l="1"/>
  <c r="K214" i="255"/>
  <c r="A216" i="255" l="1"/>
  <c r="K215" i="255"/>
  <c r="A217" i="255" l="1"/>
  <c r="J217" i="255" s="1"/>
  <c r="K216" i="255"/>
  <c r="T10" i="251" l="1"/>
  <c r="Q11" i="251"/>
  <c r="B33" i="251"/>
  <c r="B34" i="251" s="1"/>
  <c r="B35" i="251" s="1"/>
  <c r="B36" i="251" s="1"/>
  <c r="B37" i="251" s="1"/>
  <c r="B38" i="251" s="1"/>
  <c r="B39" i="251" s="1"/>
  <c r="B40" i="251" s="1"/>
  <c r="B41" i="251" s="1"/>
  <c r="B42" i="251" s="1"/>
  <c r="B43" i="251" s="1"/>
  <c r="B44" i="251" s="1"/>
  <c r="B45" i="251" s="1"/>
  <c r="B46" i="251" s="1"/>
  <c r="B47" i="251" s="1"/>
  <c r="B48" i="251" s="1"/>
  <c r="B49" i="251" s="1"/>
  <c r="B50" i="251" s="1"/>
  <c r="T9" i="251" l="1"/>
  <c r="BR186" i="236" l="1"/>
  <c r="AI179" i="236" l="1"/>
  <c r="AI180" i="236"/>
  <c r="AI181" i="236"/>
  <c r="AI182" i="236"/>
  <c r="AI183" i="236"/>
  <c r="AI184" i="236"/>
  <c r="AI185" i="236"/>
  <c r="AI186" i="236"/>
  <c r="AI187" i="236"/>
  <c r="AI188" i="236"/>
  <c r="AI189" i="236"/>
  <c r="AI190" i="236"/>
  <c r="AI64" i="236"/>
  <c r="AI65" i="236"/>
  <c r="AI66" i="236"/>
  <c r="AI67" i="236"/>
  <c r="AI68" i="236"/>
  <c r="AI69" i="236"/>
  <c r="AI70" i="236"/>
  <c r="AI71" i="236"/>
  <c r="AI72" i="236"/>
  <c r="AI73" i="236"/>
  <c r="AI74" i="236"/>
  <c r="AI75" i="236"/>
  <c r="AI76" i="236"/>
  <c r="AI77" i="236"/>
  <c r="AI78" i="236"/>
  <c r="AI79" i="236"/>
  <c r="AI80" i="236"/>
  <c r="AI81" i="236"/>
  <c r="AI82" i="236"/>
  <c r="AI83" i="236"/>
  <c r="AI84" i="236"/>
  <c r="AI85" i="236"/>
  <c r="AI86" i="236"/>
  <c r="AI87" i="236"/>
  <c r="AI88" i="236"/>
  <c r="AI89" i="236"/>
  <c r="AI90" i="236"/>
  <c r="AI91" i="236"/>
  <c r="AI92" i="236"/>
  <c r="AI93" i="236"/>
  <c r="AI94" i="236"/>
  <c r="AI95" i="236"/>
  <c r="AI96" i="236"/>
  <c r="AI97" i="236"/>
  <c r="AI98" i="236"/>
  <c r="AI99" i="236"/>
  <c r="AI100" i="236"/>
  <c r="AI101" i="236"/>
  <c r="AI102" i="236"/>
  <c r="AI103" i="236"/>
  <c r="AI104" i="236"/>
  <c r="AI105" i="236"/>
  <c r="AI106" i="236"/>
  <c r="AI107" i="236"/>
  <c r="AI108" i="236"/>
  <c r="AI109" i="236"/>
  <c r="AI110" i="236"/>
  <c r="AI111" i="236"/>
  <c r="AI112" i="236"/>
  <c r="AI113" i="236"/>
  <c r="AI114" i="236"/>
  <c r="AI115" i="236"/>
  <c r="AI116" i="236"/>
  <c r="AI117" i="236"/>
  <c r="AI118" i="236"/>
  <c r="AI119" i="236"/>
  <c r="AI120" i="236"/>
  <c r="AI121" i="236"/>
  <c r="AI122" i="236"/>
  <c r="AI123" i="236"/>
  <c r="AI124" i="236"/>
  <c r="AI125" i="236"/>
  <c r="AI126" i="236"/>
  <c r="AI127" i="236"/>
  <c r="AI128" i="236"/>
  <c r="AI129" i="236"/>
  <c r="AI130" i="236"/>
  <c r="AI131" i="236"/>
  <c r="AI132" i="236"/>
  <c r="AI133" i="236"/>
  <c r="AI134" i="236"/>
  <c r="AI135" i="236"/>
  <c r="AI136" i="236"/>
  <c r="AI137" i="236"/>
  <c r="AI138" i="236"/>
  <c r="AI139" i="236"/>
  <c r="AI140" i="236"/>
  <c r="AI141" i="236"/>
  <c r="AI142" i="236"/>
  <c r="AI143" i="236"/>
  <c r="AI144" i="236"/>
  <c r="AI145" i="236"/>
  <c r="AI146" i="236"/>
  <c r="AI147" i="236"/>
  <c r="AI148" i="236"/>
  <c r="AI149" i="236"/>
  <c r="AI150" i="236"/>
  <c r="AI151" i="236"/>
  <c r="AI152" i="236"/>
  <c r="AI153" i="236"/>
  <c r="AI154" i="236"/>
  <c r="AI155" i="236"/>
  <c r="AI156" i="236"/>
  <c r="AI157" i="236"/>
  <c r="AI158" i="236"/>
  <c r="AI159" i="236"/>
  <c r="AI160" i="236"/>
  <c r="AI161" i="236"/>
  <c r="AI162" i="236"/>
  <c r="AI163" i="236"/>
  <c r="AI164" i="236"/>
  <c r="AI165" i="236"/>
  <c r="AI166" i="236"/>
  <c r="AI167" i="236"/>
  <c r="AI168" i="236"/>
  <c r="AI169" i="236"/>
  <c r="AI170" i="236"/>
  <c r="AI171" i="236"/>
  <c r="AI172" i="236"/>
  <c r="AI173" i="236"/>
  <c r="AI174" i="236"/>
  <c r="AI175" i="236"/>
  <c r="AI176" i="236"/>
  <c r="AI177" i="236"/>
  <c r="AI178" i="236"/>
  <c r="AI63" i="236"/>
  <c r="AI8" i="236" l="1"/>
  <c r="BE186" i="240"/>
  <c r="BB3" i="240"/>
  <c r="BA3" i="240"/>
  <c r="AY3" i="240"/>
  <c r="AX3" i="240"/>
  <c r="AG66" i="236"/>
  <c r="AG67" i="236"/>
  <c r="AG68" i="236"/>
  <c r="AG69" i="236"/>
  <c r="BD72" i="236"/>
  <c r="BD73" i="236"/>
  <c r="BB1" i="240" l="1"/>
  <c r="BD1" i="240"/>
  <c r="BE1" i="240" s="1"/>
  <c r="BE3" i="240"/>
  <c r="BX190" i="236" l="1"/>
  <c r="BX185" i="236"/>
  <c r="BX186" i="236"/>
  <c r="BX187" i="236"/>
  <c r="BX188" i="236"/>
  <c r="BX189" i="236"/>
  <c r="BX65" i="236" l="1"/>
  <c r="BX171" i="236"/>
  <c r="BX159" i="236"/>
  <c r="BX151" i="236"/>
  <c r="BX139" i="236"/>
  <c r="BX135" i="236"/>
  <c r="BX127" i="236"/>
  <c r="BX123" i="236"/>
  <c r="BX119" i="236"/>
  <c r="BX115" i="236"/>
  <c r="BX111" i="236"/>
  <c r="BX107" i="236"/>
  <c r="BX103" i="236"/>
  <c r="BX99" i="236"/>
  <c r="BX95" i="236"/>
  <c r="BX91" i="236"/>
  <c r="BX87" i="236"/>
  <c r="BX180" i="236"/>
  <c r="BX176" i="236"/>
  <c r="BX172" i="236"/>
  <c r="BX168" i="236"/>
  <c r="BX164" i="236"/>
  <c r="BX160" i="236"/>
  <c r="BX156" i="236"/>
  <c r="BX152" i="236"/>
  <c r="BX148" i="236"/>
  <c r="BX144" i="236"/>
  <c r="BX140" i="236"/>
  <c r="BX136" i="236"/>
  <c r="BX132" i="236"/>
  <c r="BX128" i="236"/>
  <c r="BX124" i="236"/>
  <c r="BX120" i="236"/>
  <c r="BX116" i="236"/>
  <c r="BX112" i="236"/>
  <c r="BX108" i="236"/>
  <c r="BX104" i="236"/>
  <c r="BX100" i="236"/>
  <c r="BX96" i="236"/>
  <c r="BX92" i="236"/>
  <c r="BX88" i="236"/>
  <c r="BX84" i="236"/>
  <c r="BX80" i="236"/>
  <c r="BX76" i="236"/>
  <c r="BX72" i="236"/>
  <c r="BX68" i="236"/>
  <c r="BX184" i="236"/>
  <c r="BX179" i="236"/>
  <c r="BX175" i="236"/>
  <c r="BX167" i="236"/>
  <c r="BX163" i="236"/>
  <c r="BX155" i="236"/>
  <c r="BX147" i="236"/>
  <c r="BX143" i="236"/>
  <c r="BX131" i="236"/>
  <c r="BX64" i="236"/>
  <c r="BX183" i="236"/>
  <c r="BX83" i="236"/>
  <c r="BX79" i="236"/>
  <c r="BX75" i="236"/>
  <c r="BX71" i="236"/>
  <c r="BX67" i="236"/>
  <c r="BX182" i="236"/>
  <c r="BX178" i="236"/>
  <c r="BX174" i="236"/>
  <c r="BX170" i="236"/>
  <c r="BX166" i="236"/>
  <c r="BX162" i="236"/>
  <c r="BX158" i="236"/>
  <c r="BX154" i="236"/>
  <c r="BX150" i="236"/>
  <c r="BX146" i="236"/>
  <c r="BX142" i="236"/>
  <c r="BX138" i="236"/>
  <c r="BX134" i="236"/>
  <c r="BX130" i="236"/>
  <c r="BX126" i="236"/>
  <c r="BX122" i="236"/>
  <c r="BX118" i="236"/>
  <c r="BX114" i="236"/>
  <c r="BX110" i="236"/>
  <c r="BX106" i="236"/>
  <c r="BX102" i="236"/>
  <c r="BX98" i="236"/>
  <c r="BX94" i="236"/>
  <c r="BX90" i="236"/>
  <c r="BX86" i="236"/>
  <c r="BX82" i="236"/>
  <c r="BX78" i="236"/>
  <c r="BX74" i="236"/>
  <c r="BX70" i="236"/>
  <c r="BX66" i="236"/>
  <c r="BX181" i="236"/>
  <c r="BX177" i="236"/>
  <c r="BX173" i="236"/>
  <c r="BX169" i="236"/>
  <c r="BX165" i="236"/>
  <c r="BX161" i="236"/>
  <c r="BX157" i="236"/>
  <c r="BX153" i="236"/>
  <c r="BX149" i="236"/>
  <c r="BX145" i="236"/>
  <c r="BX141" i="236"/>
  <c r="BX137" i="236"/>
  <c r="BX133" i="236"/>
  <c r="BX129" i="236"/>
  <c r="BX125" i="236"/>
  <c r="BX121" i="236"/>
  <c r="BX117" i="236"/>
  <c r="BX113" i="236"/>
  <c r="BX109" i="236"/>
  <c r="BX105" i="236"/>
  <c r="BX101" i="236"/>
  <c r="BX97" i="236"/>
  <c r="BX93" i="236"/>
  <c r="BX89" i="236"/>
  <c r="BX85" i="236"/>
  <c r="BX81" i="236"/>
  <c r="BX77" i="236"/>
  <c r="BX73" i="236"/>
  <c r="BX69" i="236"/>
  <c r="BW60" i="236" l="1"/>
  <c r="BW61" i="236"/>
  <c r="BW63" i="236"/>
  <c r="BW64" i="236"/>
  <c r="BW65" i="236"/>
  <c r="BW190" i="236"/>
  <c r="BW188" i="236"/>
  <c r="BW187" i="236"/>
  <c r="BW186" i="236"/>
  <c r="BW185" i="236"/>
  <c r="BW184" i="236"/>
  <c r="BW183" i="236"/>
  <c r="BW182" i="236"/>
  <c r="BW181" i="236"/>
  <c r="BW180" i="236"/>
  <c r="BW179" i="236"/>
  <c r="BW178" i="236"/>
  <c r="BW177" i="236"/>
  <c r="BW176" i="236"/>
  <c r="BW175" i="236"/>
  <c r="BW174" i="236"/>
  <c r="BW173" i="236"/>
  <c r="BW172" i="236"/>
  <c r="BW171" i="236"/>
  <c r="BW170" i="236"/>
  <c r="BW169" i="236"/>
  <c r="BW168" i="236"/>
  <c r="BW167" i="236"/>
  <c r="BW166" i="236"/>
  <c r="BW165" i="236"/>
  <c r="BW164" i="236"/>
  <c r="BW163" i="236"/>
  <c r="BW162" i="236"/>
  <c r="BW161" i="236"/>
  <c r="BW160" i="236"/>
  <c r="BW159" i="236"/>
  <c r="BW158" i="236"/>
  <c r="BW157" i="236"/>
  <c r="BW156" i="236"/>
  <c r="BW155" i="236"/>
  <c r="BW154" i="236"/>
  <c r="BW153" i="236"/>
  <c r="BW152" i="236"/>
  <c r="BW151" i="236"/>
  <c r="BW150" i="236"/>
  <c r="BW149" i="236"/>
  <c r="BW148" i="236"/>
  <c r="BW147" i="236"/>
  <c r="BW146" i="236"/>
  <c r="BW145" i="236"/>
  <c r="BW144" i="236"/>
  <c r="BW143" i="236"/>
  <c r="BW142" i="236"/>
  <c r="BW141" i="236"/>
  <c r="BW140" i="236"/>
  <c r="BW139" i="236"/>
  <c r="BW138" i="236"/>
  <c r="BW137" i="236"/>
  <c r="BW136" i="236"/>
  <c r="BW135" i="236"/>
  <c r="BW134" i="236"/>
  <c r="BW133" i="236"/>
  <c r="BW132" i="236"/>
  <c r="BW131" i="236"/>
  <c r="BW130" i="236"/>
  <c r="BW129" i="236"/>
  <c r="BW128" i="236"/>
  <c r="BW127" i="236"/>
  <c r="BW126" i="236"/>
  <c r="BW125" i="236"/>
  <c r="BW124" i="236"/>
  <c r="BW123" i="236"/>
  <c r="BW122" i="236"/>
  <c r="BW121" i="236"/>
  <c r="BW120" i="236"/>
  <c r="BW119" i="236"/>
  <c r="BW118" i="236"/>
  <c r="BW117" i="236"/>
  <c r="BW116" i="236"/>
  <c r="BW115" i="236"/>
  <c r="BW114" i="236"/>
  <c r="BW113" i="236"/>
  <c r="BW112" i="236"/>
  <c r="BW111" i="236"/>
  <c r="BW110" i="236"/>
  <c r="BW109" i="236"/>
  <c r="BW108" i="236"/>
  <c r="BW107" i="236"/>
  <c r="BW106" i="236"/>
  <c r="BW105" i="236"/>
  <c r="BW104" i="236"/>
  <c r="BW103" i="236"/>
  <c r="BW102" i="236"/>
  <c r="BW101" i="236"/>
  <c r="BW100" i="236"/>
  <c r="BW99" i="236"/>
  <c r="BW98" i="236"/>
  <c r="BW97" i="236"/>
  <c r="BW96" i="236"/>
  <c r="BW95" i="236"/>
  <c r="BW94" i="236"/>
  <c r="BW93" i="236"/>
  <c r="BW92" i="236"/>
  <c r="BW91" i="236"/>
  <c r="BW90" i="236"/>
  <c r="BW89" i="236"/>
  <c r="BW88" i="236"/>
  <c r="BW87" i="236"/>
  <c r="BW84" i="236"/>
  <c r="BW83" i="236"/>
  <c r="BW68" i="236"/>
  <c r="BW67" i="236"/>
  <c r="BW66" i="236"/>
  <c r="BW59" i="236"/>
  <c r="BW58" i="236"/>
  <c r="BW57" i="236"/>
  <c r="BW56" i="236"/>
  <c r="BW55" i="236"/>
  <c r="BW54" i="236"/>
  <c r="BW53" i="236"/>
  <c r="BW52" i="236"/>
  <c r="BW51" i="236"/>
  <c r="BW50" i="236"/>
  <c r="BW49" i="236"/>
  <c r="BW48" i="236"/>
  <c r="BW47" i="236"/>
  <c r="BW46" i="236"/>
  <c r="BW45" i="236"/>
  <c r="BW44" i="236"/>
  <c r="BW43" i="236"/>
  <c r="BW42" i="236"/>
  <c r="BW41" i="236"/>
  <c r="BW40" i="236"/>
  <c r="BW39" i="236"/>
  <c r="BW38" i="236"/>
  <c r="BW37" i="236"/>
  <c r="BW36" i="236"/>
  <c r="BW35" i="236"/>
  <c r="BW34" i="236"/>
  <c r="BW33" i="236"/>
  <c r="BW32" i="236"/>
  <c r="BW31" i="236"/>
  <c r="BW30" i="236"/>
  <c r="BW29" i="236"/>
  <c r="BW28" i="236"/>
  <c r="BW27" i="236"/>
  <c r="BW26" i="236"/>
  <c r="BW25" i="236"/>
  <c r="BW24" i="236"/>
  <c r="BW23" i="236"/>
  <c r="BW22" i="236"/>
  <c r="BW21" i="236"/>
  <c r="BW20" i="236"/>
  <c r="BW19" i="236"/>
  <c r="BW18" i="236"/>
  <c r="BW17" i="236"/>
  <c r="BW16" i="236"/>
  <c r="BW15" i="236"/>
  <c r="BW14" i="236"/>
  <c r="BW13" i="236"/>
  <c r="BW12" i="236"/>
  <c r="BW11" i="236"/>
  <c r="BW10" i="236"/>
  <c r="BT8" i="236"/>
  <c r="BS8" i="236"/>
  <c r="BR8" i="236"/>
  <c r="K77" i="240" l="1"/>
  <c r="J77" i="240" s="1"/>
  <c r="K78" i="240" l="1"/>
  <c r="J78" i="240" l="1"/>
  <c r="K79" i="240"/>
  <c r="K80" i="240" l="1"/>
  <c r="J79" i="240"/>
  <c r="J80" i="240" l="1"/>
  <c r="K81" i="240"/>
  <c r="J81" i="240" l="1"/>
  <c r="K82" i="240"/>
  <c r="J82" i="240" l="1"/>
  <c r="K83" i="240"/>
  <c r="J83" i="240" l="1"/>
  <c r="K84" i="240"/>
  <c r="J84" i="240" l="1"/>
  <c r="K85" i="240"/>
  <c r="J85" i="240" l="1"/>
  <c r="K86" i="240"/>
  <c r="J86" i="240" l="1"/>
  <c r="K87" i="240"/>
  <c r="J87" i="240" l="1"/>
  <c r="K88" i="240"/>
  <c r="J88" i="240" l="1"/>
  <c r="K89" i="240"/>
  <c r="J89" i="240" l="1"/>
  <c r="K90" i="240"/>
  <c r="J90" i="240" l="1"/>
  <c r="K91" i="240"/>
  <c r="J91" i="240" l="1"/>
  <c r="K92" i="240"/>
  <c r="J92" i="240" l="1"/>
  <c r="K93" i="240"/>
  <c r="J93" i="240" l="1"/>
  <c r="K94" i="240"/>
  <c r="J94" i="240" l="1"/>
  <c r="K95" i="240"/>
  <c r="J95" i="240" l="1"/>
  <c r="K96" i="240"/>
  <c r="J96" i="240" l="1"/>
  <c r="K97" i="240"/>
  <c r="J97" i="240" l="1"/>
  <c r="K98" i="240"/>
  <c r="J98" i="240" l="1"/>
  <c r="K99" i="240"/>
  <c r="J99" i="240" l="1"/>
  <c r="K100" i="240"/>
  <c r="J100" i="240" l="1"/>
  <c r="K101" i="240"/>
  <c r="J101" i="240" l="1"/>
  <c r="K102" i="240"/>
  <c r="J102" i="240" l="1"/>
  <c r="K103" i="240"/>
  <c r="J103" i="240" l="1"/>
  <c r="K104" i="240"/>
  <c r="J104" i="240" l="1"/>
  <c r="K105" i="240"/>
  <c r="J105" i="240" l="1"/>
  <c r="K106" i="240"/>
  <c r="J106" i="240" l="1"/>
  <c r="K107" i="240"/>
  <c r="J107" i="240" l="1"/>
  <c r="K108" i="240"/>
  <c r="J108" i="240" l="1"/>
  <c r="K109" i="240"/>
  <c r="J109" i="240" l="1"/>
  <c r="K110" i="240"/>
  <c r="J110" i="240" l="1"/>
  <c r="K111" i="240"/>
  <c r="J111" i="240" l="1"/>
  <c r="K112" i="240"/>
  <c r="J112" i="240" l="1"/>
  <c r="K113" i="240"/>
  <c r="J113" i="240" l="1"/>
  <c r="K114" i="240"/>
  <c r="J114" i="240" l="1"/>
  <c r="K115" i="240"/>
  <c r="J115" i="240" l="1"/>
  <c r="K116" i="240"/>
  <c r="J116" i="240" l="1"/>
  <c r="K117" i="240"/>
  <c r="J117" i="240" l="1"/>
  <c r="K118" i="240"/>
  <c r="J118" i="240" l="1"/>
  <c r="K119" i="240"/>
  <c r="J119" i="240" l="1"/>
  <c r="K120" i="240"/>
  <c r="J120" i="240" l="1"/>
  <c r="K121" i="240"/>
  <c r="J121" i="240" l="1"/>
  <c r="K122" i="240"/>
  <c r="J122" i="240" l="1"/>
  <c r="K123" i="240"/>
  <c r="J123" i="240" l="1"/>
  <c r="K124" i="240"/>
  <c r="J124" i="240" l="1"/>
  <c r="K125" i="240"/>
  <c r="J125" i="240" l="1"/>
  <c r="K126" i="240"/>
  <c r="J126" i="240" l="1"/>
  <c r="K127" i="240"/>
  <c r="J127" i="240" l="1"/>
  <c r="K128" i="240"/>
  <c r="J128" i="240" l="1"/>
  <c r="K129" i="240"/>
  <c r="J129" i="240" l="1"/>
  <c r="K130" i="240"/>
  <c r="J130" i="240" l="1"/>
  <c r="K131" i="240"/>
  <c r="J131" i="240" l="1"/>
  <c r="K132" i="240"/>
  <c r="J132" i="240" l="1"/>
  <c r="K133" i="240"/>
  <c r="J133" i="240" l="1"/>
  <c r="K134" i="240"/>
  <c r="J134" i="240" l="1"/>
  <c r="K135" i="240"/>
  <c r="J135" i="240" l="1"/>
  <c r="K136" i="240"/>
  <c r="J136" i="240" l="1"/>
  <c r="K137" i="240"/>
  <c r="J137" i="240" l="1"/>
  <c r="K138" i="240"/>
  <c r="J138" i="240" l="1"/>
  <c r="K139" i="240"/>
  <c r="J139" i="240" l="1"/>
  <c r="K140" i="240"/>
  <c r="J140" i="240" l="1"/>
  <c r="K141" i="240"/>
  <c r="J141" i="240" l="1"/>
  <c r="K142" i="240"/>
  <c r="J142" i="240" l="1"/>
  <c r="K143" i="240"/>
  <c r="J143" i="240" l="1"/>
  <c r="K144" i="240"/>
  <c r="J144" i="240" l="1"/>
  <c r="K145" i="240"/>
  <c r="J145" i="240" l="1"/>
  <c r="K146" i="240"/>
  <c r="J146" i="240" l="1"/>
  <c r="K147" i="240"/>
  <c r="J147" i="240" l="1"/>
  <c r="K148" i="240"/>
  <c r="J148" i="240" l="1"/>
  <c r="K149" i="240"/>
  <c r="J149" i="240" l="1"/>
  <c r="K150" i="240"/>
  <c r="J150" i="240" l="1"/>
  <c r="K151" i="240"/>
  <c r="J151" i="240" l="1"/>
  <c r="K152" i="240"/>
  <c r="J152" i="240" l="1"/>
  <c r="K153" i="240"/>
  <c r="J153" i="240" l="1"/>
  <c r="K154" i="240"/>
  <c r="J154" i="240" l="1"/>
  <c r="K155" i="240"/>
  <c r="J155" i="240" l="1"/>
  <c r="K156" i="240"/>
  <c r="J156" i="240" l="1"/>
  <c r="K157" i="240"/>
  <c r="J157" i="240" l="1"/>
  <c r="K158" i="240"/>
  <c r="J158" i="240" l="1"/>
  <c r="K159" i="240"/>
  <c r="J159" i="240" l="1"/>
  <c r="K160" i="240"/>
  <c r="J160" i="240" l="1"/>
  <c r="K161" i="240"/>
  <c r="J161" i="240" l="1"/>
  <c r="K162" i="240"/>
  <c r="J162" i="240" l="1"/>
  <c r="K163" i="240"/>
  <c r="J163" i="240" l="1"/>
  <c r="K164" i="240"/>
  <c r="J164" i="240" l="1"/>
  <c r="K165" i="240"/>
  <c r="J165" i="240" l="1"/>
  <c r="K166" i="240"/>
  <c r="J166" i="240" l="1"/>
  <c r="K167" i="240"/>
  <c r="J167" i="240" l="1"/>
  <c r="K168" i="240"/>
  <c r="J168" i="240" l="1"/>
  <c r="K169" i="240"/>
  <c r="J169" i="240" l="1"/>
  <c r="K170" i="240"/>
  <c r="J170" i="240" l="1"/>
  <c r="K171" i="240"/>
  <c r="J171" i="240" l="1"/>
  <c r="K172" i="240"/>
  <c r="J172" i="240" l="1"/>
  <c r="K173" i="240"/>
  <c r="J173" i="240" l="1"/>
  <c r="K174" i="240"/>
  <c r="AF64" i="236"/>
  <c r="AF65" i="236"/>
  <c r="AF66" i="236"/>
  <c r="AF67" i="236"/>
  <c r="AF68" i="236"/>
  <c r="AF69" i="236"/>
  <c r="AF70" i="236"/>
  <c r="AF71" i="236"/>
  <c r="AF72" i="236"/>
  <c r="AF73" i="236"/>
  <c r="AF74" i="236"/>
  <c r="AF75" i="236"/>
  <c r="AF76" i="236"/>
  <c r="AF77" i="236"/>
  <c r="AF78" i="236"/>
  <c r="AF79" i="236"/>
  <c r="AF80" i="236"/>
  <c r="AF81" i="236"/>
  <c r="AF82" i="236"/>
  <c r="AF83" i="236"/>
  <c r="AF84" i="236"/>
  <c r="AF85" i="236"/>
  <c r="AF86" i="236"/>
  <c r="AF87" i="236"/>
  <c r="AF88" i="236"/>
  <c r="AF89" i="236"/>
  <c r="AF90" i="236"/>
  <c r="AF91" i="236"/>
  <c r="AF92" i="236"/>
  <c r="AF93" i="236"/>
  <c r="AF94" i="236"/>
  <c r="AF95" i="236"/>
  <c r="AF96" i="236"/>
  <c r="AF97" i="236"/>
  <c r="AF98" i="236"/>
  <c r="AF99" i="236"/>
  <c r="AF100" i="236"/>
  <c r="AF101" i="236"/>
  <c r="AF102" i="236"/>
  <c r="AF103" i="236"/>
  <c r="AF104" i="236"/>
  <c r="AF105" i="236"/>
  <c r="AF106" i="236"/>
  <c r="AF107" i="236"/>
  <c r="AF108" i="236"/>
  <c r="AF109" i="236"/>
  <c r="AF110" i="236"/>
  <c r="AF111" i="236"/>
  <c r="AF112" i="236"/>
  <c r="AF113" i="236"/>
  <c r="AF114" i="236"/>
  <c r="AF115" i="236"/>
  <c r="AF116" i="236"/>
  <c r="AF117" i="236"/>
  <c r="AF118" i="236"/>
  <c r="AF119" i="236"/>
  <c r="AF120" i="236"/>
  <c r="AF121" i="236"/>
  <c r="AF122" i="236"/>
  <c r="AF123" i="236"/>
  <c r="AF124" i="236"/>
  <c r="AF125" i="236"/>
  <c r="AF126" i="236"/>
  <c r="AF127" i="236"/>
  <c r="AF128" i="236"/>
  <c r="AF129" i="236"/>
  <c r="AF130" i="236"/>
  <c r="AF131" i="236"/>
  <c r="AF132" i="236"/>
  <c r="AF133" i="236"/>
  <c r="AF134" i="236"/>
  <c r="AF135" i="236"/>
  <c r="AF136" i="236"/>
  <c r="AF137" i="236"/>
  <c r="AF138" i="236"/>
  <c r="AF139" i="236"/>
  <c r="AF140" i="236"/>
  <c r="AF141" i="236"/>
  <c r="AF142" i="236"/>
  <c r="AF143" i="236"/>
  <c r="AF144" i="236"/>
  <c r="AF145" i="236"/>
  <c r="AF146" i="236"/>
  <c r="AF147" i="236"/>
  <c r="AF148" i="236"/>
  <c r="AF149" i="236"/>
  <c r="AF150" i="236"/>
  <c r="AF151" i="236"/>
  <c r="AF152" i="236"/>
  <c r="AF153" i="236"/>
  <c r="AF154" i="236"/>
  <c r="AF155" i="236"/>
  <c r="AF156" i="236"/>
  <c r="AF157" i="236"/>
  <c r="AF158" i="236"/>
  <c r="AF159" i="236"/>
  <c r="AF160" i="236"/>
  <c r="AF161" i="236"/>
  <c r="AF162" i="236"/>
  <c r="AF163" i="236"/>
  <c r="AF164" i="236"/>
  <c r="AF165" i="236"/>
  <c r="AF166" i="236"/>
  <c r="AF167" i="236"/>
  <c r="AF168" i="236"/>
  <c r="AF169" i="236"/>
  <c r="AF170" i="236"/>
  <c r="AF171" i="236"/>
  <c r="AF172" i="236"/>
  <c r="AF173" i="236"/>
  <c r="AF174" i="236"/>
  <c r="AF175" i="236"/>
  <c r="AF176" i="236"/>
  <c r="AF177" i="236"/>
  <c r="AF178" i="236"/>
  <c r="AF179" i="236"/>
  <c r="AF180" i="236"/>
  <c r="AF181" i="236"/>
  <c r="AF182" i="236"/>
  <c r="AF183" i="236"/>
  <c r="AF184" i="236"/>
  <c r="AF185" i="236"/>
  <c r="AF186" i="236"/>
  <c r="AF187" i="236"/>
  <c r="AF188" i="236"/>
  <c r="AF189" i="236"/>
  <c r="AF190" i="236"/>
  <c r="AF63" i="236"/>
  <c r="AC64" i="236"/>
  <c r="AC65" i="236"/>
  <c r="AC66" i="236"/>
  <c r="AC67" i="236"/>
  <c r="AC68" i="236"/>
  <c r="AC69" i="236"/>
  <c r="AC70" i="236"/>
  <c r="AC71" i="236"/>
  <c r="AC72" i="236"/>
  <c r="AC73" i="236"/>
  <c r="AC74" i="236"/>
  <c r="AC75" i="236"/>
  <c r="AC76" i="236"/>
  <c r="AC77" i="236"/>
  <c r="AC78" i="236"/>
  <c r="AC79" i="236"/>
  <c r="AC80" i="236"/>
  <c r="AC81" i="236"/>
  <c r="AC84" i="236"/>
  <c r="AC85" i="236"/>
  <c r="AC86" i="236"/>
  <c r="AC87" i="236"/>
  <c r="AC88" i="236"/>
  <c r="AC89" i="236"/>
  <c r="AC90" i="236"/>
  <c r="AC91" i="236"/>
  <c r="AC92" i="236"/>
  <c r="AC93" i="236"/>
  <c r="AC94" i="236"/>
  <c r="AC95" i="236"/>
  <c r="AC96" i="236"/>
  <c r="AC97" i="236"/>
  <c r="AC98" i="236"/>
  <c r="AC99" i="236"/>
  <c r="AC100" i="236"/>
  <c r="AC101" i="236"/>
  <c r="AC102" i="236"/>
  <c r="AC103" i="236"/>
  <c r="AC104" i="236"/>
  <c r="AC105" i="236"/>
  <c r="AC106" i="236"/>
  <c r="AC107" i="236"/>
  <c r="AC108" i="236"/>
  <c r="AC109" i="236"/>
  <c r="AC110" i="236"/>
  <c r="AC111" i="236"/>
  <c r="AC112" i="236"/>
  <c r="AC113" i="236"/>
  <c r="AC114" i="236"/>
  <c r="AC115" i="236"/>
  <c r="AC116" i="236"/>
  <c r="AC117" i="236"/>
  <c r="AC118" i="236"/>
  <c r="AC119" i="236"/>
  <c r="AC120" i="236"/>
  <c r="AC121" i="236"/>
  <c r="AC122" i="236"/>
  <c r="AC123" i="236"/>
  <c r="AC124" i="236"/>
  <c r="AC125" i="236"/>
  <c r="AC126" i="236"/>
  <c r="AC127" i="236"/>
  <c r="AC128" i="236"/>
  <c r="AC129" i="236"/>
  <c r="AC130" i="236"/>
  <c r="AC131" i="236"/>
  <c r="AC132" i="236"/>
  <c r="AC133" i="236"/>
  <c r="AC134" i="236"/>
  <c r="AC135" i="236"/>
  <c r="AC136" i="236"/>
  <c r="AC137" i="236"/>
  <c r="AC138" i="236"/>
  <c r="AC139" i="236"/>
  <c r="AC140" i="236"/>
  <c r="AC141" i="236"/>
  <c r="AC142" i="236"/>
  <c r="AC143" i="236"/>
  <c r="AC144" i="236"/>
  <c r="AC145" i="236"/>
  <c r="AC146" i="236"/>
  <c r="AC147" i="236"/>
  <c r="AC148" i="236"/>
  <c r="AC149" i="236"/>
  <c r="AC150" i="236"/>
  <c r="AC151" i="236"/>
  <c r="AC152" i="236"/>
  <c r="AC153" i="236"/>
  <c r="AC154" i="236"/>
  <c r="AC155" i="236"/>
  <c r="AC156" i="236"/>
  <c r="AC157" i="236"/>
  <c r="AC158" i="236"/>
  <c r="AC159" i="236"/>
  <c r="AC160" i="236"/>
  <c r="AC161" i="236"/>
  <c r="AC162" i="236"/>
  <c r="AC163" i="236"/>
  <c r="AC164" i="236"/>
  <c r="AC165" i="236"/>
  <c r="AC166" i="236"/>
  <c r="AC167" i="236"/>
  <c r="AC168" i="236"/>
  <c r="AC169" i="236"/>
  <c r="AC170" i="236"/>
  <c r="AC171" i="236"/>
  <c r="AC172" i="236"/>
  <c r="AC173" i="236"/>
  <c r="AC174" i="236"/>
  <c r="AC175" i="236"/>
  <c r="AC176" i="236"/>
  <c r="AC177" i="236"/>
  <c r="AC178" i="236"/>
  <c r="AC179" i="236"/>
  <c r="AC180" i="236"/>
  <c r="AC181" i="236"/>
  <c r="AC182" i="236"/>
  <c r="AC183" i="236"/>
  <c r="AC184" i="236"/>
  <c r="AC185" i="236"/>
  <c r="AC186" i="236"/>
  <c r="AC187" i="236"/>
  <c r="AC188" i="236"/>
  <c r="AC189" i="236"/>
  <c r="AC190" i="236"/>
  <c r="AC63" i="236"/>
  <c r="AB62" i="236"/>
  <c r="BB62" i="236"/>
  <c r="K175" i="240" l="1"/>
  <c r="J174" i="240"/>
  <c r="AF8" i="236"/>
  <c r="AC8" i="236"/>
  <c r="J175" i="240" l="1"/>
  <c r="K176" i="240"/>
  <c r="BG62" i="236"/>
  <c r="BZ62" i="236" s="1"/>
  <c r="J176" i="240" l="1"/>
  <c r="K177" i="240"/>
  <c r="V62" i="236"/>
  <c r="AY63" i="236" l="1"/>
  <c r="AW63" i="236"/>
  <c r="BF62" i="236"/>
  <c r="BH62" i="236" s="1"/>
  <c r="CE62" i="236" s="1"/>
  <c r="J177" i="240"/>
  <c r="K178" i="240"/>
  <c r="BY62" i="236" l="1"/>
  <c r="J178" i="240"/>
  <c r="K179" i="240"/>
  <c r="BE62" i="236"/>
  <c r="CA62" i="236"/>
  <c r="CF62" i="236" s="1"/>
  <c r="J179" i="240" l="1"/>
  <c r="K180" i="240"/>
  <c r="J180" i="240" l="1"/>
  <c r="K181" i="240"/>
  <c r="J181" i="240" l="1"/>
  <c r="K182" i="240"/>
  <c r="J182" i="240" l="1"/>
  <c r="K183" i="240"/>
  <c r="J183" i="240" l="1"/>
  <c r="K184" i="240"/>
  <c r="J184" i="240" l="1"/>
  <c r="K185" i="240"/>
  <c r="J185" i="240" l="1"/>
  <c r="K186" i="240"/>
  <c r="J186" i="240" s="1"/>
  <c r="J187" i="240" l="1"/>
  <c r="R64" i="236" l="1"/>
  <c r="S64" i="236"/>
  <c r="R65" i="236"/>
  <c r="S65" i="236"/>
  <c r="R66" i="236"/>
  <c r="S66" i="236"/>
  <c r="R67" i="236"/>
  <c r="S67" i="236"/>
  <c r="R68" i="236"/>
  <c r="S68" i="236"/>
  <c r="R69" i="236"/>
  <c r="S69" i="236"/>
  <c r="R70" i="236"/>
  <c r="S70" i="236"/>
  <c r="R71" i="236"/>
  <c r="S71" i="236"/>
  <c r="R72" i="236"/>
  <c r="S72" i="236"/>
  <c r="R73" i="236"/>
  <c r="S73" i="236"/>
  <c r="R74" i="236"/>
  <c r="S74" i="236"/>
  <c r="R75" i="236"/>
  <c r="S75" i="236"/>
  <c r="R76" i="236"/>
  <c r="S76" i="236"/>
  <c r="R77" i="236"/>
  <c r="S77" i="236"/>
  <c r="R78" i="236"/>
  <c r="S78" i="236"/>
  <c r="R79" i="236"/>
  <c r="S79" i="236"/>
  <c r="R80" i="236"/>
  <c r="S80" i="236"/>
  <c r="R81" i="236"/>
  <c r="S81" i="236"/>
  <c r="R82" i="236"/>
  <c r="S82" i="236"/>
  <c r="R83" i="236"/>
  <c r="S83" i="236"/>
  <c r="R84" i="236"/>
  <c r="S84" i="236"/>
  <c r="R85" i="236"/>
  <c r="S85" i="236"/>
  <c r="R86" i="236"/>
  <c r="S86" i="236"/>
  <c r="R87" i="236"/>
  <c r="S87" i="236"/>
  <c r="R88" i="236"/>
  <c r="S88" i="236"/>
  <c r="R89" i="236"/>
  <c r="S89" i="236"/>
  <c r="R90" i="236"/>
  <c r="S90" i="236"/>
  <c r="R91" i="236"/>
  <c r="S91" i="236"/>
  <c r="R92" i="236"/>
  <c r="S92" i="236"/>
  <c r="R93" i="236"/>
  <c r="S93" i="236"/>
  <c r="S94" i="236"/>
  <c r="S95" i="236"/>
  <c r="S96" i="236"/>
  <c r="S97" i="236"/>
  <c r="S98" i="236"/>
  <c r="S99" i="236"/>
  <c r="S100" i="236"/>
  <c r="S101" i="236"/>
  <c r="S102" i="236"/>
  <c r="S103" i="236"/>
  <c r="S104" i="236"/>
  <c r="S105" i="236"/>
  <c r="S106" i="236"/>
  <c r="S107" i="236"/>
  <c r="S108" i="236"/>
  <c r="S109" i="236"/>
  <c r="S110" i="236"/>
  <c r="S111" i="236"/>
  <c r="S112" i="236"/>
  <c r="S113" i="236"/>
  <c r="S114" i="236"/>
  <c r="S115" i="236"/>
  <c r="S116" i="236"/>
  <c r="S117" i="236"/>
  <c r="S118" i="236"/>
  <c r="S119" i="236"/>
  <c r="S120" i="236"/>
  <c r="S121" i="236"/>
  <c r="S122" i="236"/>
  <c r="S123" i="236"/>
  <c r="S124" i="236"/>
  <c r="S125" i="236"/>
  <c r="S126" i="236"/>
  <c r="S127" i="236"/>
  <c r="S128" i="236"/>
  <c r="S129" i="236"/>
  <c r="S130" i="236"/>
  <c r="S131" i="236"/>
  <c r="S132" i="236"/>
  <c r="S133" i="236"/>
  <c r="S134" i="236"/>
  <c r="S135" i="236"/>
  <c r="S136" i="236"/>
  <c r="S137" i="236"/>
  <c r="S138" i="236"/>
  <c r="S139" i="236"/>
  <c r="S140" i="236"/>
  <c r="S141" i="236"/>
  <c r="S142" i="236"/>
  <c r="S143" i="236"/>
  <c r="S144" i="236"/>
  <c r="S145" i="236"/>
  <c r="S146" i="236"/>
  <c r="S147" i="236"/>
  <c r="S148" i="236"/>
  <c r="S149" i="236"/>
  <c r="S150" i="236"/>
  <c r="S151" i="236"/>
  <c r="S152" i="236"/>
  <c r="S153" i="236"/>
  <c r="S154" i="236"/>
  <c r="S155" i="236"/>
  <c r="S156" i="236"/>
  <c r="S157" i="236"/>
  <c r="S158" i="236"/>
  <c r="S159" i="236"/>
  <c r="S160" i="236"/>
  <c r="S161" i="236"/>
  <c r="S162" i="236"/>
  <c r="S163" i="236"/>
  <c r="S164" i="236"/>
  <c r="S165" i="236"/>
  <c r="S166" i="236"/>
  <c r="S167" i="236"/>
  <c r="S168" i="236"/>
  <c r="S169" i="236"/>
  <c r="S170" i="236"/>
  <c r="S171" i="236"/>
  <c r="S172" i="236"/>
  <c r="S173" i="236"/>
  <c r="S174" i="236"/>
  <c r="S175" i="236"/>
  <c r="S176" i="236"/>
  <c r="S177" i="236"/>
  <c r="S178" i="236"/>
  <c r="S179" i="236"/>
  <c r="S180" i="236"/>
  <c r="S181" i="236"/>
  <c r="S182" i="236"/>
  <c r="S183" i="236"/>
  <c r="S184" i="236"/>
  <c r="S185" i="236"/>
  <c r="S186" i="236"/>
  <c r="S187" i="236"/>
  <c r="S188" i="236"/>
  <c r="S189" i="236"/>
  <c r="S190" i="236"/>
  <c r="S63" i="236"/>
  <c r="R63" i="236"/>
  <c r="R94" i="236" l="1"/>
  <c r="R188" i="236"/>
  <c r="V188" i="236" s="1"/>
  <c r="AY189" i="236" s="1"/>
  <c r="R172" i="236"/>
  <c r="R168" i="236"/>
  <c r="R160" i="236"/>
  <c r="R156" i="236"/>
  <c r="R148" i="236"/>
  <c r="R144" i="236"/>
  <c r="R136" i="236"/>
  <c r="R128" i="236"/>
  <c r="R124" i="236"/>
  <c r="R116" i="236"/>
  <c r="R112" i="236"/>
  <c r="R104" i="236"/>
  <c r="R184" i="236"/>
  <c r="R176" i="236"/>
  <c r="R164" i="236"/>
  <c r="R152" i="236"/>
  <c r="R140" i="236"/>
  <c r="R132" i="236"/>
  <c r="R120" i="236"/>
  <c r="R108" i="236"/>
  <c r="R100" i="236"/>
  <c r="R96" i="236"/>
  <c r="R190" i="236"/>
  <c r="R186" i="236"/>
  <c r="R178" i="236"/>
  <c r="R174" i="236"/>
  <c r="R170" i="236"/>
  <c r="R166" i="236"/>
  <c r="R162" i="236"/>
  <c r="R158" i="236"/>
  <c r="R154" i="236"/>
  <c r="R150" i="236"/>
  <c r="R146" i="236"/>
  <c r="R142" i="236"/>
  <c r="R138" i="236"/>
  <c r="R134" i="236"/>
  <c r="R130" i="236"/>
  <c r="R126" i="236"/>
  <c r="R122" i="236"/>
  <c r="R118" i="236"/>
  <c r="R114" i="236"/>
  <c r="R110" i="236"/>
  <c r="R106" i="236"/>
  <c r="R102" i="236"/>
  <c r="R98" i="236"/>
  <c r="R169" i="236"/>
  <c r="R105" i="236"/>
  <c r="R153" i="236"/>
  <c r="R137" i="236"/>
  <c r="R185" i="236"/>
  <c r="R121" i="236"/>
  <c r="R177" i="236"/>
  <c r="R161" i="236"/>
  <c r="R145" i="236"/>
  <c r="R129" i="236"/>
  <c r="R113" i="236"/>
  <c r="R97" i="236"/>
  <c r="R189" i="236"/>
  <c r="V189" i="236" s="1"/>
  <c r="R173" i="236"/>
  <c r="R157" i="236"/>
  <c r="R141" i="236"/>
  <c r="R125" i="236"/>
  <c r="R109" i="236"/>
  <c r="R181" i="236"/>
  <c r="R165" i="236"/>
  <c r="R149" i="236"/>
  <c r="R133" i="236"/>
  <c r="R117" i="236"/>
  <c r="R101" i="236"/>
  <c r="R171" i="236"/>
  <c r="R155" i="236"/>
  <c r="R143" i="236"/>
  <c r="R127" i="236"/>
  <c r="R115" i="236"/>
  <c r="R103" i="236"/>
  <c r="R187" i="236"/>
  <c r="V187" i="236" s="1"/>
  <c r="AY188" i="236" s="1"/>
  <c r="R179" i="236"/>
  <c r="R159" i="236"/>
  <c r="R147" i="236"/>
  <c r="R131" i="236"/>
  <c r="R111" i="236"/>
  <c r="R95" i="236"/>
  <c r="R183" i="236"/>
  <c r="R175" i="236"/>
  <c r="R167" i="236"/>
  <c r="R163" i="236"/>
  <c r="R151" i="236"/>
  <c r="R139" i="236"/>
  <c r="R135" i="236"/>
  <c r="R123" i="236"/>
  <c r="R119" i="236"/>
  <c r="R107" i="236"/>
  <c r="R99" i="236"/>
  <c r="R182" i="236"/>
  <c r="R180" i="236"/>
  <c r="BU190" i="236" l="1"/>
  <c r="AY190" i="236"/>
  <c r="BV189" i="236"/>
  <c r="BU189" i="236"/>
  <c r="AO64" i="236"/>
  <c r="AO65" i="236"/>
  <c r="AO66" i="236"/>
  <c r="AO67" i="236"/>
  <c r="AO68" i="236"/>
  <c r="AO69" i="236"/>
  <c r="AO70" i="236"/>
  <c r="AO71" i="236"/>
  <c r="AO72" i="236"/>
  <c r="AO73" i="236"/>
  <c r="AO74" i="236"/>
  <c r="AO75" i="236"/>
  <c r="AO76" i="236"/>
  <c r="AO77" i="236"/>
  <c r="AO78" i="236"/>
  <c r="AO79" i="236"/>
  <c r="AO80" i="236"/>
  <c r="AO81" i="236"/>
  <c r="AO82" i="236"/>
  <c r="AO83" i="236"/>
  <c r="AO84" i="236"/>
  <c r="AO85" i="236"/>
  <c r="AO86" i="236"/>
  <c r="AO87" i="236"/>
  <c r="AO63" i="236"/>
  <c r="BY189" i="236" l="1"/>
  <c r="BV190" i="236"/>
  <c r="BW189" i="236"/>
  <c r="K66" i="236"/>
  <c r="K67" i="236"/>
  <c r="K68" i="236"/>
  <c r="K69" i="236"/>
  <c r="K70" i="236"/>
  <c r="K71" i="236"/>
  <c r="K72" i="236"/>
  <c r="K73" i="236"/>
  <c r="K74" i="236"/>
  <c r="K75" i="236"/>
  <c r="K76" i="236"/>
  <c r="K77" i="236"/>
  <c r="K78" i="236"/>
  <c r="K79" i="236"/>
  <c r="K80" i="236"/>
  <c r="K81" i="236"/>
  <c r="K82" i="236"/>
  <c r="K83" i="236"/>
  <c r="K84" i="236"/>
  <c r="K85" i="236"/>
  <c r="K86" i="236"/>
  <c r="K87" i="236"/>
  <c r="K88" i="236"/>
  <c r="K89" i="236"/>
  <c r="K90" i="236"/>
  <c r="K91" i="236"/>
  <c r="K92" i="236"/>
  <c r="K93" i="236"/>
  <c r="K94" i="236"/>
  <c r="K95" i="236"/>
  <c r="K96" i="236"/>
  <c r="K97" i="236"/>
  <c r="K98" i="236"/>
  <c r="K99" i="236"/>
  <c r="K100" i="236"/>
  <c r="K101" i="236"/>
  <c r="K102" i="236"/>
  <c r="K103" i="236"/>
  <c r="K104" i="236"/>
  <c r="K105" i="236"/>
  <c r="K106" i="236"/>
  <c r="K107" i="236"/>
  <c r="K108" i="236"/>
  <c r="K109" i="236"/>
  <c r="K110" i="236"/>
  <c r="K111" i="236"/>
  <c r="K112" i="236"/>
  <c r="K113" i="236"/>
  <c r="K114" i="236"/>
  <c r="K115" i="236"/>
  <c r="K116" i="236"/>
  <c r="K117" i="236"/>
  <c r="K118" i="236"/>
  <c r="K119" i="236"/>
  <c r="K120" i="236"/>
  <c r="K121" i="236"/>
  <c r="K122" i="236"/>
  <c r="K123" i="236"/>
  <c r="K124" i="236"/>
  <c r="K125" i="236"/>
  <c r="K126" i="236"/>
  <c r="K127" i="236"/>
  <c r="K128" i="236"/>
  <c r="K129" i="236"/>
  <c r="K130" i="236"/>
  <c r="K131" i="236"/>
  <c r="K132" i="236"/>
  <c r="K133" i="236"/>
  <c r="K134" i="236"/>
  <c r="K135" i="236"/>
  <c r="K136" i="236"/>
  <c r="K137" i="236"/>
  <c r="K138" i="236"/>
  <c r="K139" i="236"/>
  <c r="K140" i="236"/>
  <c r="K141" i="236"/>
  <c r="K142" i="236"/>
  <c r="K143" i="236"/>
  <c r="K144" i="236"/>
  <c r="K145" i="236"/>
  <c r="K146" i="236"/>
  <c r="K147" i="236"/>
  <c r="K148" i="236"/>
  <c r="K149" i="236"/>
  <c r="K150" i="236"/>
  <c r="K151" i="236"/>
  <c r="K152" i="236"/>
  <c r="K153" i="236"/>
  <c r="K154" i="236"/>
  <c r="K155" i="236"/>
  <c r="K156" i="236"/>
  <c r="K157" i="236"/>
  <c r="K158" i="236"/>
  <c r="K159" i="236"/>
  <c r="K160" i="236"/>
  <c r="K161" i="236"/>
  <c r="K162" i="236"/>
  <c r="K163" i="236"/>
  <c r="K164" i="236"/>
  <c r="K165" i="236"/>
  <c r="K166" i="236"/>
  <c r="K167" i="236"/>
  <c r="K168" i="236"/>
  <c r="K169" i="236"/>
  <c r="K170" i="236"/>
  <c r="K171" i="236"/>
  <c r="K172" i="236"/>
  <c r="K173" i="236"/>
  <c r="K174" i="236"/>
  <c r="K175" i="236"/>
  <c r="K176" i="236"/>
  <c r="K65" i="236"/>
  <c r="L63" i="236"/>
  <c r="L64" i="236"/>
  <c r="L65" i="236"/>
  <c r="L66" i="236"/>
  <c r="L67" i="236"/>
  <c r="L68" i="236"/>
  <c r="L69" i="236"/>
  <c r="L70" i="236"/>
  <c r="L71" i="236"/>
  <c r="L72" i="236"/>
  <c r="L73" i="236"/>
  <c r="L74" i="236"/>
  <c r="L75" i="236"/>
  <c r="L76" i="236"/>
  <c r="L77" i="236"/>
  <c r="L78" i="236"/>
  <c r="L79" i="236"/>
  <c r="L80" i="236"/>
  <c r="L81" i="236"/>
  <c r="L82" i="236"/>
  <c r="L83" i="236"/>
  <c r="L84" i="236"/>
  <c r="L85" i="236"/>
  <c r="L86" i="236"/>
  <c r="L87" i="236"/>
  <c r="L88" i="236"/>
  <c r="L89" i="236"/>
  <c r="L90" i="236"/>
  <c r="L91" i="236"/>
  <c r="L92" i="236"/>
  <c r="L93" i="236"/>
  <c r="L94" i="236"/>
  <c r="L95" i="236"/>
  <c r="L96" i="236"/>
  <c r="L97" i="236"/>
  <c r="L98" i="236"/>
  <c r="L99" i="236"/>
  <c r="L100" i="236"/>
  <c r="L101" i="236"/>
  <c r="L102" i="236"/>
  <c r="L103" i="236"/>
  <c r="L104" i="236"/>
  <c r="L105" i="236"/>
  <c r="L106" i="236"/>
  <c r="L107" i="236"/>
  <c r="L108" i="236"/>
  <c r="L109" i="236"/>
  <c r="L110" i="236"/>
  <c r="L111" i="236"/>
  <c r="L112" i="236"/>
  <c r="L113" i="236"/>
  <c r="L114" i="236"/>
  <c r="L115" i="236"/>
  <c r="L116" i="236"/>
  <c r="L117" i="236"/>
  <c r="L118" i="236"/>
  <c r="L119" i="236"/>
  <c r="L120" i="236"/>
  <c r="L121" i="236"/>
  <c r="L122" i="236"/>
  <c r="L123" i="236"/>
  <c r="L124" i="236"/>
  <c r="L125" i="236"/>
  <c r="L126" i="236"/>
  <c r="L127" i="236"/>
  <c r="L128" i="236"/>
  <c r="L129" i="236"/>
  <c r="L130" i="236"/>
  <c r="L131" i="236"/>
  <c r="L132" i="236"/>
  <c r="L133" i="236"/>
  <c r="L134" i="236"/>
  <c r="L135" i="236"/>
  <c r="L136" i="236"/>
  <c r="L137" i="236"/>
  <c r="L138" i="236"/>
  <c r="L139" i="236"/>
  <c r="L140" i="236"/>
  <c r="L141" i="236"/>
  <c r="L142" i="236"/>
  <c r="L143" i="236"/>
  <c r="L144" i="236"/>
  <c r="L145" i="236"/>
  <c r="L146" i="236"/>
  <c r="L147" i="236"/>
  <c r="L148" i="236"/>
  <c r="L149" i="236"/>
  <c r="L150" i="236"/>
  <c r="L151" i="236"/>
  <c r="L152" i="236"/>
  <c r="L153" i="236"/>
  <c r="L154" i="236"/>
  <c r="L155" i="236"/>
  <c r="L156" i="236"/>
  <c r="L157" i="236"/>
  <c r="L158" i="236"/>
  <c r="L159" i="236"/>
  <c r="L160" i="236"/>
  <c r="L161" i="236"/>
  <c r="L162" i="236"/>
  <c r="L163" i="236"/>
  <c r="L164" i="236"/>
  <c r="L165" i="236"/>
  <c r="L166" i="236"/>
  <c r="L167" i="236"/>
  <c r="L168" i="236"/>
  <c r="L169" i="236"/>
  <c r="L170" i="236"/>
  <c r="L171" i="236"/>
  <c r="L172" i="236"/>
  <c r="L173" i="236"/>
  <c r="L174" i="236"/>
  <c r="L175" i="236"/>
  <c r="L176" i="236"/>
  <c r="L177" i="236"/>
  <c r="L178" i="236"/>
  <c r="L179" i="236"/>
  <c r="L180" i="236"/>
  <c r="L181" i="236"/>
  <c r="L182" i="236"/>
  <c r="L183" i="236"/>
  <c r="M63" i="236"/>
  <c r="M64" i="236"/>
  <c r="M85" i="236"/>
  <c r="M86" i="236"/>
  <c r="M87" i="236"/>
  <c r="M88" i="236"/>
  <c r="M89" i="236"/>
  <c r="M90" i="236"/>
  <c r="M91" i="236"/>
  <c r="M92" i="236"/>
  <c r="M93" i="236"/>
  <c r="M94" i="236"/>
  <c r="M95" i="236"/>
  <c r="M96" i="236"/>
  <c r="M97" i="236"/>
  <c r="M98" i="236"/>
  <c r="M99" i="236"/>
  <c r="M100" i="236"/>
  <c r="M101" i="236"/>
  <c r="M102" i="236"/>
  <c r="M103" i="236"/>
  <c r="M104" i="236"/>
  <c r="M105" i="236"/>
  <c r="M106" i="236"/>
  <c r="M107" i="236"/>
  <c r="M108" i="236"/>
  <c r="M109" i="236"/>
  <c r="M110" i="236"/>
  <c r="M111" i="236"/>
  <c r="M112" i="236"/>
  <c r="M113" i="236"/>
  <c r="M114" i="236"/>
  <c r="M115" i="236"/>
  <c r="M116" i="236"/>
  <c r="M117" i="236"/>
  <c r="M118" i="236"/>
  <c r="M119" i="236"/>
  <c r="M120" i="236"/>
  <c r="M121" i="236"/>
  <c r="M122" i="236"/>
  <c r="M123" i="236"/>
  <c r="M124" i="236"/>
  <c r="M125" i="236"/>
  <c r="M126" i="236"/>
  <c r="M127" i="236"/>
  <c r="M128" i="236"/>
  <c r="M129" i="236"/>
  <c r="M130" i="236"/>
  <c r="M131" i="236"/>
  <c r="M132" i="236"/>
  <c r="M133" i="236"/>
  <c r="M134" i="236"/>
  <c r="M135" i="236"/>
  <c r="M136" i="236"/>
  <c r="M137" i="236"/>
  <c r="M138" i="236"/>
  <c r="M139" i="236"/>
  <c r="M140" i="236"/>
  <c r="M141" i="236"/>
  <c r="M142" i="236"/>
  <c r="M143" i="236"/>
  <c r="M144" i="236"/>
  <c r="M145" i="236"/>
  <c r="M146" i="236"/>
  <c r="M147" i="236"/>
  <c r="M148" i="236"/>
  <c r="M149" i="236"/>
  <c r="M150" i="236"/>
  <c r="M151" i="236"/>
  <c r="M152" i="236"/>
  <c r="M153" i="236"/>
  <c r="M154" i="236"/>
  <c r="M155" i="236"/>
  <c r="M156" i="236"/>
  <c r="M157" i="236"/>
  <c r="M158" i="236"/>
  <c r="M159" i="236"/>
  <c r="M160" i="236"/>
  <c r="M161" i="236"/>
  <c r="M162" i="236"/>
  <c r="M163" i="236"/>
  <c r="M164" i="236"/>
  <c r="M165" i="236"/>
  <c r="M166" i="236"/>
  <c r="M167" i="236"/>
  <c r="M168" i="236"/>
  <c r="M169" i="236"/>
  <c r="M170" i="236"/>
  <c r="M171" i="236"/>
  <c r="M172" i="236"/>
  <c r="M173" i="236"/>
  <c r="M174" i="236"/>
  <c r="M175" i="236"/>
  <c r="M176" i="236"/>
  <c r="M177" i="236"/>
  <c r="M178" i="236"/>
  <c r="BY190" i="236" l="1"/>
  <c r="I180" i="240" l="1"/>
  <c r="L180" i="240" s="1"/>
  <c r="I181" i="240"/>
  <c r="L181" i="240" s="1"/>
  <c r="I182" i="240"/>
  <c r="L182" i="240" s="1"/>
  <c r="I183" i="240"/>
  <c r="L183" i="240" s="1"/>
  <c r="I184" i="240"/>
  <c r="L184" i="240" s="1"/>
  <c r="BF184" i="240" s="1"/>
  <c r="I185" i="240"/>
  <c r="L185" i="240" s="1"/>
  <c r="BF185" i="240" s="1"/>
  <c r="I186" i="240"/>
  <c r="BF183" i="240" l="1"/>
  <c r="BF182" i="240"/>
  <c r="BF181" i="240"/>
  <c r="BF180" i="240"/>
  <c r="AM184" i="240"/>
  <c r="AN184" i="240"/>
  <c r="AH184" i="240"/>
  <c r="AN183" i="240"/>
  <c r="AM183" i="240"/>
  <c r="AH183" i="240"/>
  <c r="AM186" i="240"/>
  <c r="AN186" i="240"/>
  <c r="AH186" i="240"/>
  <c r="AM182" i="240"/>
  <c r="AN182" i="240"/>
  <c r="AH182" i="240"/>
  <c r="AN185" i="240"/>
  <c r="AM185" i="240"/>
  <c r="AH185" i="240"/>
  <c r="AN181" i="240"/>
  <c r="AH181" i="240"/>
  <c r="AM181" i="240"/>
  <c r="I61" i="240"/>
  <c r="BD3" i="240" l="1"/>
  <c r="BH58" i="240"/>
  <c r="BI58" i="240" s="1"/>
  <c r="I21" i="253"/>
  <c r="BC58" i="236"/>
  <c r="BC57" i="236"/>
  <c r="BC56" i="236"/>
  <c r="BC55" i="236"/>
  <c r="AB57" i="236"/>
  <c r="M65" i="236" l="1"/>
  <c r="BD188" i="236"/>
  <c r="BC188" i="236"/>
  <c r="BD187" i="236"/>
  <c r="BC187" i="236"/>
  <c r="BD186" i="236"/>
  <c r="BC186" i="236"/>
  <c r="BD185" i="236"/>
  <c r="BC185" i="236"/>
  <c r="BD184" i="236"/>
  <c r="BC184" i="236"/>
  <c r="BD183" i="236"/>
  <c r="BC183" i="236"/>
  <c r="BD182" i="236"/>
  <c r="BC182" i="236"/>
  <c r="BD181" i="236"/>
  <c r="BC181" i="236"/>
  <c r="BD180" i="236"/>
  <c r="BC180" i="236"/>
  <c r="BD179" i="236"/>
  <c r="BC179" i="236"/>
  <c r="BD178" i="236"/>
  <c r="BC178" i="236"/>
  <c r="BD177" i="236"/>
  <c r="BC177" i="236"/>
  <c r="BD176" i="236"/>
  <c r="BC176" i="236"/>
  <c r="BD175" i="236"/>
  <c r="BC175" i="236"/>
  <c r="BD174" i="236"/>
  <c r="BC174" i="236"/>
  <c r="BD173" i="236"/>
  <c r="BC173" i="236"/>
  <c r="BD172" i="236"/>
  <c r="BC172" i="236"/>
  <c r="BD171" i="236"/>
  <c r="BC171" i="236"/>
  <c r="BD170" i="236"/>
  <c r="BC170" i="236"/>
  <c r="BD169" i="236"/>
  <c r="BC169" i="236"/>
  <c r="BD168" i="236"/>
  <c r="BC168" i="236"/>
  <c r="BD167" i="236"/>
  <c r="BC167" i="236"/>
  <c r="BD166" i="236"/>
  <c r="BC166" i="236"/>
  <c r="BD165" i="236"/>
  <c r="BC165" i="236"/>
  <c r="BD164" i="236"/>
  <c r="BC164" i="236"/>
  <c r="BD163" i="236"/>
  <c r="BC163" i="236"/>
  <c r="BD162" i="236"/>
  <c r="BC162" i="236"/>
  <c r="BD161" i="236"/>
  <c r="BC161" i="236"/>
  <c r="BD160" i="236"/>
  <c r="BC160" i="236"/>
  <c r="BD159" i="236"/>
  <c r="BC159" i="236"/>
  <c r="BD158" i="236"/>
  <c r="BC158" i="236"/>
  <c r="BD157" i="236"/>
  <c r="BC157" i="236"/>
  <c r="BD156" i="236"/>
  <c r="BC156" i="236"/>
  <c r="BD155" i="236"/>
  <c r="BC155" i="236"/>
  <c r="BD154" i="236"/>
  <c r="BC154" i="236"/>
  <c r="BD153" i="236"/>
  <c r="BC153" i="236"/>
  <c r="BD152" i="236"/>
  <c r="BC152" i="236"/>
  <c r="BD151" i="236"/>
  <c r="BC151" i="236"/>
  <c r="BD150" i="236"/>
  <c r="BC150" i="236"/>
  <c r="BD149" i="236"/>
  <c r="BC149" i="236"/>
  <c r="BD148" i="236"/>
  <c r="BC148" i="236"/>
  <c r="BD147" i="236"/>
  <c r="BC147" i="236"/>
  <c r="BD146" i="236"/>
  <c r="BC146" i="236"/>
  <c r="BD145" i="236"/>
  <c r="BC145" i="236"/>
  <c r="BD144" i="236"/>
  <c r="BC144" i="236"/>
  <c r="BD143" i="236"/>
  <c r="BC143" i="236"/>
  <c r="BD142" i="236"/>
  <c r="BC142" i="236"/>
  <c r="BD141" i="236"/>
  <c r="BC141" i="236"/>
  <c r="BD140" i="236"/>
  <c r="BC140" i="236"/>
  <c r="BD139" i="236"/>
  <c r="BC139" i="236"/>
  <c r="BD138" i="236"/>
  <c r="BC138" i="236"/>
  <c r="BD137" i="236"/>
  <c r="BC137" i="236"/>
  <c r="BD136" i="236"/>
  <c r="BC136" i="236"/>
  <c r="BD135" i="236"/>
  <c r="BC135" i="236"/>
  <c r="BD134" i="236"/>
  <c r="BC134" i="236"/>
  <c r="BD133" i="236"/>
  <c r="BC133" i="236"/>
  <c r="BD132" i="236"/>
  <c r="BC132" i="236"/>
  <c r="BD131" i="236"/>
  <c r="BC131" i="236"/>
  <c r="BD130" i="236"/>
  <c r="BC130" i="236"/>
  <c r="BD129" i="236"/>
  <c r="BC129" i="236"/>
  <c r="BD128" i="236"/>
  <c r="BC128" i="236"/>
  <c r="BD127" i="236"/>
  <c r="BC127" i="236"/>
  <c r="BD126" i="236"/>
  <c r="BC126" i="236"/>
  <c r="BD125" i="236"/>
  <c r="BC125" i="236"/>
  <c r="BD124" i="236"/>
  <c r="BC124" i="236"/>
  <c r="BD123" i="236"/>
  <c r="BC123" i="236"/>
  <c r="BD122" i="236"/>
  <c r="BC122" i="236"/>
  <c r="BD121" i="236"/>
  <c r="BC121" i="236"/>
  <c r="BD120" i="236"/>
  <c r="BC120" i="236"/>
  <c r="BD119" i="236"/>
  <c r="BC119" i="236"/>
  <c r="BD118" i="236"/>
  <c r="BC118" i="236"/>
  <c r="BD117" i="236"/>
  <c r="BC117" i="236"/>
  <c r="BD116" i="236"/>
  <c r="BC116" i="236"/>
  <c r="BD115" i="236"/>
  <c r="BC115" i="236"/>
  <c r="BD114" i="236"/>
  <c r="BC114" i="236"/>
  <c r="BD113" i="236"/>
  <c r="BC113" i="236"/>
  <c r="BD112" i="236"/>
  <c r="BC112" i="236"/>
  <c r="BD111" i="236"/>
  <c r="BC111" i="236"/>
  <c r="BD110" i="236"/>
  <c r="BC110" i="236"/>
  <c r="BD109" i="236"/>
  <c r="BC109" i="236"/>
  <c r="BD108" i="236"/>
  <c r="BC108" i="236"/>
  <c r="BD107" i="236"/>
  <c r="BC107" i="236"/>
  <c r="BD106" i="236"/>
  <c r="BC106" i="236"/>
  <c r="BD105" i="236"/>
  <c r="BC105" i="236"/>
  <c r="BD104" i="236"/>
  <c r="BC104" i="236"/>
  <c r="BD103" i="236"/>
  <c r="BC103" i="236"/>
  <c r="BD102" i="236"/>
  <c r="BC102" i="236"/>
  <c r="BC101" i="236"/>
  <c r="BC100" i="236"/>
  <c r="BC99" i="236"/>
  <c r="BC98" i="236"/>
  <c r="BC97" i="236"/>
  <c r="BC96" i="236"/>
  <c r="BC95" i="236"/>
  <c r="BC94" i="236"/>
  <c r="BD93" i="236"/>
  <c r="BC93" i="236"/>
  <c r="BD92" i="236"/>
  <c r="BC92" i="236"/>
  <c r="BD91" i="236"/>
  <c r="BC91" i="236"/>
  <c r="BD90" i="236"/>
  <c r="BC90" i="236"/>
  <c r="BD89" i="236"/>
  <c r="BC89" i="236"/>
  <c r="BD88" i="236"/>
  <c r="BC88" i="236"/>
  <c r="BD87" i="236"/>
  <c r="BC87" i="236"/>
  <c r="BD86" i="236"/>
  <c r="BC86" i="236"/>
  <c r="BD85" i="236"/>
  <c r="BC85" i="236"/>
  <c r="BD84" i="236"/>
  <c r="BC84" i="236"/>
  <c r="BD83" i="236"/>
  <c r="BC83" i="236"/>
  <c r="BD82" i="236"/>
  <c r="BC82" i="236"/>
  <c r="BD81" i="236"/>
  <c r="BC81" i="236"/>
  <c r="BD80" i="236"/>
  <c r="BC80" i="236"/>
  <c r="BD79" i="236"/>
  <c r="BC79" i="236"/>
  <c r="BD78" i="236"/>
  <c r="BC78" i="236"/>
  <c r="BD77" i="236"/>
  <c r="BC77" i="236"/>
  <c r="BD76" i="236"/>
  <c r="BC76" i="236"/>
  <c r="BD75" i="236"/>
  <c r="BC75" i="236"/>
  <c r="BC74" i="236"/>
  <c r="BC73" i="236"/>
  <c r="BC72" i="236"/>
  <c r="BC71" i="236"/>
  <c r="BC70" i="236"/>
  <c r="BC67" i="236"/>
  <c r="BC66" i="236"/>
  <c r="BD64" i="236"/>
  <c r="BD63" i="236"/>
  <c r="AV189" i="236"/>
  <c r="AU189" i="236"/>
  <c r="AS189" i="236"/>
  <c r="AR189" i="236"/>
  <c r="AV188" i="236"/>
  <c r="AU188" i="236"/>
  <c r="AS188" i="236"/>
  <c r="AR188" i="236"/>
  <c r="AV187" i="236"/>
  <c r="AU187" i="236"/>
  <c r="AS187" i="236"/>
  <c r="AR187" i="236"/>
  <c r="AV186" i="236"/>
  <c r="AU186" i="236"/>
  <c r="AS186" i="236"/>
  <c r="AR186" i="236"/>
  <c r="AV185" i="236"/>
  <c r="AU185" i="236"/>
  <c r="AS185" i="236"/>
  <c r="AR185" i="236"/>
  <c r="AV184" i="236"/>
  <c r="AU184" i="236"/>
  <c r="AS184" i="236"/>
  <c r="AR184" i="236"/>
  <c r="AV183" i="236"/>
  <c r="AU183" i="236"/>
  <c r="AS183" i="236"/>
  <c r="AR183" i="236"/>
  <c r="AV182" i="236"/>
  <c r="AU182" i="236"/>
  <c r="AS182" i="236"/>
  <c r="AR182" i="236"/>
  <c r="AV181" i="236"/>
  <c r="AU181" i="236"/>
  <c r="AS181" i="236"/>
  <c r="AR181" i="236"/>
  <c r="AV180" i="236"/>
  <c r="AU180" i="236"/>
  <c r="AS180" i="236"/>
  <c r="AR180" i="236"/>
  <c r="AV179" i="236"/>
  <c r="AU179" i="236"/>
  <c r="AS179" i="236"/>
  <c r="AR179" i="236"/>
  <c r="AV178" i="236"/>
  <c r="AU178" i="236"/>
  <c r="AS178" i="236"/>
  <c r="AR178" i="236"/>
  <c r="AV177" i="236"/>
  <c r="AU177" i="236"/>
  <c r="AS177" i="236"/>
  <c r="AR177" i="236"/>
  <c r="AV176" i="236"/>
  <c r="AU176" i="236"/>
  <c r="AS176" i="236"/>
  <c r="AR176" i="236"/>
  <c r="AV175" i="236"/>
  <c r="AU175" i="236"/>
  <c r="AS175" i="236"/>
  <c r="AR175" i="236"/>
  <c r="AV174" i="236"/>
  <c r="AU174" i="236"/>
  <c r="AS174" i="236"/>
  <c r="AR174" i="236"/>
  <c r="AV173" i="236"/>
  <c r="AU173" i="236"/>
  <c r="AS173" i="236"/>
  <c r="AR173" i="236"/>
  <c r="AV172" i="236"/>
  <c r="AU172" i="236"/>
  <c r="AS172" i="236"/>
  <c r="AR172" i="236"/>
  <c r="AV171" i="236"/>
  <c r="AU171" i="236"/>
  <c r="AS171" i="236"/>
  <c r="AR171" i="236"/>
  <c r="AV170" i="236"/>
  <c r="AU170" i="236"/>
  <c r="AS170" i="236"/>
  <c r="AR170" i="236"/>
  <c r="AV169" i="236"/>
  <c r="AU169" i="236"/>
  <c r="AS169" i="236"/>
  <c r="AR169" i="236"/>
  <c r="AV168" i="236"/>
  <c r="AU168" i="236"/>
  <c r="AS168" i="236"/>
  <c r="AR168" i="236"/>
  <c r="AV167" i="236"/>
  <c r="AU167" i="236"/>
  <c r="AS167" i="236"/>
  <c r="AR167" i="236"/>
  <c r="AV166" i="236"/>
  <c r="AU166" i="236"/>
  <c r="AS166" i="236"/>
  <c r="AR166" i="236"/>
  <c r="AV165" i="236"/>
  <c r="AU165" i="236"/>
  <c r="AS165" i="236"/>
  <c r="AR165" i="236"/>
  <c r="AV164" i="236"/>
  <c r="AU164" i="236"/>
  <c r="AS164" i="236"/>
  <c r="AR164" i="236"/>
  <c r="AV163" i="236"/>
  <c r="AU163" i="236"/>
  <c r="AS163" i="236"/>
  <c r="AR163" i="236"/>
  <c r="AV162" i="236"/>
  <c r="AU162" i="236"/>
  <c r="AS162" i="236"/>
  <c r="AR162" i="236"/>
  <c r="AV161" i="236"/>
  <c r="AU161" i="236"/>
  <c r="AS161" i="236"/>
  <c r="AR161" i="236"/>
  <c r="AV160" i="236"/>
  <c r="AU160" i="236"/>
  <c r="AS160" i="236"/>
  <c r="AR160" i="236"/>
  <c r="AV159" i="236"/>
  <c r="AU159" i="236"/>
  <c r="AS159" i="236"/>
  <c r="AR159" i="236"/>
  <c r="AV158" i="236"/>
  <c r="AU158" i="236"/>
  <c r="AS158" i="236"/>
  <c r="AR158" i="236"/>
  <c r="AV157" i="236"/>
  <c r="AU157" i="236"/>
  <c r="AS157" i="236"/>
  <c r="AR157" i="236"/>
  <c r="AV156" i="236"/>
  <c r="AU156" i="236"/>
  <c r="AS156" i="236"/>
  <c r="AR156" i="236"/>
  <c r="AV155" i="236"/>
  <c r="AU155" i="236"/>
  <c r="AS155" i="236"/>
  <c r="AR155" i="236"/>
  <c r="AV154" i="236"/>
  <c r="AU154" i="236"/>
  <c r="AS154" i="236"/>
  <c r="AR154" i="236"/>
  <c r="AV153" i="236"/>
  <c r="AU153" i="236"/>
  <c r="AS153" i="236"/>
  <c r="AR153" i="236"/>
  <c r="AV152" i="236"/>
  <c r="AU152" i="236"/>
  <c r="AS152" i="236"/>
  <c r="AR152" i="236"/>
  <c r="AV151" i="236"/>
  <c r="AU151" i="236"/>
  <c r="AS151" i="236"/>
  <c r="AR151" i="236"/>
  <c r="AV150" i="236"/>
  <c r="AU150" i="236"/>
  <c r="AS150" i="236"/>
  <c r="AR150" i="236"/>
  <c r="AV149" i="236"/>
  <c r="AU149" i="236"/>
  <c r="AS149" i="236"/>
  <c r="AR149" i="236"/>
  <c r="AV148" i="236"/>
  <c r="AU148" i="236"/>
  <c r="AS148" i="236"/>
  <c r="AR148" i="236"/>
  <c r="AV147" i="236"/>
  <c r="AU147" i="236"/>
  <c r="AS147" i="236"/>
  <c r="AR147" i="236"/>
  <c r="AV146" i="236"/>
  <c r="AU146" i="236"/>
  <c r="AS146" i="236"/>
  <c r="AR146" i="236"/>
  <c r="AV145" i="236"/>
  <c r="AU145" i="236"/>
  <c r="AS145" i="236"/>
  <c r="AR145" i="236"/>
  <c r="AV144" i="236"/>
  <c r="AU144" i="236"/>
  <c r="AS144" i="236"/>
  <c r="AR144" i="236"/>
  <c r="AV143" i="236"/>
  <c r="AU143" i="236"/>
  <c r="AS143" i="236"/>
  <c r="AR143" i="236"/>
  <c r="AV142" i="236"/>
  <c r="AU142" i="236"/>
  <c r="AS142" i="236"/>
  <c r="AR142" i="236"/>
  <c r="AV141" i="236"/>
  <c r="AU141" i="236"/>
  <c r="AS141" i="236"/>
  <c r="AR141" i="236"/>
  <c r="AV140" i="236"/>
  <c r="AU140" i="236"/>
  <c r="AS140" i="236"/>
  <c r="AR140" i="236"/>
  <c r="AV139" i="236"/>
  <c r="AU139" i="236"/>
  <c r="AS139" i="236"/>
  <c r="AR139" i="236"/>
  <c r="AV138" i="236"/>
  <c r="AU138" i="236"/>
  <c r="AS138" i="236"/>
  <c r="AR138" i="236"/>
  <c r="AV137" i="236"/>
  <c r="AU137" i="236"/>
  <c r="AS137" i="236"/>
  <c r="AR137" i="236"/>
  <c r="AV136" i="236"/>
  <c r="AU136" i="236"/>
  <c r="AS136" i="236"/>
  <c r="AR136" i="236"/>
  <c r="AV135" i="236"/>
  <c r="AU135" i="236"/>
  <c r="AS135" i="236"/>
  <c r="AR135" i="236"/>
  <c r="AV134" i="236"/>
  <c r="AU134" i="236"/>
  <c r="AS134" i="236"/>
  <c r="AR134" i="236"/>
  <c r="AV133" i="236"/>
  <c r="AU133" i="236"/>
  <c r="AS133" i="236"/>
  <c r="AR133" i="236"/>
  <c r="AV132" i="236"/>
  <c r="AU132" i="236"/>
  <c r="AS132" i="236"/>
  <c r="AR132" i="236"/>
  <c r="AV131" i="236"/>
  <c r="AU131" i="236"/>
  <c r="AS131" i="236"/>
  <c r="AR131" i="236"/>
  <c r="AV130" i="236"/>
  <c r="AU130" i="236"/>
  <c r="AS130" i="236"/>
  <c r="AR130" i="236"/>
  <c r="AV129" i="236"/>
  <c r="AU129" i="236"/>
  <c r="AS129" i="236"/>
  <c r="AR129" i="236"/>
  <c r="AV128" i="236"/>
  <c r="AU128" i="236"/>
  <c r="AS128" i="236"/>
  <c r="AR128" i="236"/>
  <c r="AV127" i="236"/>
  <c r="AU127" i="236"/>
  <c r="AS127" i="236"/>
  <c r="AR127" i="236"/>
  <c r="AV126" i="236"/>
  <c r="AU126" i="236"/>
  <c r="AS126" i="236"/>
  <c r="AR126" i="236"/>
  <c r="AV125" i="236"/>
  <c r="AU125" i="236"/>
  <c r="AS125" i="236"/>
  <c r="AR125" i="236"/>
  <c r="AV124" i="236"/>
  <c r="AU124" i="236"/>
  <c r="AS124" i="236"/>
  <c r="AR124" i="236"/>
  <c r="AV123" i="236"/>
  <c r="AU123" i="236"/>
  <c r="AS123" i="236"/>
  <c r="AR123" i="236"/>
  <c r="AV122" i="236"/>
  <c r="AU122" i="236"/>
  <c r="AS122" i="236"/>
  <c r="AR122" i="236"/>
  <c r="AV121" i="236"/>
  <c r="AU121" i="236"/>
  <c r="AS121" i="236"/>
  <c r="AR121" i="236"/>
  <c r="AV120" i="236"/>
  <c r="AU120" i="236"/>
  <c r="AS120" i="236"/>
  <c r="AR120" i="236"/>
  <c r="AV119" i="236"/>
  <c r="AU119" i="236"/>
  <c r="AS119" i="236"/>
  <c r="AR119" i="236"/>
  <c r="AV118" i="236"/>
  <c r="AU118" i="236"/>
  <c r="AS118" i="236"/>
  <c r="AR118" i="236"/>
  <c r="AV117" i="236"/>
  <c r="AU117" i="236"/>
  <c r="AS117" i="236"/>
  <c r="AR117" i="236"/>
  <c r="AV116" i="236"/>
  <c r="AU116" i="236"/>
  <c r="AS116" i="236"/>
  <c r="AR116" i="236"/>
  <c r="AV115" i="236"/>
  <c r="AU115" i="236"/>
  <c r="AS115" i="236"/>
  <c r="AR115" i="236"/>
  <c r="AV114" i="236"/>
  <c r="AU114" i="236"/>
  <c r="AS114" i="236"/>
  <c r="AR114" i="236"/>
  <c r="AV113" i="236"/>
  <c r="AU113" i="236"/>
  <c r="AS113" i="236"/>
  <c r="AR113" i="236"/>
  <c r="AV112" i="236"/>
  <c r="AU112" i="236"/>
  <c r="AS112" i="236"/>
  <c r="AR112" i="236"/>
  <c r="AV111" i="236"/>
  <c r="AU111" i="236"/>
  <c r="AS111" i="236"/>
  <c r="AR111" i="236"/>
  <c r="AV110" i="236"/>
  <c r="AU110" i="236"/>
  <c r="AS110" i="236"/>
  <c r="AR110" i="236"/>
  <c r="AV109" i="236"/>
  <c r="AU109" i="236"/>
  <c r="AS109" i="236"/>
  <c r="AR109" i="236"/>
  <c r="AV108" i="236"/>
  <c r="AU108" i="236"/>
  <c r="AS108" i="236"/>
  <c r="AR108" i="236"/>
  <c r="AV107" i="236"/>
  <c r="AU107" i="236"/>
  <c r="AS107" i="236"/>
  <c r="AR107" i="236"/>
  <c r="AV106" i="236"/>
  <c r="AU106" i="236"/>
  <c r="AS106" i="236"/>
  <c r="AR106" i="236"/>
  <c r="AV105" i="236"/>
  <c r="AU105" i="236"/>
  <c r="AS105" i="236"/>
  <c r="AR105" i="236"/>
  <c r="AV104" i="236"/>
  <c r="AU104" i="236"/>
  <c r="AS104" i="236"/>
  <c r="AR104" i="236"/>
  <c r="AV103" i="236"/>
  <c r="AU103" i="236"/>
  <c r="AS103" i="236"/>
  <c r="AR103" i="236"/>
  <c r="AV102" i="236"/>
  <c r="AU102" i="236"/>
  <c r="AS102" i="236"/>
  <c r="AR102" i="236"/>
  <c r="AV101" i="236"/>
  <c r="AU101" i="236"/>
  <c r="AS101" i="236"/>
  <c r="AR101" i="236"/>
  <c r="AV100" i="236"/>
  <c r="AU100" i="236"/>
  <c r="AS100" i="236"/>
  <c r="AR100" i="236"/>
  <c r="AV99" i="236"/>
  <c r="AU99" i="236"/>
  <c r="AS99" i="236"/>
  <c r="AR99" i="236"/>
  <c r="AV98" i="236"/>
  <c r="AU98" i="236"/>
  <c r="AS98" i="236"/>
  <c r="AR98" i="236"/>
  <c r="AV97" i="236"/>
  <c r="AU97" i="236"/>
  <c r="AS97" i="236"/>
  <c r="AR97" i="236"/>
  <c r="AV96" i="236"/>
  <c r="AU96" i="236"/>
  <c r="AS96" i="236"/>
  <c r="AR96" i="236"/>
  <c r="AV95" i="236"/>
  <c r="AU95" i="236"/>
  <c r="AS95" i="236"/>
  <c r="AR95" i="236"/>
  <c r="AV94" i="236"/>
  <c r="AU94" i="236"/>
  <c r="AS94" i="236"/>
  <c r="AR94" i="236"/>
  <c r="AV93" i="236"/>
  <c r="AU93" i="236"/>
  <c r="AS93" i="236"/>
  <c r="AR93" i="236"/>
  <c r="AV92" i="236"/>
  <c r="AU92" i="236"/>
  <c r="AS92" i="236"/>
  <c r="AR92" i="236"/>
  <c r="AV91" i="236"/>
  <c r="AU91" i="236"/>
  <c r="AS91" i="236"/>
  <c r="AR91" i="236"/>
  <c r="AV90" i="236"/>
  <c r="AU90" i="236"/>
  <c r="AS90" i="236"/>
  <c r="AR90" i="236"/>
  <c r="AV89" i="236"/>
  <c r="AU89" i="236"/>
  <c r="AS89" i="236"/>
  <c r="AR89" i="236"/>
  <c r="AV88" i="236"/>
  <c r="AU88" i="236"/>
  <c r="AS88" i="236"/>
  <c r="AR88" i="236"/>
  <c r="AV87" i="236"/>
  <c r="AU87" i="236"/>
  <c r="AS87" i="236"/>
  <c r="AR87" i="236"/>
  <c r="AV86" i="236"/>
  <c r="AU86" i="236"/>
  <c r="AS86" i="236"/>
  <c r="AR86" i="236"/>
  <c r="AV85" i="236"/>
  <c r="AU85" i="236"/>
  <c r="AS85" i="236"/>
  <c r="AR85" i="236"/>
  <c r="AV84" i="236"/>
  <c r="AU84" i="236"/>
  <c r="AS84" i="236"/>
  <c r="AR84" i="236"/>
  <c r="AV83" i="236"/>
  <c r="AU83" i="236"/>
  <c r="AS83" i="236"/>
  <c r="AR83" i="236"/>
  <c r="AV82" i="236"/>
  <c r="AU82" i="236"/>
  <c r="AS82" i="236"/>
  <c r="AR82" i="236"/>
  <c r="AV81" i="236"/>
  <c r="AU81" i="236"/>
  <c r="AS81" i="236"/>
  <c r="AR81" i="236"/>
  <c r="AV80" i="236"/>
  <c r="AU80" i="236"/>
  <c r="AS80" i="236"/>
  <c r="AR80" i="236"/>
  <c r="AV79" i="236"/>
  <c r="AU79" i="236"/>
  <c r="AS79" i="236"/>
  <c r="AR79" i="236"/>
  <c r="AV78" i="236"/>
  <c r="AU78" i="236"/>
  <c r="AS78" i="236"/>
  <c r="AR78" i="236"/>
  <c r="AV77" i="236"/>
  <c r="AU77" i="236"/>
  <c r="AS77" i="236"/>
  <c r="AR77" i="236"/>
  <c r="AV76" i="236"/>
  <c r="AU76" i="236"/>
  <c r="AS76" i="236"/>
  <c r="AR76" i="236"/>
  <c r="AV75" i="236"/>
  <c r="AU75" i="236"/>
  <c r="AS75" i="236"/>
  <c r="AR75" i="236"/>
  <c r="AV74" i="236"/>
  <c r="AU74" i="236"/>
  <c r="AS74" i="236"/>
  <c r="AR74" i="236"/>
  <c r="AV73" i="236"/>
  <c r="AU73" i="236"/>
  <c r="AS73" i="236"/>
  <c r="AR73" i="236"/>
  <c r="AV72" i="236"/>
  <c r="AU72" i="236"/>
  <c r="AS72" i="236"/>
  <c r="AR72" i="236"/>
  <c r="AV71" i="236"/>
  <c r="AU71" i="236"/>
  <c r="AS71" i="236"/>
  <c r="AR71" i="236"/>
  <c r="AV70" i="236"/>
  <c r="AU70" i="236"/>
  <c r="AS70" i="236"/>
  <c r="AR70" i="236"/>
  <c r="AV69" i="236"/>
  <c r="AU69" i="236"/>
  <c r="AS69" i="236"/>
  <c r="AR69" i="236"/>
  <c r="AV68" i="236"/>
  <c r="AU68" i="236"/>
  <c r="AS68" i="236"/>
  <c r="AR68" i="236"/>
  <c r="AV67" i="236"/>
  <c r="AU67" i="236"/>
  <c r="AS67" i="236"/>
  <c r="AR67" i="236"/>
  <c r="AV66" i="236"/>
  <c r="AU66" i="236"/>
  <c r="AS66" i="236"/>
  <c r="AR66" i="236"/>
  <c r="AV65" i="236"/>
  <c r="AU65" i="236"/>
  <c r="AS65" i="236"/>
  <c r="AR65" i="236"/>
  <c r="AV64" i="236"/>
  <c r="AU64" i="236"/>
  <c r="AS64" i="236"/>
  <c r="AR64" i="236"/>
  <c r="AV63" i="236"/>
  <c r="AU63" i="236"/>
  <c r="AS63" i="236"/>
  <c r="AR63" i="236"/>
  <c r="AP188" i="236"/>
  <c r="AO188" i="236"/>
  <c r="AN188" i="236"/>
  <c r="AM188" i="236"/>
  <c r="AL188" i="236"/>
  <c r="AJ188" i="236"/>
  <c r="AP187" i="236"/>
  <c r="AO187" i="236"/>
  <c r="AN187" i="236"/>
  <c r="AM187" i="236"/>
  <c r="AL187" i="236"/>
  <c r="AJ187" i="236"/>
  <c r="AP186" i="236"/>
  <c r="AO186" i="236"/>
  <c r="AN186" i="236"/>
  <c r="AM186" i="236"/>
  <c r="AL186" i="236"/>
  <c r="AJ186" i="236"/>
  <c r="AP185" i="236"/>
  <c r="AO185" i="236"/>
  <c r="AN185" i="236"/>
  <c r="AM185" i="236"/>
  <c r="AL185" i="236"/>
  <c r="AJ185" i="236"/>
  <c r="AP184" i="236"/>
  <c r="AO184" i="236"/>
  <c r="AN184" i="236"/>
  <c r="AM184" i="236"/>
  <c r="AL184" i="236"/>
  <c r="AJ184" i="236"/>
  <c r="AP183" i="236"/>
  <c r="AO183" i="236"/>
  <c r="AN183" i="236"/>
  <c r="AM183" i="236"/>
  <c r="AL183" i="236"/>
  <c r="AJ183" i="236"/>
  <c r="AP182" i="236"/>
  <c r="AO182" i="236"/>
  <c r="AN182" i="236"/>
  <c r="AM182" i="236"/>
  <c r="AL182" i="236"/>
  <c r="AJ182" i="236"/>
  <c r="AP181" i="236"/>
  <c r="AO181" i="236"/>
  <c r="AN181" i="236"/>
  <c r="AM181" i="236"/>
  <c r="AL181" i="236"/>
  <c r="AJ181" i="236"/>
  <c r="AP180" i="236"/>
  <c r="AO180" i="236"/>
  <c r="AN180" i="236"/>
  <c r="AM180" i="236"/>
  <c r="AL180" i="236"/>
  <c r="AJ180" i="236"/>
  <c r="AP179" i="236"/>
  <c r="AO179" i="236"/>
  <c r="AN179" i="236"/>
  <c r="AM179" i="236"/>
  <c r="AL179" i="236"/>
  <c r="AJ179" i="236"/>
  <c r="AP178" i="236"/>
  <c r="AO178" i="236"/>
  <c r="AN178" i="236"/>
  <c r="AM178" i="236"/>
  <c r="AL178" i="236"/>
  <c r="AJ178" i="236"/>
  <c r="AP177" i="236"/>
  <c r="AO177" i="236"/>
  <c r="AN177" i="236"/>
  <c r="AM177" i="236"/>
  <c r="AL177" i="236"/>
  <c r="AJ177" i="236"/>
  <c r="AP176" i="236"/>
  <c r="AO176" i="236"/>
  <c r="AN176" i="236"/>
  <c r="AM176" i="236"/>
  <c r="AL176" i="236"/>
  <c r="AJ176" i="236"/>
  <c r="AP175" i="236"/>
  <c r="AO175" i="236"/>
  <c r="AN175" i="236"/>
  <c r="AM175" i="236"/>
  <c r="AL175" i="236"/>
  <c r="AJ175" i="236"/>
  <c r="AP174" i="236"/>
  <c r="AO174" i="236"/>
  <c r="AN174" i="236"/>
  <c r="AM174" i="236"/>
  <c r="AL174" i="236"/>
  <c r="AJ174" i="236"/>
  <c r="AP173" i="236"/>
  <c r="AO173" i="236"/>
  <c r="AN173" i="236"/>
  <c r="AL173" i="236"/>
  <c r="AJ173" i="236"/>
  <c r="AP172" i="236"/>
  <c r="AO172" i="236"/>
  <c r="AN172" i="236"/>
  <c r="AM172" i="236"/>
  <c r="AL172" i="236"/>
  <c r="AJ172" i="236"/>
  <c r="AP171" i="236"/>
  <c r="AO171" i="236"/>
  <c r="AN171" i="236"/>
  <c r="AM171" i="236"/>
  <c r="AL171" i="236"/>
  <c r="AJ171" i="236"/>
  <c r="AP170" i="236"/>
  <c r="AO170" i="236"/>
  <c r="AN170" i="236"/>
  <c r="AM170" i="236"/>
  <c r="AL170" i="236"/>
  <c r="AJ170" i="236"/>
  <c r="AP169" i="236"/>
  <c r="AO169" i="236"/>
  <c r="AN169" i="236"/>
  <c r="AM169" i="236"/>
  <c r="AL169" i="236"/>
  <c r="AJ169" i="236"/>
  <c r="AP168" i="236"/>
  <c r="AO168" i="236"/>
  <c r="AN168" i="236"/>
  <c r="AM168" i="236"/>
  <c r="AL168" i="236"/>
  <c r="AJ168" i="236"/>
  <c r="AP167" i="236"/>
  <c r="AO167" i="236"/>
  <c r="AN167" i="236"/>
  <c r="AM167" i="236"/>
  <c r="AL167" i="236"/>
  <c r="AJ167" i="236"/>
  <c r="AP166" i="236"/>
  <c r="AO166" i="236"/>
  <c r="AN166" i="236"/>
  <c r="AM166" i="236"/>
  <c r="AL166" i="236"/>
  <c r="AJ166" i="236"/>
  <c r="AP165" i="236"/>
  <c r="AO165" i="236"/>
  <c r="AN165" i="236"/>
  <c r="AM165" i="236"/>
  <c r="AL165" i="236"/>
  <c r="AJ165" i="236"/>
  <c r="AP164" i="236"/>
  <c r="AO164" i="236"/>
  <c r="AN164" i="236"/>
  <c r="AM164" i="236"/>
  <c r="AL164" i="236"/>
  <c r="AJ164" i="236"/>
  <c r="AP163" i="236"/>
  <c r="AO163" i="236"/>
  <c r="AN163" i="236"/>
  <c r="AM163" i="236"/>
  <c r="AL163" i="236"/>
  <c r="AJ163" i="236"/>
  <c r="AP162" i="236"/>
  <c r="AO162" i="236"/>
  <c r="AN162" i="236"/>
  <c r="AM162" i="236"/>
  <c r="AL162" i="236"/>
  <c r="AJ162" i="236"/>
  <c r="AP161" i="236"/>
  <c r="AO161" i="236"/>
  <c r="AN161" i="236"/>
  <c r="AM161" i="236"/>
  <c r="AL161" i="236"/>
  <c r="AJ161" i="236"/>
  <c r="AP160" i="236"/>
  <c r="AO160" i="236"/>
  <c r="AN160" i="236"/>
  <c r="AM160" i="236"/>
  <c r="AL160" i="236"/>
  <c r="AJ160" i="236"/>
  <c r="AP159" i="236"/>
  <c r="AO159" i="236"/>
  <c r="AN159" i="236"/>
  <c r="AM159" i="236"/>
  <c r="AL159" i="236"/>
  <c r="AJ159" i="236"/>
  <c r="AP158" i="236"/>
  <c r="AO158" i="236"/>
  <c r="AN158" i="236"/>
  <c r="AM158" i="236"/>
  <c r="AL158" i="236"/>
  <c r="AJ158" i="236"/>
  <c r="AP157" i="236"/>
  <c r="AO157" i="236"/>
  <c r="AN157" i="236"/>
  <c r="AM157" i="236"/>
  <c r="AL157" i="236"/>
  <c r="AJ157" i="236"/>
  <c r="AP156" i="236"/>
  <c r="AO156" i="236"/>
  <c r="AN156" i="236"/>
  <c r="AM156" i="236"/>
  <c r="AL156" i="236"/>
  <c r="AJ156" i="236"/>
  <c r="AP155" i="236"/>
  <c r="AO155" i="236"/>
  <c r="AN155" i="236"/>
  <c r="AM155" i="236"/>
  <c r="AL155" i="236"/>
  <c r="AJ155" i="236"/>
  <c r="AP154" i="236"/>
  <c r="AO154" i="236"/>
  <c r="AN154" i="236"/>
  <c r="AM154" i="236"/>
  <c r="AL154" i="236"/>
  <c r="AJ154" i="236"/>
  <c r="AP153" i="236"/>
  <c r="AO153" i="236"/>
  <c r="AN153" i="236"/>
  <c r="AM153" i="236"/>
  <c r="AL153" i="236"/>
  <c r="AJ153" i="236"/>
  <c r="AP152" i="236"/>
  <c r="AO152" i="236"/>
  <c r="AN152" i="236"/>
  <c r="AM152" i="236"/>
  <c r="AL152" i="236"/>
  <c r="AJ152" i="236"/>
  <c r="AP151" i="236"/>
  <c r="AO151" i="236"/>
  <c r="AN151" i="236"/>
  <c r="AM151" i="236"/>
  <c r="AL151" i="236"/>
  <c r="AJ151" i="236"/>
  <c r="AP150" i="236"/>
  <c r="AO150" i="236"/>
  <c r="AN150" i="236"/>
  <c r="AM150" i="236"/>
  <c r="AL150" i="236"/>
  <c r="AJ150" i="236"/>
  <c r="AP149" i="236"/>
  <c r="AO149" i="236"/>
  <c r="AN149" i="236"/>
  <c r="AM149" i="236"/>
  <c r="AL149" i="236"/>
  <c r="AJ149" i="236"/>
  <c r="AP148" i="236"/>
  <c r="AO148" i="236"/>
  <c r="AN148" i="236"/>
  <c r="AM148" i="236"/>
  <c r="AL148" i="236"/>
  <c r="AJ148" i="236"/>
  <c r="AP147" i="236"/>
  <c r="AO147" i="236"/>
  <c r="AN147" i="236"/>
  <c r="AM147" i="236"/>
  <c r="AL147" i="236"/>
  <c r="AJ147" i="236"/>
  <c r="AP146" i="236"/>
  <c r="AO146" i="236"/>
  <c r="AN146" i="236"/>
  <c r="AM146" i="236"/>
  <c r="AL146" i="236"/>
  <c r="AJ146" i="236"/>
  <c r="AP145" i="236"/>
  <c r="AO145" i="236"/>
  <c r="AN145" i="236"/>
  <c r="AM145" i="236"/>
  <c r="AL145" i="236"/>
  <c r="AJ145" i="236"/>
  <c r="AP144" i="236"/>
  <c r="AO144" i="236"/>
  <c r="AN144" i="236"/>
  <c r="AM144" i="236"/>
  <c r="AL144" i="236"/>
  <c r="AJ144" i="236"/>
  <c r="AP143" i="236"/>
  <c r="AO143" i="236"/>
  <c r="AN143" i="236"/>
  <c r="AM143" i="236"/>
  <c r="AL143" i="236"/>
  <c r="AJ143" i="236"/>
  <c r="AP142" i="236"/>
  <c r="AO142" i="236"/>
  <c r="AN142" i="236"/>
  <c r="AM142" i="236"/>
  <c r="AL142" i="236"/>
  <c r="AJ142" i="236"/>
  <c r="AP141" i="236"/>
  <c r="AO141" i="236"/>
  <c r="AN141" i="236"/>
  <c r="AM141" i="236"/>
  <c r="AL141" i="236"/>
  <c r="AJ141" i="236"/>
  <c r="AP140" i="236"/>
  <c r="AO140" i="236"/>
  <c r="AN140" i="236"/>
  <c r="AM140" i="236"/>
  <c r="AL140" i="236"/>
  <c r="AJ140" i="236"/>
  <c r="AP139" i="236"/>
  <c r="AO139" i="236"/>
  <c r="AN139" i="236"/>
  <c r="AM139" i="236"/>
  <c r="AL139" i="236"/>
  <c r="AJ139" i="236"/>
  <c r="AP138" i="236"/>
  <c r="AO138" i="236"/>
  <c r="AN138" i="236"/>
  <c r="AM138" i="236"/>
  <c r="AL138" i="236"/>
  <c r="AJ138" i="236"/>
  <c r="AP137" i="236"/>
  <c r="AO137" i="236"/>
  <c r="AN137" i="236"/>
  <c r="AM137" i="236"/>
  <c r="AL137" i="236"/>
  <c r="AJ137" i="236"/>
  <c r="AP136" i="236"/>
  <c r="AO136" i="236"/>
  <c r="AN136" i="236"/>
  <c r="AM136" i="236"/>
  <c r="AL136" i="236"/>
  <c r="AJ136" i="236"/>
  <c r="AP135" i="236"/>
  <c r="AO135" i="236"/>
  <c r="AN135" i="236"/>
  <c r="AM135" i="236"/>
  <c r="AL135" i="236"/>
  <c r="AJ135" i="236"/>
  <c r="AP134" i="236"/>
  <c r="AO134" i="236"/>
  <c r="AN134" i="236"/>
  <c r="AM134" i="236"/>
  <c r="AL134" i="236"/>
  <c r="AJ134" i="236"/>
  <c r="AP133" i="236"/>
  <c r="AO133" i="236"/>
  <c r="AN133" i="236"/>
  <c r="AM133" i="236"/>
  <c r="AL133" i="236"/>
  <c r="AJ133" i="236"/>
  <c r="AP132" i="236"/>
  <c r="AO132" i="236"/>
  <c r="AN132" i="236"/>
  <c r="AM132" i="236"/>
  <c r="AL132" i="236"/>
  <c r="AJ132" i="236"/>
  <c r="AP131" i="236"/>
  <c r="AO131" i="236"/>
  <c r="AN131" i="236"/>
  <c r="AM131" i="236"/>
  <c r="AL131" i="236"/>
  <c r="AJ131" i="236"/>
  <c r="AP130" i="236"/>
  <c r="AO130" i="236"/>
  <c r="AN130" i="236"/>
  <c r="AM130" i="236"/>
  <c r="AL130" i="236"/>
  <c r="AJ130" i="236"/>
  <c r="AP129" i="236"/>
  <c r="AO129" i="236"/>
  <c r="AN129" i="236"/>
  <c r="AM129" i="236"/>
  <c r="AL129" i="236"/>
  <c r="AJ129" i="236"/>
  <c r="AP128" i="236"/>
  <c r="AO128" i="236"/>
  <c r="AN128" i="236"/>
  <c r="AM128" i="236"/>
  <c r="AL128" i="236"/>
  <c r="AJ128" i="236"/>
  <c r="AP127" i="236"/>
  <c r="AO127" i="236"/>
  <c r="AN127" i="236"/>
  <c r="AM127" i="236"/>
  <c r="AL127" i="236"/>
  <c r="AJ127" i="236"/>
  <c r="AP126" i="236"/>
  <c r="AO126" i="236"/>
  <c r="AN126" i="236"/>
  <c r="AM126" i="236"/>
  <c r="AL126" i="236"/>
  <c r="AJ126" i="236"/>
  <c r="AP125" i="236"/>
  <c r="AO125" i="236"/>
  <c r="AN125" i="236"/>
  <c r="AM125" i="236"/>
  <c r="AL125" i="236"/>
  <c r="AJ125" i="236"/>
  <c r="AP124" i="236"/>
  <c r="AO124" i="236"/>
  <c r="AN124" i="236"/>
  <c r="AM124" i="236"/>
  <c r="AL124" i="236"/>
  <c r="AJ124" i="236"/>
  <c r="AP123" i="236"/>
  <c r="AO123" i="236"/>
  <c r="AN123" i="236"/>
  <c r="AM123" i="236"/>
  <c r="AL123" i="236"/>
  <c r="AJ123" i="236"/>
  <c r="AP122" i="236"/>
  <c r="AO122" i="236"/>
  <c r="AN122" i="236"/>
  <c r="AM122" i="236"/>
  <c r="AL122" i="236"/>
  <c r="AJ122" i="236"/>
  <c r="AP121" i="236"/>
  <c r="AO121" i="236"/>
  <c r="AN121" i="236"/>
  <c r="AM121" i="236"/>
  <c r="AL121" i="236"/>
  <c r="AJ121" i="236"/>
  <c r="AP120" i="236"/>
  <c r="AO120" i="236"/>
  <c r="AN120" i="236"/>
  <c r="AM120" i="236"/>
  <c r="AL120" i="236"/>
  <c r="AJ120" i="236"/>
  <c r="AP119" i="236"/>
  <c r="AO119" i="236"/>
  <c r="AN119" i="236"/>
  <c r="AM119" i="236"/>
  <c r="AL119" i="236"/>
  <c r="AJ119" i="236"/>
  <c r="AP118" i="236"/>
  <c r="AO118" i="236"/>
  <c r="AN118" i="236"/>
  <c r="AM118" i="236"/>
  <c r="AL118" i="236"/>
  <c r="AJ118" i="236"/>
  <c r="AP117" i="236"/>
  <c r="AO117" i="236"/>
  <c r="AN117" i="236"/>
  <c r="AM117" i="236"/>
  <c r="AL117" i="236"/>
  <c r="AJ117" i="236"/>
  <c r="AP116" i="236"/>
  <c r="AO116" i="236"/>
  <c r="AN116" i="236"/>
  <c r="AM116" i="236"/>
  <c r="AL116" i="236"/>
  <c r="AJ116" i="236"/>
  <c r="AP115" i="236"/>
  <c r="AO115" i="236"/>
  <c r="AN115" i="236"/>
  <c r="AM115" i="236"/>
  <c r="AL115" i="236"/>
  <c r="AJ115" i="236"/>
  <c r="AP114" i="236"/>
  <c r="AO114" i="236"/>
  <c r="AN114" i="236"/>
  <c r="AM114" i="236"/>
  <c r="AL114" i="236"/>
  <c r="AJ114" i="236"/>
  <c r="AP113" i="236"/>
  <c r="AO113" i="236"/>
  <c r="AN113" i="236"/>
  <c r="AM113" i="236"/>
  <c r="AL113" i="236"/>
  <c r="AJ113" i="236"/>
  <c r="AP112" i="236"/>
  <c r="AO112" i="236"/>
  <c r="AN112" i="236"/>
  <c r="AM112" i="236"/>
  <c r="AL112" i="236"/>
  <c r="AJ112" i="236"/>
  <c r="AP111" i="236"/>
  <c r="AO111" i="236"/>
  <c r="AN111" i="236"/>
  <c r="AM111" i="236"/>
  <c r="AL111" i="236"/>
  <c r="AJ111" i="236"/>
  <c r="AP110" i="236"/>
  <c r="AO110" i="236"/>
  <c r="AN110" i="236"/>
  <c r="AM110" i="236"/>
  <c r="AL110" i="236"/>
  <c r="AJ110" i="236"/>
  <c r="AP109" i="236"/>
  <c r="AO109" i="236"/>
  <c r="AN109" i="236"/>
  <c r="AM109" i="236"/>
  <c r="AL109" i="236"/>
  <c r="AJ109" i="236"/>
  <c r="AP108" i="236"/>
  <c r="AO108" i="236"/>
  <c r="AN108" i="236"/>
  <c r="AM108" i="236"/>
  <c r="AL108" i="236"/>
  <c r="AJ108" i="236"/>
  <c r="AP107" i="236"/>
  <c r="AO107" i="236"/>
  <c r="AN107" i="236"/>
  <c r="AM107" i="236"/>
  <c r="AL107" i="236"/>
  <c r="AJ107" i="236"/>
  <c r="AP106" i="236"/>
  <c r="AO106" i="236"/>
  <c r="AN106" i="236"/>
  <c r="AM106" i="236"/>
  <c r="AL106" i="236"/>
  <c r="AJ106" i="236"/>
  <c r="AP105" i="236"/>
  <c r="AO105" i="236"/>
  <c r="AN105" i="236"/>
  <c r="AM105" i="236"/>
  <c r="AL105" i="236"/>
  <c r="AJ105" i="236"/>
  <c r="AP104" i="236"/>
  <c r="AO104" i="236"/>
  <c r="AN104" i="236"/>
  <c r="AM104" i="236"/>
  <c r="AL104" i="236"/>
  <c r="AJ104" i="236"/>
  <c r="AP103" i="236"/>
  <c r="AO103" i="236"/>
  <c r="AN103" i="236"/>
  <c r="AM103" i="236"/>
  <c r="AL103" i="236"/>
  <c r="AJ103" i="236"/>
  <c r="AP102" i="236"/>
  <c r="AO102" i="236"/>
  <c r="AN102" i="236"/>
  <c r="AM102" i="236"/>
  <c r="AL102" i="236"/>
  <c r="AJ102" i="236"/>
  <c r="AP101" i="236"/>
  <c r="AO101" i="236"/>
  <c r="AN101" i="236"/>
  <c r="AM101" i="236"/>
  <c r="AL101" i="236"/>
  <c r="AJ101" i="236"/>
  <c r="AP100" i="236"/>
  <c r="AO100" i="236"/>
  <c r="AN100" i="236"/>
  <c r="AM100" i="236"/>
  <c r="AL100" i="236"/>
  <c r="AJ100" i="236"/>
  <c r="AP99" i="236"/>
  <c r="AO99" i="236"/>
  <c r="AN99" i="236"/>
  <c r="AM99" i="236"/>
  <c r="AL99" i="236"/>
  <c r="AJ99" i="236"/>
  <c r="AP98" i="236"/>
  <c r="AO98" i="236"/>
  <c r="AN98" i="236"/>
  <c r="AM98" i="236"/>
  <c r="AL98" i="236"/>
  <c r="AJ98" i="236"/>
  <c r="AP97" i="236"/>
  <c r="AO97" i="236"/>
  <c r="AN97" i="236"/>
  <c r="AM97" i="236"/>
  <c r="AL97" i="236"/>
  <c r="AJ97" i="236"/>
  <c r="AP96" i="236"/>
  <c r="AO96" i="236"/>
  <c r="AN96" i="236"/>
  <c r="AM96" i="236"/>
  <c r="AL96" i="236"/>
  <c r="AJ96" i="236"/>
  <c r="AP95" i="236"/>
  <c r="AO95" i="236"/>
  <c r="AN95" i="236"/>
  <c r="AM95" i="236"/>
  <c r="AL95" i="236"/>
  <c r="AJ95" i="236"/>
  <c r="AP94" i="236"/>
  <c r="AO94" i="236"/>
  <c r="AN94" i="236"/>
  <c r="AM94" i="236"/>
  <c r="AL94" i="236"/>
  <c r="AJ94" i="236"/>
  <c r="AP93" i="236"/>
  <c r="AO93" i="236"/>
  <c r="AN93" i="236"/>
  <c r="AM93" i="236"/>
  <c r="AL93" i="236"/>
  <c r="AJ93" i="236"/>
  <c r="AP92" i="236"/>
  <c r="AO92" i="236"/>
  <c r="AN92" i="236"/>
  <c r="AM92" i="236"/>
  <c r="AL92" i="236"/>
  <c r="AJ92" i="236"/>
  <c r="AP91" i="236"/>
  <c r="AO91" i="236"/>
  <c r="AN91" i="236"/>
  <c r="AM91" i="236"/>
  <c r="AL91" i="236"/>
  <c r="AJ91" i="236"/>
  <c r="AP90" i="236"/>
  <c r="AO90" i="236"/>
  <c r="AN90" i="236"/>
  <c r="AM90" i="236"/>
  <c r="AL90" i="236"/>
  <c r="AJ90" i="236"/>
  <c r="AP89" i="236"/>
  <c r="AO89" i="236"/>
  <c r="AN89" i="236"/>
  <c r="AM89" i="236"/>
  <c r="AL89" i="236"/>
  <c r="AJ89" i="236"/>
  <c r="AP88" i="236"/>
  <c r="AO88" i="236"/>
  <c r="AN88" i="236"/>
  <c r="AM88" i="236"/>
  <c r="AL88" i="236"/>
  <c r="AJ88" i="236"/>
  <c r="AP87" i="236"/>
  <c r="AN87" i="236"/>
  <c r="AM87" i="236"/>
  <c r="AL87" i="236"/>
  <c r="AJ87" i="236"/>
  <c r="AP86" i="236"/>
  <c r="AN86" i="236"/>
  <c r="AM86" i="236"/>
  <c r="AL86" i="236"/>
  <c r="AJ86" i="236"/>
  <c r="AP85" i="236"/>
  <c r="AN85" i="236"/>
  <c r="AM85" i="236"/>
  <c r="AL85" i="236"/>
  <c r="AJ85" i="236"/>
  <c r="AP84" i="236"/>
  <c r="AN84" i="236"/>
  <c r="AM84" i="236"/>
  <c r="AL84" i="236"/>
  <c r="AJ84" i="236"/>
  <c r="AP83" i="236"/>
  <c r="AN83" i="236"/>
  <c r="AM83" i="236"/>
  <c r="AL83" i="236"/>
  <c r="AJ83" i="236"/>
  <c r="AP82" i="236"/>
  <c r="AN82" i="236"/>
  <c r="AM82" i="236"/>
  <c r="AL82" i="236"/>
  <c r="AJ82" i="236"/>
  <c r="AP81" i="236"/>
  <c r="AN81" i="236"/>
  <c r="AM81" i="236"/>
  <c r="AL81" i="236"/>
  <c r="AJ81" i="236"/>
  <c r="AP80" i="236"/>
  <c r="AN80" i="236"/>
  <c r="AM80" i="236"/>
  <c r="AL80" i="236"/>
  <c r="AJ80" i="236"/>
  <c r="AP79" i="236"/>
  <c r="AN79" i="236"/>
  <c r="AM79" i="236"/>
  <c r="AL79" i="236"/>
  <c r="AJ79" i="236"/>
  <c r="AP78" i="236"/>
  <c r="AN78" i="236"/>
  <c r="AM78" i="236"/>
  <c r="AL78" i="236"/>
  <c r="AJ78" i="236"/>
  <c r="AP77" i="236"/>
  <c r="AN77" i="236"/>
  <c r="AM77" i="236"/>
  <c r="AL77" i="236"/>
  <c r="AJ77" i="236"/>
  <c r="AP76" i="236"/>
  <c r="AN76" i="236"/>
  <c r="AM76" i="236"/>
  <c r="AL76" i="236"/>
  <c r="AJ76" i="236"/>
  <c r="AP75" i="236"/>
  <c r="AN75" i="236"/>
  <c r="AM75" i="236"/>
  <c r="AL75" i="236"/>
  <c r="AJ75" i="236"/>
  <c r="AP74" i="236"/>
  <c r="AN74" i="236"/>
  <c r="AM74" i="236"/>
  <c r="AL74" i="236"/>
  <c r="AJ74" i="236"/>
  <c r="AP73" i="236"/>
  <c r="AN73" i="236"/>
  <c r="AM73" i="236"/>
  <c r="AL73" i="236"/>
  <c r="AJ73" i="236"/>
  <c r="AP72" i="236"/>
  <c r="AN72" i="236"/>
  <c r="AM72" i="236"/>
  <c r="AL72" i="236"/>
  <c r="AJ72" i="236"/>
  <c r="AP71" i="236"/>
  <c r="AN71" i="236"/>
  <c r="AM71" i="236"/>
  <c r="AL71" i="236"/>
  <c r="AJ71" i="236"/>
  <c r="AP70" i="236"/>
  <c r="AN70" i="236"/>
  <c r="AM70" i="236"/>
  <c r="AL70" i="236"/>
  <c r="AJ70" i="236"/>
  <c r="AP69" i="236"/>
  <c r="AN69" i="236"/>
  <c r="AM69" i="236"/>
  <c r="AL69" i="236"/>
  <c r="AJ69" i="236"/>
  <c r="AP68" i="236"/>
  <c r="AN68" i="236"/>
  <c r="AM68" i="236"/>
  <c r="AL68" i="236"/>
  <c r="AJ68" i="236"/>
  <c r="AP67" i="236"/>
  <c r="AN67" i="236"/>
  <c r="AM67" i="236"/>
  <c r="AL67" i="236"/>
  <c r="AJ67" i="236"/>
  <c r="AP66" i="236"/>
  <c r="AN66" i="236"/>
  <c r="AM66" i="236"/>
  <c r="AL66" i="236"/>
  <c r="AJ66" i="236"/>
  <c r="AP65" i="236"/>
  <c r="AN65" i="236"/>
  <c r="AM65" i="236"/>
  <c r="AL65" i="236"/>
  <c r="AJ65" i="236"/>
  <c r="AP64" i="236"/>
  <c r="AN64" i="236"/>
  <c r="AM64" i="236"/>
  <c r="AL64" i="236"/>
  <c r="AJ64" i="236"/>
  <c r="AP63" i="236"/>
  <c r="AN63" i="236"/>
  <c r="AM63" i="236"/>
  <c r="AL63" i="236"/>
  <c r="AJ63" i="236"/>
  <c r="AH168" i="236"/>
  <c r="AG168" i="236"/>
  <c r="AE168" i="236"/>
  <c r="AD168" i="236"/>
  <c r="AB168" i="236"/>
  <c r="AH167" i="236"/>
  <c r="AG167" i="236"/>
  <c r="AE167" i="236"/>
  <c r="AD167" i="236"/>
  <c r="AB167" i="236"/>
  <c r="AH166" i="236"/>
  <c r="AG166" i="236"/>
  <c r="AE166" i="236"/>
  <c r="AD166" i="236"/>
  <c r="AB166" i="236"/>
  <c r="AH165" i="236"/>
  <c r="AG165" i="236"/>
  <c r="AE165" i="236"/>
  <c r="AD165" i="236"/>
  <c r="AB165" i="236"/>
  <c r="AH164" i="236"/>
  <c r="AG164" i="236"/>
  <c r="AE164" i="236"/>
  <c r="AD164" i="236"/>
  <c r="AB164" i="236"/>
  <c r="AH163" i="236"/>
  <c r="AG163" i="236"/>
  <c r="AE163" i="236"/>
  <c r="AD163" i="236"/>
  <c r="AB163" i="236"/>
  <c r="AH162" i="236"/>
  <c r="AG162" i="236"/>
  <c r="AE162" i="236"/>
  <c r="AD162" i="236"/>
  <c r="AB162" i="236"/>
  <c r="AH161" i="236"/>
  <c r="AG161" i="236"/>
  <c r="AE161" i="236"/>
  <c r="AD161" i="236"/>
  <c r="AB161" i="236"/>
  <c r="AH160" i="236"/>
  <c r="AG160" i="236"/>
  <c r="AE160" i="236"/>
  <c r="AD160" i="236"/>
  <c r="AB160" i="236"/>
  <c r="AH159" i="236"/>
  <c r="AG159" i="236"/>
  <c r="AE159" i="236"/>
  <c r="AD159" i="236"/>
  <c r="AB159" i="236"/>
  <c r="AH158" i="236"/>
  <c r="AG158" i="236"/>
  <c r="AE158" i="236"/>
  <c r="AD158" i="236"/>
  <c r="AB158" i="236"/>
  <c r="AH157" i="236"/>
  <c r="AG157" i="236"/>
  <c r="AE157" i="236"/>
  <c r="AD157" i="236"/>
  <c r="AB157" i="236"/>
  <c r="AH156" i="236"/>
  <c r="AG156" i="236"/>
  <c r="AE156" i="236"/>
  <c r="AD156" i="236"/>
  <c r="AB156" i="236"/>
  <c r="AH155" i="236"/>
  <c r="AG155" i="236"/>
  <c r="AE155" i="236"/>
  <c r="AD155" i="236"/>
  <c r="AB155" i="236"/>
  <c r="AH154" i="236"/>
  <c r="AG154" i="236"/>
  <c r="AE154" i="236"/>
  <c r="AD154" i="236"/>
  <c r="AB154" i="236"/>
  <c r="AH153" i="236"/>
  <c r="AG153" i="236"/>
  <c r="AE153" i="236"/>
  <c r="AD153" i="236"/>
  <c r="AB153" i="236"/>
  <c r="AH152" i="236"/>
  <c r="AG152" i="236"/>
  <c r="AE152" i="236"/>
  <c r="AD152" i="236"/>
  <c r="AB152" i="236"/>
  <c r="AH151" i="236"/>
  <c r="AG151" i="236"/>
  <c r="AE151" i="236"/>
  <c r="AD151" i="236"/>
  <c r="AB151" i="236"/>
  <c r="AH150" i="236"/>
  <c r="AG150" i="236"/>
  <c r="AE150" i="236"/>
  <c r="AD150" i="236"/>
  <c r="AB150" i="236"/>
  <c r="AH149" i="236"/>
  <c r="AG149" i="236"/>
  <c r="AE149" i="236"/>
  <c r="AD149" i="236"/>
  <c r="AB149" i="236"/>
  <c r="AH148" i="236"/>
  <c r="AG148" i="236"/>
  <c r="AE148" i="236"/>
  <c r="AD148" i="236"/>
  <c r="AB148" i="236"/>
  <c r="AH147" i="236"/>
  <c r="AG147" i="236"/>
  <c r="AE147" i="236"/>
  <c r="AD147" i="236"/>
  <c r="AB147" i="236"/>
  <c r="AH146" i="236"/>
  <c r="AG146" i="236"/>
  <c r="AE146" i="236"/>
  <c r="AD146" i="236"/>
  <c r="AB146" i="236"/>
  <c r="AH145" i="236"/>
  <c r="AG145" i="236"/>
  <c r="AE145" i="236"/>
  <c r="AD145" i="236"/>
  <c r="AB145" i="236"/>
  <c r="AH144" i="236"/>
  <c r="AG144" i="236"/>
  <c r="AE144" i="236"/>
  <c r="AD144" i="236"/>
  <c r="AB144" i="236"/>
  <c r="AH143" i="236"/>
  <c r="AG143" i="236"/>
  <c r="AE143" i="236"/>
  <c r="AD143" i="236"/>
  <c r="AB143" i="236"/>
  <c r="AH142" i="236"/>
  <c r="AG142" i="236"/>
  <c r="AE142" i="236"/>
  <c r="AD142" i="236"/>
  <c r="AB142" i="236"/>
  <c r="AH141" i="236"/>
  <c r="AG141" i="236"/>
  <c r="AE141" i="236"/>
  <c r="AD141" i="236"/>
  <c r="AB141" i="236"/>
  <c r="AH140" i="236"/>
  <c r="AG140" i="236"/>
  <c r="AE140" i="236"/>
  <c r="AD140" i="236"/>
  <c r="AB140" i="236"/>
  <c r="AH139" i="236"/>
  <c r="AG139" i="236"/>
  <c r="AE139" i="236"/>
  <c r="AD139" i="236"/>
  <c r="AB139" i="236"/>
  <c r="AH138" i="236"/>
  <c r="AG138" i="236"/>
  <c r="AE138" i="236"/>
  <c r="AD138" i="236"/>
  <c r="AB138" i="236"/>
  <c r="AH137" i="236"/>
  <c r="AG137" i="236"/>
  <c r="AE137" i="236"/>
  <c r="AD137" i="236"/>
  <c r="AB137" i="236"/>
  <c r="AH136" i="236"/>
  <c r="AG136" i="236"/>
  <c r="AE136" i="236"/>
  <c r="AD136" i="236"/>
  <c r="AB136" i="236"/>
  <c r="AH135" i="236"/>
  <c r="AG135" i="236"/>
  <c r="AE135" i="236"/>
  <c r="AD135" i="236"/>
  <c r="AB135" i="236"/>
  <c r="AH134" i="236"/>
  <c r="AG134" i="236"/>
  <c r="AE134" i="236"/>
  <c r="AD134" i="236"/>
  <c r="AB134" i="236"/>
  <c r="AH133" i="236"/>
  <c r="AG133" i="236"/>
  <c r="AE133" i="236"/>
  <c r="AD133" i="236"/>
  <c r="AB133" i="236"/>
  <c r="AH132" i="236"/>
  <c r="AG132" i="236"/>
  <c r="AE132" i="236"/>
  <c r="AD132" i="236"/>
  <c r="AB132" i="236"/>
  <c r="AH131" i="236"/>
  <c r="AG131" i="236"/>
  <c r="AE131" i="236"/>
  <c r="AD131" i="236"/>
  <c r="AB131" i="236"/>
  <c r="AH130" i="236"/>
  <c r="AG130" i="236"/>
  <c r="AE130" i="236"/>
  <c r="AD130" i="236"/>
  <c r="AB130" i="236"/>
  <c r="AH129" i="236"/>
  <c r="AG129" i="236"/>
  <c r="AE129" i="236"/>
  <c r="AD129" i="236"/>
  <c r="AB129" i="236"/>
  <c r="AH128" i="236"/>
  <c r="AG128" i="236"/>
  <c r="AE128" i="236"/>
  <c r="AD128" i="236"/>
  <c r="AB128" i="236"/>
  <c r="AH127" i="236"/>
  <c r="AG127" i="236"/>
  <c r="AE127" i="236"/>
  <c r="AD127" i="236"/>
  <c r="AB127" i="236"/>
  <c r="AH126" i="236"/>
  <c r="AG126" i="236"/>
  <c r="AE126" i="236"/>
  <c r="AD126" i="236"/>
  <c r="AB126" i="236"/>
  <c r="AH125" i="236"/>
  <c r="AG125" i="236"/>
  <c r="AE125" i="236"/>
  <c r="AD125" i="236"/>
  <c r="AB125" i="236"/>
  <c r="AH124" i="236"/>
  <c r="AG124" i="236"/>
  <c r="AE124" i="236"/>
  <c r="AD124" i="236"/>
  <c r="AB124" i="236"/>
  <c r="AH123" i="236"/>
  <c r="AG123" i="236"/>
  <c r="AE123" i="236"/>
  <c r="AD123" i="236"/>
  <c r="AB123" i="236"/>
  <c r="AH122" i="236"/>
  <c r="AG122" i="236"/>
  <c r="AE122" i="236"/>
  <c r="AD122" i="236"/>
  <c r="AB122" i="236"/>
  <c r="AH121" i="236"/>
  <c r="AG121" i="236"/>
  <c r="AE121" i="236"/>
  <c r="AD121" i="236"/>
  <c r="AB121" i="236"/>
  <c r="AH120" i="236"/>
  <c r="AG120" i="236"/>
  <c r="AE120" i="236"/>
  <c r="AD120" i="236"/>
  <c r="AB120" i="236"/>
  <c r="AH119" i="236"/>
  <c r="AG119" i="236"/>
  <c r="AE119" i="236"/>
  <c r="AD119" i="236"/>
  <c r="AB119" i="236"/>
  <c r="AH118" i="236"/>
  <c r="AG118" i="236"/>
  <c r="AE118" i="236"/>
  <c r="AD118" i="236"/>
  <c r="AB118" i="236"/>
  <c r="AH117" i="236"/>
  <c r="AG117" i="236"/>
  <c r="AE117" i="236"/>
  <c r="AD117" i="236"/>
  <c r="AB117" i="236"/>
  <c r="AH116" i="236"/>
  <c r="AG116" i="236"/>
  <c r="AE116" i="236"/>
  <c r="AD116" i="236"/>
  <c r="AB116" i="236"/>
  <c r="AH115" i="236"/>
  <c r="AG115" i="236"/>
  <c r="AE115" i="236"/>
  <c r="AD115" i="236"/>
  <c r="AB115" i="236"/>
  <c r="AH114" i="236"/>
  <c r="AG114" i="236"/>
  <c r="AE114" i="236"/>
  <c r="AD114" i="236"/>
  <c r="AB114" i="236"/>
  <c r="AH113" i="236"/>
  <c r="AG113" i="236"/>
  <c r="AE113" i="236"/>
  <c r="AD113" i="236"/>
  <c r="AB113" i="236"/>
  <c r="AH112" i="236"/>
  <c r="AG112" i="236"/>
  <c r="AE112" i="236"/>
  <c r="AD112" i="236"/>
  <c r="AB112" i="236"/>
  <c r="AH111" i="236"/>
  <c r="AG111" i="236"/>
  <c r="AE111" i="236"/>
  <c r="AD111" i="236"/>
  <c r="AB111" i="236"/>
  <c r="AH110" i="236"/>
  <c r="AG110" i="236"/>
  <c r="AE110" i="236"/>
  <c r="AD110" i="236"/>
  <c r="AB110" i="236"/>
  <c r="AH109" i="236"/>
  <c r="AG109" i="236"/>
  <c r="AE109" i="236"/>
  <c r="AD109" i="236"/>
  <c r="AB109" i="236"/>
  <c r="AH108" i="236"/>
  <c r="AG108" i="236"/>
  <c r="AE108" i="236"/>
  <c r="AD108" i="236"/>
  <c r="AB108" i="236"/>
  <c r="AH107" i="236"/>
  <c r="AG107" i="236"/>
  <c r="AE107" i="236"/>
  <c r="AD107" i="236"/>
  <c r="AB107" i="236"/>
  <c r="AH106" i="236"/>
  <c r="AG106" i="236"/>
  <c r="AE106" i="236"/>
  <c r="AD106" i="236"/>
  <c r="AB106" i="236"/>
  <c r="AH105" i="236"/>
  <c r="AG105" i="236"/>
  <c r="AE105" i="236"/>
  <c r="AD105" i="236"/>
  <c r="AB105" i="236"/>
  <c r="AH104" i="236"/>
  <c r="AG104" i="236"/>
  <c r="AE104" i="236"/>
  <c r="AD104" i="236"/>
  <c r="AB104" i="236"/>
  <c r="AH103" i="236"/>
  <c r="AG103" i="236"/>
  <c r="AE103" i="236"/>
  <c r="AD103" i="236"/>
  <c r="AB103" i="236"/>
  <c r="AH102" i="236"/>
  <c r="AG102" i="236"/>
  <c r="AE102" i="236"/>
  <c r="AD102" i="236"/>
  <c r="AB102" i="236"/>
  <c r="AH101" i="236"/>
  <c r="AG101" i="236"/>
  <c r="AE101" i="236"/>
  <c r="AD101" i="236"/>
  <c r="AB101" i="236"/>
  <c r="AH100" i="236"/>
  <c r="AG100" i="236"/>
  <c r="AE100" i="236"/>
  <c r="AD100" i="236"/>
  <c r="AB100" i="236"/>
  <c r="AH99" i="236"/>
  <c r="AG99" i="236"/>
  <c r="AE99" i="236"/>
  <c r="AD99" i="236"/>
  <c r="AB99" i="236"/>
  <c r="AH98" i="236"/>
  <c r="AG98" i="236"/>
  <c r="AE98" i="236"/>
  <c r="AD98" i="236"/>
  <c r="AB98" i="236"/>
  <c r="AH97" i="236"/>
  <c r="AG97" i="236"/>
  <c r="AE97" i="236"/>
  <c r="AD97" i="236"/>
  <c r="AB97" i="236"/>
  <c r="AH96" i="236"/>
  <c r="AG96" i="236"/>
  <c r="AE96" i="236"/>
  <c r="AD96" i="236"/>
  <c r="AB96" i="236"/>
  <c r="AH95" i="236"/>
  <c r="AG95" i="236"/>
  <c r="AE95" i="236"/>
  <c r="AD95" i="236"/>
  <c r="AB95" i="236"/>
  <c r="AH94" i="236"/>
  <c r="AG94" i="236"/>
  <c r="AE94" i="236"/>
  <c r="AD94" i="236"/>
  <c r="AB94" i="236"/>
  <c r="AH93" i="236"/>
  <c r="AG93" i="236"/>
  <c r="AE93" i="236"/>
  <c r="AD93" i="236"/>
  <c r="AB93" i="236"/>
  <c r="AH92" i="236"/>
  <c r="AG92" i="236"/>
  <c r="AE92" i="236"/>
  <c r="AD92" i="236"/>
  <c r="AB92" i="236"/>
  <c r="AH91" i="236"/>
  <c r="AG91" i="236"/>
  <c r="AE91" i="236"/>
  <c r="AD91" i="236"/>
  <c r="AB91" i="236"/>
  <c r="AH90" i="236"/>
  <c r="AG90" i="236"/>
  <c r="AE90" i="236"/>
  <c r="AD90" i="236"/>
  <c r="AB90" i="236"/>
  <c r="AH89" i="236"/>
  <c r="AG89" i="236"/>
  <c r="AE89" i="236"/>
  <c r="AD89" i="236"/>
  <c r="AB89" i="236"/>
  <c r="AH88" i="236"/>
  <c r="AG88" i="236"/>
  <c r="AE88" i="236"/>
  <c r="AD88" i="236"/>
  <c r="AB88" i="236"/>
  <c r="AH87" i="236"/>
  <c r="AG87" i="236"/>
  <c r="AE87" i="236"/>
  <c r="AD87" i="236"/>
  <c r="AB87" i="236"/>
  <c r="AH86" i="236"/>
  <c r="AG86" i="236"/>
  <c r="AE86" i="236"/>
  <c r="AD86" i="236"/>
  <c r="AB86" i="236"/>
  <c r="AH85" i="236"/>
  <c r="AG85" i="236"/>
  <c r="AE85" i="236"/>
  <c r="AD85" i="236"/>
  <c r="AB85" i="236"/>
  <c r="BQ86" i="236" s="1"/>
  <c r="BW86" i="236" s="1"/>
  <c r="AH84" i="236"/>
  <c r="AG84" i="236"/>
  <c r="AE84" i="236"/>
  <c r="AD84" i="236"/>
  <c r="AB84" i="236"/>
  <c r="BQ85" i="236" s="1"/>
  <c r="BW85" i="236" s="1"/>
  <c r="AH83" i="236"/>
  <c r="AG83" i="236"/>
  <c r="AE83" i="236"/>
  <c r="AD83" i="236"/>
  <c r="AH82" i="236"/>
  <c r="AG82" i="236"/>
  <c r="AE82" i="236"/>
  <c r="AD82" i="236"/>
  <c r="AH81" i="236"/>
  <c r="AG81" i="236"/>
  <c r="AE81" i="236"/>
  <c r="AD81" i="236"/>
  <c r="AB81" i="236"/>
  <c r="BQ82" i="236" s="1"/>
  <c r="BW82" i="236" s="1"/>
  <c r="AH80" i="236"/>
  <c r="AG80" i="236"/>
  <c r="AE80" i="236"/>
  <c r="AD80" i="236"/>
  <c r="AB80" i="236"/>
  <c r="BQ81" i="236" s="1"/>
  <c r="BW81" i="236" s="1"/>
  <c r="AH79" i="236"/>
  <c r="AG79" i="236"/>
  <c r="AE79" i="236"/>
  <c r="AD79" i="236"/>
  <c r="AB79" i="236"/>
  <c r="BQ80" i="236" s="1"/>
  <c r="BW80" i="236" s="1"/>
  <c r="AH78" i="236"/>
  <c r="AG78" i="236"/>
  <c r="AE78" i="236"/>
  <c r="AD78" i="236"/>
  <c r="AB78" i="236"/>
  <c r="BQ79" i="236" s="1"/>
  <c r="BW79" i="236" s="1"/>
  <c r="AH77" i="236"/>
  <c r="AG77" i="236"/>
  <c r="AE77" i="236"/>
  <c r="AD77" i="236"/>
  <c r="AB77" i="236"/>
  <c r="BQ78" i="236" s="1"/>
  <c r="BW78" i="236" s="1"/>
  <c r="AH76" i="236"/>
  <c r="AG76" i="236"/>
  <c r="AE76" i="236"/>
  <c r="AD76" i="236"/>
  <c r="AB76" i="236"/>
  <c r="BQ77" i="236" s="1"/>
  <c r="BW77" i="236" s="1"/>
  <c r="AH75" i="236"/>
  <c r="AG75" i="236"/>
  <c r="AE75" i="236"/>
  <c r="AD75" i="236"/>
  <c r="AB75" i="236"/>
  <c r="BQ76" i="236" s="1"/>
  <c r="BW76" i="236" s="1"/>
  <c r="AH74" i="236"/>
  <c r="AG74" i="236"/>
  <c r="AE74" i="236"/>
  <c r="AD74" i="236"/>
  <c r="AB74" i="236"/>
  <c r="BQ75" i="236" s="1"/>
  <c r="BW75" i="236" s="1"/>
  <c r="AH73" i="236"/>
  <c r="AG73" i="236"/>
  <c r="AE73" i="236"/>
  <c r="AD73" i="236"/>
  <c r="AB73" i="236"/>
  <c r="BQ74" i="236" s="1"/>
  <c r="BW74" i="236" s="1"/>
  <c r="AH72" i="236"/>
  <c r="AG72" i="236"/>
  <c r="AE72" i="236"/>
  <c r="AD72" i="236"/>
  <c r="AB72" i="236"/>
  <c r="BQ73" i="236" s="1"/>
  <c r="BW73" i="236" s="1"/>
  <c r="AH71" i="236"/>
  <c r="AG71" i="236"/>
  <c r="AE71" i="236"/>
  <c r="AD71" i="236"/>
  <c r="AB71" i="236"/>
  <c r="BQ72" i="236" s="1"/>
  <c r="BW72" i="236" s="1"/>
  <c r="AH70" i="236"/>
  <c r="AG70" i="236"/>
  <c r="AE70" i="236"/>
  <c r="AD70" i="236"/>
  <c r="AB70" i="236"/>
  <c r="BQ71" i="236" s="1"/>
  <c r="BW71" i="236" s="1"/>
  <c r="AE69" i="236"/>
  <c r="AD69" i="236"/>
  <c r="AB69" i="236"/>
  <c r="BQ70" i="236" s="1"/>
  <c r="BW70" i="236" s="1"/>
  <c r="AE68" i="236"/>
  <c r="AD68" i="236"/>
  <c r="AB68" i="236"/>
  <c r="BQ69" i="236" s="1"/>
  <c r="AH67" i="236"/>
  <c r="AE67" i="236"/>
  <c r="AD67" i="236"/>
  <c r="AB67" i="236"/>
  <c r="AH66" i="236"/>
  <c r="AE66" i="236"/>
  <c r="AD66" i="236"/>
  <c r="AB66" i="236"/>
  <c r="AH65" i="236"/>
  <c r="AG65" i="236"/>
  <c r="AE65" i="236"/>
  <c r="AD65" i="236"/>
  <c r="AB65" i="236"/>
  <c r="AH64" i="236"/>
  <c r="AG64" i="236"/>
  <c r="AE64" i="236"/>
  <c r="AD64" i="236"/>
  <c r="AB64" i="236"/>
  <c r="AH63" i="236"/>
  <c r="AG63" i="236"/>
  <c r="AE63" i="236"/>
  <c r="AD63" i="236"/>
  <c r="AB63" i="236"/>
  <c r="Q186" i="236"/>
  <c r="P186" i="236"/>
  <c r="Q185" i="236"/>
  <c r="P185" i="236"/>
  <c r="P184" i="236"/>
  <c r="P183" i="236"/>
  <c r="P182" i="236"/>
  <c r="Q64" i="236"/>
  <c r="Q63" i="236"/>
  <c r="M184" i="236"/>
  <c r="L184" i="236"/>
  <c r="L8" i="236" s="1"/>
  <c r="K184" i="236"/>
  <c r="M183" i="236"/>
  <c r="K183" i="236"/>
  <c r="M182" i="236"/>
  <c r="K182" i="236"/>
  <c r="M181" i="236"/>
  <c r="K181" i="236"/>
  <c r="M180" i="236"/>
  <c r="K180" i="236"/>
  <c r="M179" i="236"/>
  <c r="K179" i="236"/>
  <c r="K178" i="236"/>
  <c r="K177" i="236"/>
  <c r="K64" i="236"/>
  <c r="K63" i="236"/>
  <c r="BW69" i="236" l="1"/>
  <c r="BW1" i="236" s="1"/>
  <c r="BQ8" i="236"/>
  <c r="V186" i="236"/>
  <c r="V185" i="236"/>
  <c r="AD8" i="236"/>
  <c r="M66" i="236"/>
  <c r="V61" i="236"/>
  <c r="BD65" i="236"/>
  <c r="BW4" i="236" l="1"/>
  <c r="BW8" i="236"/>
  <c r="AY186" i="236"/>
  <c r="BY188" i="236"/>
  <c r="AY187" i="236"/>
  <c r="M67" i="236"/>
  <c r="BC69" i="236"/>
  <c r="BC68" i="236"/>
  <c r="BY187" i="236" l="1"/>
  <c r="M68" i="236"/>
  <c r="BC63" i="236"/>
  <c r="AS186" i="240"/>
  <c r="M69" i="236" l="1"/>
  <c r="BC65" i="236"/>
  <c r="BC64" i="236"/>
  <c r="M70" i="236" l="1"/>
  <c r="M71" i="236" l="1"/>
  <c r="M72" i="236" l="1"/>
  <c r="M73" i="236" l="1"/>
  <c r="M74" i="236" l="1"/>
  <c r="AS185" i="240"/>
  <c r="AS184" i="240"/>
  <c r="AS183" i="240"/>
  <c r="AS182" i="240"/>
  <c r="AS181" i="240"/>
  <c r="AS180" i="240"/>
  <c r="BD101" i="236"/>
  <c r="BD100" i="236"/>
  <c r="BD99" i="236"/>
  <c r="BD98" i="236"/>
  <c r="BD97" i="236"/>
  <c r="BD96" i="236"/>
  <c r="BD95" i="236"/>
  <c r="BD94" i="236"/>
  <c r="H81" i="240"/>
  <c r="H80" i="240"/>
  <c r="A59" i="240"/>
  <c r="A60" i="240" s="1"/>
  <c r="A61" i="240" s="1"/>
  <c r="A62" i="240" s="1"/>
  <c r="A63" i="240" s="1"/>
  <c r="A64" i="240" s="1"/>
  <c r="A65" i="240" s="1"/>
  <c r="A66" i="240" s="1"/>
  <c r="A67" i="240" s="1"/>
  <c r="A68" i="240" s="1"/>
  <c r="A69" i="240" s="1"/>
  <c r="A70" i="240" s="1"/>
  <c r="A71" i="240" s="1"/>
  <c r="A72" i="240" s="1"/>
  <c r="A73" i="240" s="1"/>
  <c r="A74" i="240" s="1"/>
  <c r="A75" i="240" s="1"/>
  <c r="A76" i="240" s="1"/>
  <c r="A77" i="240" s="1"/>
  <c r="A78" i="240" s="1"/>
  <c r="A79" i="240" s="1"/>
  <c r="A80" i="240" s="1"/>
  <c r="A81" i="240" s="1"/>
  <c r="A82" i="240" s="1"/>
  <c r="A83" i="240" s="1"/>
  <c r="A84" i="240" s="1"/>
  <c r="A85" i="240" s="1"/>
  <c r="A86" i="240" s="1"/>
  <c r="A87" i="240" s="1"/>
  <c r="A88" i="240" s="1"/>
  <c r="A89" i="240" s="1"/>
  <c r="A90" i="240" s="1"/>
  <c r="A91" i="240" s="1"/>
  <c r="A92" i="240" s="1"/>
  <c r="A93" i="240" s="1"/>
  <c r="A94" i="240" s="1"/>
  <c r="A95" i="240" s="1"/>
  <c r="A96" i="240" s="1"/>
  <c r="A97" i="240" s="1"/>
  <c r="A98" i="240" s="1"/>
  <c r="A99" i="240" s="1"/>
  <c r="A100" i="240" s="1"/>
  <c r="A101" i="240" s="1"/>
  <c r="A102" i="240" s="1"/>
  <c r="A103" i="240" s="1"/>
  <c r="A104" i="240" s="1"/>
  <c r="A105" i="240" s="1"/>
  <c r="A106" i="240" s="1"/>
  <c r="A107" i="240" s="1"/>
  <c r="A108" i="240" s="1"/>
  <c r="A109" i="240" s="1"/>
  <c r="A110" i="240" s="1"/>
  <c r="A111" i="240" s="1"/>
  <c r="A112" i="240" s="1"/>
  <c r="A113" i="240" s="1"/>
  <c r="A114" i="240" s="1"/>
  <c r="A115" i="240" s="1"/>
  <c r="A116" i="240" s="1"/>
  <c r="A117" i="240" s="1"/>
  <c r="A118" i="240" s="1"/>
  <c r="A119" i="240" s="1"/>
  <c r="A120" i="240" s="1"/>
  <c r="A121" i="240" s="1"/>
  <c r="A122" i="240" s="1"/>
  <c r="A123" i="240" s="1"/>
  <c r="A124" i="240" s="1"/>
  <c r="A125" i="240" s="1"/>
  <c r="A126" i="240" s="1"/>
  <c r="A127" i="240" s="1"/>
  <c r="A128" i="240" s="1"/>
  <c r="A129" i="240" s="1"/>
  <c r="A130" i="240" s="1"/>
  <c r="A131" i="240" s="1"/>
  <c r="A132" i="240" s="1"/>
  <c r="A133" i="240" s="1"/>
  <c r="A134" i="240" s="1"/>
  <c r="A135" i="240" s="1"/>
  <c r="A136" i="240" s="1"/>
  <c r="A137" i="240" s="1"/>
  <c r="A138" i="240" s="1"/>
  <c r="A139" i="240" s="1"/>
  <c r="A140" i="240" s="1"/>
  <c r="A141" i="240" s="1"/>
  <c r="A142" i="240" s="1"/>
  <c r="A143" i="240" s="1"/>
  <c r="A144" i="240" s="1"/>
  <c r="A145" i="240" s="1"/>
  <c r="A146" i="240" s="1"/>
  <c r="A147" i="240" s="1"/>
  <c r="A148" i="240" s="1"/>
  <c r="A149" i="240" s="1"/>
  <c r="A150" i="240" s="1"/>
  <c r="A151" i="240" s="1"/>
  <c r="A152" i="240" s="1"/>
  <c r="A153" i="240" s="1"/>
  <c r="A154" i="240" s="1"/>
  <c r="A155" i="240" s="1"/>
  <c r="A156" i="240" s="1"/>
  <c r="A157" i="240" s="1"/>
  <c r="A158" i="240" s="1"/>
  <c r="A159" i="240" s="1"/>
  <c r="A160" i="240" s="1"/>
  <c r="A161" i="240" s="1"/>
  <c r="A162" i="240" s="1"/>
  <c r="A163" i="240" s="1"/>
  <c r="A164" i="240" s="1"/>
  <c r="A165" i="240" s="1"/>
  <c r="A166" i="240" s="1"/>
  <c r="A167" i="240" s="1"/>
  <c r="A168" i="240" s="1"/>
  <c r="A169" i="240" s="1"/>
  <c r="A170" i="240" s="1"/>
  <c r="A171" i="240" s="1"/>
  <c r="A172" i="240" s="1"/>
  <c r="A173" i="240" s="1"/>
  <c r="A174" i="240" s="1"/>
  <c r="A175" i="240" s="1"/>
  <c r="A176" i="240" s="1"/>
  <c r="A177" i="240" s="1"/>
  <c r="A178" i="240" s="1"/>
  <c r="A179" i="240" s="1"/>
  <c r="A180" i="240" s="1"/>
  <c r="A181" i="240" s="1"/>
  <c r="A182" i="240" s="1"/>
  <c r="A183" i="240" s="1"/>
  <c r="A184" i="240" s="1"/>
  <c r="A185" i="240" s="1"/>
  <c r="A186" i="240" s="1"/>
  <c r="AP3" i="240"/>
  <c r="C21" i="253" l="1"/>
  <c r="I84" i="240"/>
  <c r="Q89" i="236" s="1"/>
  <c r="M75" i="236"/>
  <c r="P85" i="236"/>
  <c r="I83" i="240"/>
  <c r="Q88" i="236" s="1"/>
  <c r="BD66" i="236"/>
  <c r="P86" i="236"/>
  <c r="AQ188" i="236"/>
  <c r="AQ189" i="236"/>
  <c r="AQ187" i="236"/>
  <c r="H82" i="240"/>
  <c r="I85" i="240" l="1"/>
  <c r="Q90" i="236" s="1"/>
  <c r="M76" i="236"/>
  <c r="AT182" i="240"/>
  <c r="AU182" i="240" s="1"/>
  <c r="P87" i="236"/>
  <c r="AT181" i="240"/>
  <c r="AU181" i="240" s="1"/>
  <c r="AQ186" i="236"/>
  <c r="BD67" i="236"/>
  <c r="AT185" i="240"/>
  <c r="AU185" i="240" s="1"/>
  <c r="AT184" i="240"/>
  <c r="AT183" i="240"/>
  <c r="AU183" i="240" s="1"/>
  <c r="AU184" i="240" l="1"/>
  <c r="BG182" i="240"/>
  <c r="BH182" i="240" s="1"/>
  <c r="BG184" i="240"/>
  <c r="BG181" i="240"/>
  <c r="BG183" i="240"/>
  <c r="BH183" i="240" s="1"/>
  <c r="BG185" i="240"/>
  <c r="BH185" i="240" s="1"/>
  <c r="M77" i="236"/>
  <c r="H83" i="240"/>
  <c r="L83" i="240" s="1"/>
  <c r="BD68" i="236"/>
  <c r="H84" i="240"/>
  <c r="L84" i="240" s="1"/>
  <c r="Q65" i="236"/>
  <c r="P63" i="236"/>
  <c r="BF83" i="240" l="1"/>
  <c r="BF84" i="240"/>
  <c r="AH84" i="240"/>
  <c r="AM84" i="240"/>
  <c r="AN84" i="240"/>
  <c r="AN85" i="240"/>
  <c r="AM85" i="240"/>
  <c r="AH85" i="240"/>
  <c r="BH184" i="240"/>
  <c r="M78" i="236"/>
  <c r="P89" i="236"/>
  <c r="I87" i="240"/>
  <c r="Q92" i="236" s="1"/>
  <c r="P88" i="236"/>
  <c r="I86" i="240"/>
  <c r="Q91" i="236" s="1"/>
  <c r="BD69" i="236"/>
  <c r="AQ63" i="236"/>
  <c r="Q66" i="236"/>
  <c r="H59" i="240"/>
  <c r="H85" i="240"/>
  <c r="L85" i="240" s="1"/>
  <c r="BF85" i="240" l="1"/>
  <c r="AM86" i="240"/>
  <c r="AN86" i="240"/>
  <c r="AH86" i="240"/>
  <c r="L59" i="240"/>
  <c r="M79" i="236"/>
  <c r="AS84" i="240"/>
  <c r="AS83" i="240"/>
  <c r="P90" i="236"/>
  <c r="I88" i="240"/>
  <c r="Q93" i="236" s="1"/>
  <c r="P64" i="236"/>
  <c r="V64" i="236" s="1"/>
  <c r="I62" i="240"/>
  <c r="BD70" i="236"/>
  <c r="AQ64" i="236"/>
  <c r="H86" i="240"/>
  <c r="L86" i="240" s="1"/>
  <c r="H60" i="240"/>
  <c r="L60" i="240" s="1"/>
  <c r="AE8" i="236"/>
  <c r="BF86" i="240" l="1"/>
  <c r="BF60" i="240"/>
  <c r="BF59" i="240"/>
  <c r="AN87" i="240"/>
  <c r="AM87" i="240"/>
  <c r="AH87" i="240"/>
  <c r="AM60" i="240"/>
  <c r="AH60" i="240"/>
  <c r="AN60" i="240"/>
  <c r="AM61" i="240"/>
  <c r="AN61" i="240"/>
  <c r="AH61" i="240"/>
  <c r="Q67" i="236"/>
  <c r="BF64" i="236"/>
  <c r="AY65" i="236"/>
  <c r="BY64" i="236"/>
  <c r="AQ89" i="236"/>
  <c r="AQ90" i="236"/>
  <c r="M80" i="236"/>
  <c r="AS59" i="240"/>
  <c r="AS85" i="240"/>
  <c r="P65" i="236"/>
  <c r="I63" i="240"/>
  <c r="Q68" i="236" s="1"/>
  <c r="P91" i="236"/>
  <c r="I89" i="240"/>
  <c r="Q94" i="236" s="1"/>
  <c r="AT84" i="240"/>
  <c r="AU84" i="240" s="1"/>
  <c r="BD71" i="236"/>
  <c r="AT59" i="240"/>
  <c r="H61" i="240"/>
  <c r="L61" i="240" s="1"/>
  <c r="AT85" i="240"/>
  <c r="BG85" i="240" s="1"/>
  <c r="BH85" i="240" s="1"/>
  <c r="H87" i="240"/>
  <c r="L87" i="240" s="1"/>
  <c r="BF87" i="240" l="1"/>
  <c r="BF61" i="240"/>
  <c r="AH88" i="240"/>
  <c r="AM88" i="240"/>
  <c r="AN88" i="240"/>
  <c r="AM62" i="240"/>
  <c r="AN62" i="240"/>
  <c r="AH62" i="240"/>
  <c r="AU85" i="240"/>
  <c r="AU59" i="240"/>
  <c r="BG84" i="240"/>
  <c r="BG59" i="240"/>
  <c r="AQ65" i="236"/>
  <c r="AQ91" i="236"/>
  <c r="M81" i="236"/>
  <c r="AS60" i="240"/>
  <c r="AS86" i="240"/>
  <c r="P66" i="236"/>
  <c r="I64" i="240"/>
  <c r="P92" i="236"/>
  <c r="I90" i="240"/>
  <c r="Q95" i="236" s="1"/>
  <c r="AT60" i="240"/>
  <c r="BG60" i="240" s="1"/>
  <c r="BH60" i="240" s="1"/>
  <c r="AT86" i="240"/>
  <c r="BG86" i="240" s="1"/>
  <c r="BH86" i="240" s="1"/>
  <c r="H62" i="240"/>
  <c r="L62" i="240" s="1"/>
  <c r="H88" i="240"/>
  <c r="L88" i="240" s="1"/>
  <c r="H8" i="236"/>
  <c r="I8" i="236"/>
  <c r="BF62" i="240" l="1"/>
  <c r="BF88" i="240"/>
  <c r="AN63" i="240"/>
  <c r="AM63" i="240"/>
  <c r="AH63" i="240"/>
  <c r="AN89" i="240"/>
  <c r="AH89" i="240"/>
  <c r="AM89" i="240"/>
  <c r="Q69" i="236"/>
  <c r="AU86" i="240"/>
  <c r="AU60" i="240"/>
  <c r="BH59" i="240"/>
  <c r="AQ66" i="236"/>
  <c r="AQ92" i="236"/>
  <c r="M82" i="236"/>
  <c r="AS87" i="240"/>
  <c r="AS61" i="240"/>
  <c r="P67" i="236"/>
  <c r="I65" i="240"/>
  <c r="Q70" i="236" s="1"/>
  <c r="P93" i="236"/>
  <c r="I91" i="240"/>
  <c r="Q96" i="236" s="1"/>
  <c r="BD74" i="236"/>
  <c r="AT61" i="240"/>
  <c r="BG61" i="240" s="1"/>
  <c r="BH61" i="240" s="1"/>
  <c r="H89" i="240"/>
  <c r="L89" i="240" s="1"/>
  <c r="AT87" i="240"/>
  <c r="BG87" i="240" s="1"/>
  <c r="BH87" i="240" s="1"/>
  <c r="H63" i="240"/>
  <c r="L63" i="240" s="1"/>
  <c r="G8" i="236"/>
  <c r="F8" i="236"/>
  <c r="E8" i="236"/>
  <c r="D8" i="236"/>
  <c r="BF63" i="240" l="1"/>
  <c r="BF89" i="240"/>
  <c r="AM90" i="240"/>
  <c r="AN90" i="240"/>
  <c r="AH90" i="240"/>
  <c r="AH64" i="240"/>
  <c r="AM64" i="240"/>
  <c r="AN64" i="240"/>
  <c r="BI59" i="240"/>
  <c r="AU87" i="240"/>
  <c r="AU61" i="240"/>
  <c r="AQ67" i="236"/>
  <c r="AQ93" i="236"/>
  <c r="M83" i="236"/>
  <c r="M84" i="236"/>
  <c r="AS88" i="240"/>
  <c r="AS62" i="240"/>
  <c r="P68" i="236"/>
  <c r="I66" i="240"/>
  <c r="P94" i="236"/>
  <c r="I92" i="240"/>
  <c r="Q97" i="236" s="1"/>
  <c r="AQ3" i="240"/>
  <c r="AT88" i="240"/>
  <c r="H64" i="240"/>
  <c r="L64" i="240" s="1"/>
  <c r="H90" i="240"/>
  <c r="L90" i="240" s="1"/>
  <c r="AT62" i="240"/>
  <c r="D1" i="236"/>
  <c r="G5" i="236"/>
  <c r="X8" i="236"/>
  <c r="BB8" i="236"/>
  <c r="BF64" i="240" l="1"/>
  <c r="BF90" i="240"/>
  <c r="BI60" i="240"/>
  <c r="BI61" i="240" s="1"/>
  <c r="AN65" i="240"/>
  <c r="AH65" i="240"/>
  <c r="AM65" i="240"/>
  <c r="AN91" i="240"/>
  <c r="AH91" i="240"/>
  <c r="AM91" i="240"/>
  <c r="Q71" i="236"/>
  <c r="BG62" i="240"/>
  <c r="BH62" i="240" s="1"/>
  <c r="BG88" i="240"/>
  <c r="AU62" i="240"/>
  <c r="AU88" i="240"/>
  <c r="AQ68" i="236"/>
  <c r="AQ94" i="236"/>
  <c r="AS63" i="240"/>
  <c r="AS89" i="240"/>
  <c r="P95" i="236"/>
  <c r="I93" i="240"/>
  <c r="Q98" i="236" s="1"/>
  <c r="P69" i="236"/>
  <c r="I67" i="240"/>
  <c r="Q72" i="236" s="1"/>
  <c r="AT63" i="240"/>
  <c r="BG63" i="240" s="1"/>
  <c r="BH63" i="240" s="1"/>
  <c r="H65" i="240"/>
  <c r="L65" i="240" s="1"/>
  <c r="H91" i="240"/>
  <c r="L91" i="240" s="1"/>
  <c r="AT89" i="240"/>
  <c r="BG89" i="240" s="1"/>
  <c r="BH89" i="240" s="1"/>
  <c r="BK15" i="236"/>
  <c r="BF91" i="240" l="1"/>
  <c r="BF65" i="240"/>
  <c r="AM92" i="240"/>
  <c r="AN92" i="240"/>
  <c r="AH92" i="240"/>
  <c r="AM66" i="240"/>
  <c r="AN66" i="240"/>
  <c r="AH66" i="240"/>
  <c r="D10" i="253"/>
  <c r="J10" i="253"/>
  <c r="AU89" i="240"/>
  <c r="AU63" i="240"/>
  <c r="BH88" i="240"/>
  <c r="BI62" i="240"/>
  <c r="AQ69" i="236"/>
  <c r="AQ95" i="236"/>
  <c r="AS90" i="240"/>
  <c r="AS64" i="240"/>
  <c r="P70" i="236"/>
  <c r="I68" i="240"/>
  <c r="Q73" i="236" s="1"/>
  <c r="P96" i="236"/>
  <c r="I94" i="240"/>
  <c r="Q99" i="236" s="1"/>
  <c r="AT64" i="240"/>
  <c r="H66" i="240"/>
  <c r="L66" i="240" s="1"/>
  <c r="H92" i="240"/>
  <c r="L92" i="240" s="1"/>
  <c r="AT90" i="240"/>
  <c r="BG90" i="240" s="1"/>
  <c r="BH90" i="240" s="1"/>
  <c r="BK16" i="236"/>
  <c r="BF92" i="240" l="1"/>
  <c r="BF66" i="240"/>
  <c r="BI63" i="240"/>
  <c r="AN93" i="240"/>
  <c r="AH93" i="240"/>
  <c r="AM93" i="240"/>
  <c r="AN67" i="240"/>
  <c r="AH67" i="240"/>
  <c r="AM67" i="240"/>
  <c r="AU90" i="240"/>
  <c r="AU64" i="240"/>
  <c r="BG64" i="240"/>
  <c r="AQ70" i="236"/>
  <c r="AQ96" i="236"/>
  <c r="AS91" i="240"/>
  <c r="AS65" i="240"/>
  <c r="P71" i="236"/>
  <c r="I69" i="240"/>
  <c r="Q74" i="236" s="1"/>
  <c r="P97" i="236"/>
  <c r="I95" i="240"/>
  <c r="Q100" i="236" s="1"/>
  <c r="H93" i="240"/>
  <c r="L93" i="240" s="1"/>
  <c r="AT65" i="240"/>
  <c r="BG65" i="240" s="1"/>
  <c r="BH65" i="240" s="1"/>
  <c r="AT91" i="240"/>
  <c r="H67" i="240"/>
  <c r="L67" i="240" s="1"/>
  <c r="BK17" i="236"/>
  <c r="BF67" i="240" l="1"/>
  <c r="BF93" i="240"/>
  <c r="AM94" i="240"/>
  <c r="AN94" i="240"/>
  <c r="AH94" i="240"/>
  <c r="AH68" i="240"/>
  <c r="AM68" i="240"/>
  <c r="AN68" i="240"/>
  <c r="AU65" i="240"/>
  <c r="BG91" i="240"/>
  <c r="AU91" i="240"/>
  <c r="BH64" i="240"/>
  <c r="BI64" i="240" s="1"/>
  <c r="AQ71" i="236"/>
  <c r="AQ97" i="236"/>
  <c r="AS92" i="240"/>
  <c r="AS66" i="240"/>
  <c r="AT67" i="240"/>
  <c r="BG67" i="240" s="1"/>
  <c r="P98" i="236"/>
  <c r="I96" i="240"/>
  <c r="Q101" i="236" s="1"/>
  <c r="P72" i="236"/>
  <c r="I70" i="240"/>
  <c r="Q75" i="236" s="1"/>
  <c r="AT66" i="240"/>
  <c r="BG66" i="240" s="1"/>
  <c r="BH66" i="240" s="1"/>
  <c r="AT92" i="240"/>
  <c r="BG92" i="240" s="1"/>
  <c r="BH92" i="240" s="1"/>
  <c r="H94" i="240"/>
  <c r="L94" i="240" s="1"/>
  <c r="H68" i="240"/>
  <c r="L68" i="240" s="1"/>
  <c r="BK18" i="236"/>
  <c r="BF94" i="240" l="1"/>
  <c r="BF68" i="240"/>
  <c r="BI65" i="240"/>
  <c r="BI66" i="240" s="1"/>
  <c r="AN95" i="240"/>
  <c r="AM95" i="240"/>
  <c r="AH95" i="240"/>
  <c r="AN69" i="240"/>
  <c r="AH69" i="240"/>
  <c r="AM69" i="240"/>
  <c r="BH91" i="240"/>
  <c r="AU66" i="240"/>
  <c r="AU92" i="240"/>
  <c r="BH67" i="240"/>
  <c r="AQ72" i="236"/>
  <c r="AQ98" i="236"/>
  <c r="AS93" i="240"/>
  <c r="AS67" i="240"/>
  <c r="P99" i="236"/>
  <c r="I97" i="240"/>
  <c r="Q102" i="236" s="1"/>
  <c r="P73" i="236"/>
  <c r="I71" i="240"/>
  <c r="Q76" i="236" s="1"/>
  <c r="AT93" i="240"/>
  <c r="BG93" i="240" s="1"/>
  <c r="BH93" i="240" s="1"/>
  <c r="H95" i="240"/>
  <c r="L95" i="240" s="1"/>
  <c r="H69" i="240"/>
  <c r="L69" i="240" s="1"/>
  <c r="BK19" i="236"/>
  <c r="BF69" i="240" l="1"/>
  <c r="BF95" i="240"/>
  <c r="AM96" i="240"/>
  <c r="AN96" i="240"/>
  <c r="AH96" i="240"/>
  <c r="AM70" i="240"/>
  <c r="AN70" i="240"/>
  <c r="AH70" i="240"/>
  <c r="AU93" i="240"/>
  <c r="AU67" i="240"/>
  <c r="BI67" i="240"/>
  <c r="AQ73" i="236"/>
  <c r="AQ99" i="236"/>
  <c r="AS94" i="240"/>
  <c r="AS68" i="240"/>
  <c r="P100" i="236"/>
  <c r="I98" i="240"/>
  <c r="Q103" i="236" s="1"/>
  <c r="P74" i="236"/>
  <c r="I72" i="240"/>
  <c r="Q77" i="236" s="1"/>
  <c r="AT68" i="240"/>
  <c r="H96" i="240"/>
  <c r="L96" i="240" s="1"/>
  <c r="H70" i="240"/>
  <c r="L70" i="240" s="1"/>
  <c r="AT94" i="240"/>
  <c r="BG94" i="240" s="1"/>
  <c r="BK20" i="236"/>
  <c r="BF96" i="240" l="1"/>
  <c r="BF70" i="240"/>
  <c r="AN71" i="240"/>
  <c r="AM71" i="240"/>
  <c r="AH71" i="240"/>
  <c r="AN97" i="240"/>
  <c r="AM97" i="240"/>
  <c r="AH97" i="240"/>
  <c r="BH94" i="240"/>
  <c r="BG68" i="240"/>
  <c r="AU68" i="240"/>
  <c r="AU94" i="240"/>
  <c r="AQ74" i="236"/>
  <c r="AQ100" i="236"/>
  <c r="AS69" i="240"/>
  <c r="AS95" i="240"/>
  <c r="P101" i="236"/>
  <c r="I99" i="240"/>
  <c r="Q104" i="236" s="1"/>
  <c r="P75" i="236"/>
  <c r="I73" i="240"/>
  <c r="Q78" i="236" s="1"/>
  <c r="AT95" i="240"/>
  <c r="AT69" i="240"/>
  <c r="BG69" i="240" s="1"/>
  <c r="BH69" i="240" s="1"/>
  <c r="H71" i="240"/>
  <c r="L71" i="240" s="1"/>
  <c r="H97" i="240"/>
  <c r="L97" i="240" s="1"/>
  <c r="BK21" i="236"/>
  <c r="BF71" i="240" l="1"/>
  <c r="BF97" i="240"/>
  <c r="AH72" i="240"/>
  <c r="AM72" i="240"/>
  <c r="AN72" i="240"/>
  <c r="AM98" i="240"/>
  <c r="AN98" i="240"/>
  <c r="AH98" i="240"/>
  <c r="AU69" i="240"/>
  <c r="BH68" i="240"/>
  <c r="BI68" i="240" s="1"/>
  <c r="BI69" i="240" s="1"/>
  <c r="AU95" i="240"/>
  <c r="BG95" i="240"/>
  <c r="AQ75" i="236"/>
  <c r="AQ101" i="236"/>
  <c r="AS96" i="240"/>
  <c r="AS70" i="240"/>
  <c r="P76" i="236"/>
  <c r="I74" i="240"/>
  <c r="Q79" i="236" s="1"/>
  <c r="P102" i="236"/>
  <c r="I100" i="240"/>
  <c r="Q105" i="236" s="1"/>
  <c r="AT70" i="240"/>
  <c r="BG70" i="240" s="1"/>
  <c r="BH70" i="240" s="1"/>
  <c r="AT96" i="240"/>
  <c r="BG96" i="240" s="1"/>
  <c r="BH96" i="240" s="1"/>
  <c r="H72" i="240"/>
  <c r="L72" i="240" s="1"/>
  <c r="H98" i="240"/>
  <c r="L98" i="240" s="1"/>
  <c r="BK22" i="236"/>
  <c r="BF72" i="240" l="1"/>
  <c r="BF98" i="240"/>
  <c r="AN73" i="240"/>
  <c r="AH73" i="240"/>
  <c r="AM73" i="240"/>
  <c r="AN99" i="240"/>
  <c r="AM99" i="240"/>
  <c r="AH99" i="240"/>
  <c r="AU70" i="240"/>
  <c r="AU96" i="240"/>
  <c r="BH95" i="240"/>
  <c r="BI70" i="240"/>
  <c r="AQ76" i="236"/>
  <c r="AQ102" i="236"/>
  <c r="AS71" i="240"/>
  <c r="AS97" i="240"/>
  <c r="P103" i="236"/>
  <c r="I101" i="240"/>
  <c r="Q106" i="236" s="1"/>
  <c r="P77" i="236"/>
  <c r="I75" i="240"/>
  <c r="Q80" i="236" s="1"/>
  <c r="F187" i="240"/>
  <c r="AT71" i="240"/>
  <c r="H99" i="240"/>
  <c r="L99" i="240" s="1"/>
  <c r="H73" i="240"/>
  <c r="L73" i="240" s="1"/>
  <c r="AT97" i="240"/>
  <c r="BG97" i="240" s="1"/>
  <c r="BH97" i="240" s="1"/>
  <c r="BK23" i="236"/>
  <c r="BF99" i="240" l="1"/>
  <c r="BF73" i="240"/>
  <c r="AM100" i="240"/>
  <c r="AN100" i="240"/>
  <c r="AH100" i="240"/>
  <c r="AM74" i="240"/>
  <c r="AN74" i="240"/>
  <c r="AH74" i="240"/>
  <c r="AU97" i="240"/>
  <c r="AU71" i="240"/>
  <c r="BG71" i="240"/>
  <c r="AQ77" i="236"/>
  <c r="AQ103" i="236"/>
  <c r="AS72" i="240"/>
  <c r="AS98" i="240"/>
  <c r="P78" i="236"/>
  <c r="I76" i="240"/>
  <c r="Q81" i="236" s="1"/>
  <c r="P104" i="236"/>
  <c r="I102" i="240"/>
  <c r="Q107" i="236" s="1"/>
  <c r="AT98" i="240"/>
  <c r="AT72" i="240"/>
  <c r="BG72" i="240" s="1"/>
  <c r="BH72" i="240" s="1"/>
  <c r="H100" i="240"/>
  <c r="L100" i="240" s="1"/>
  <c r="H74" i="240"/>
  <c r="L74" i="240" s="1"/>
  <c r="BK24" i="236"/>
  <c r="BF100" i="240" l="1"/>
  <c r="BF74" i="240"/>
  <c r="AN75" i="240"/>
  <c r="AM75" i="240"/>
  <c r="AH75" i="240"/>
  <c r="AN101" i="240"/>
  <c r="AH101" i="240"/>
  <c r="AM101" i="240"/>
  <c r="AU72" i="240"/>
  <c r="AU98" i="240"/>
  <c r="BH71" i="240"/>
  <c r="BI71" i="240" s="1"/>
  <c r="BI72" i="240" s="1"/>
  <c r="BG98" i="240"/>
  <c r="AQ78" i="236"/>
  <c r="AQ104" i="236"/>
  <c r="AS99" i="240"/>
  <c r="AS73" i="240"/>
  <c r="P79" i="236"/>
  <c r="I77" i="240"/>
  <c r="Q82" i="236" s="1"/>
  <c r="P105" i="236"/>
  <c r="I103" i="240"/>
  <c r="Q108" i="236" s="1"/>
  <c r="H101" i="240"/>
  <c r="L101" i="240" s="1"/>
  <c r="H75" i="240"/>
  <c r="L75" i="240" s="1"/>
  <c r="AT99" i="240"/>
  <c r="BG99" i="240" s="1"/>
  <c r="BH99" i="240" s="1"/>
  <c r="AT73" i="240"/>
  <c r="BG73" i="240" s="1"/>
  <c r="BH73" i="240" s="1"/>
  <c r="BK25" i="236"/>
  <c r="BF75" i="240" l="1"/>
  <c r="BF101" i="240"/>
  <c r="AH76" i="240"/>
  <c r="AM76" i="240"/>
  <c r="AN76" i="240"/>
  <c r="AM102" i="240"/>
  <c r="AN102" i="240"/>
  <c r="AH102" i="240"/>
  <c r="AU73" i="240"/>
  <c r="AU99" i="240"/>
  <c r="BH98" i="240"/>
  <c r="J13" i="253"/>
  <c r="BI73" i="240"/>
  <c r="AQ79" i="236"/>
  <c r="BX8" i="236"/>
  <c r="AQ105" i="236"/>
  <c r="AS74" i="240"/>
  <c r="AS100" i="240"/>
  <c r="P80" i="236"/>
  <c r="I78" i="240"/>
  <c r="Q83" i="236" s="1"/>
  <c r="P106" i="236"/>
  <c r="I104" i="240"/>
  <c r="Q109" i="236" s="1"/>
  <c r="AT74" i="240"/>
  <c r="BG74" i="240" s="1"/>
  <c r="BH74" i="240" s="1"/>
  <c r="AT100" i="240"/>
  <c r="H76" i="240"/>
  <c r="L76" i="240" s="1"/>
  <c r="H102" i="240"/>
  <c r="L102" i="240" s="1"/>
  <c r="BK26" i="236"/>
  <c r="BF102" i="240" l="1"/>
  <c r="BF76" i="240"/>
  <c r="AN103" i="240"/>
  <c r="AM103" i="240"/>
  <c r="AH103" i="240"/>
  <c r="AN77" i="240"/>
  <c r="AH77" i="240"/>
  <c r="AM77" i="240"/>
  <c r="BG100" i="240"/>
  <c r="AU74" i="240"/>
  <c r="AU100" i="240"/>
  <c r="BI74" i="240"/>
  <c r="AQ80" i="236"/>
  <c r="AQ106" i="236"/>
  <c r="AS75" i="240"/>
  <c r="AS101" i="240"/>
  <c r="P107" i="236"/>
  <c r="I105" i="240"/>
  <c r="Q110" i="236" s="1"/>
  <c r="P81" i="236"/>
  <c r="I79" i="240"/>
  <c r="Q84" i="236" s="1"/>
  <c r="AT101" i="240"/>
  <c r="H103" i="240"/>
  <c r="L103" i="240" s="1"/>
  <c r="AT75" i="240"/>
  <c r="BG75" i="240" s="1"/>
  <c r="BH75" i="240" s="1"/>
  <c r="H77" i="240"/>
  <c r="L77" i="240" s="1"/>
  <c r="BK27" i="236"/>
  <c r="BF103" i="240" l="1"/>
  <c r="BF77" i="240"/>
  <c r="AM104" i="240"/>
  <c r="AN104" i="240"/>
  <c r="AH104" i="240"/>
  <c r="AM78" i="240"/>
  <c r="AN78" i="240"/>
  <c r="AH78" i="240"/>
  <c r="AU75" i="240"/>
  <c r="AU101" i="240"/>
  <c r="BH100" i="240"/>
  <c r="BG101" i="240"/>
  <c r="BH101" i="240" s="1"/>
  <c r="BI75" i="240"/>
  <c r="AQ107" i="236"/>
  <c r="AQ81" i="236"/>
  <c r="AS102" i="240"/>
  <c r="AS76" i="240"/>
  <c r="P82" i="236"/>
  <c r="I80" i="240"/>
  <c r="L80" i="240" s="1"/>
  <c r="P108" i="236"/>
  <c r="I106" i="240"/>
  <c r="Q111" i="236" s="1"/>
  <c r="AT76" i="240"/>
  <c r="AT102" i="240"/>
  <c r="BG102" i="240" s="1"/>
  <c r="BH102" i="240" s="1"/>
  <c r="H79" i="240"/>
  <c r="H78" i="240"/>
  <c r="L78" i="240" s="1"/>
  <c r="H104" i="240"/>
  <c r="L104" i="240" s="1"/>
  <c r="BK28" i="236"/>
  <c r="BF80" i="240" l="1"/>
  <c r="BF104" i="240"/>
  <c r="BF78" i="240"/>
  <c r="AN81" i="240"/>
  <c r="AH81" i="240"/>
  <c r="AM81" i="240"/>
  <c r="AN105" i="240"/>
  <c r="AH105" i="240"/>
  <c r="AM105" i="240"/>
  <c r="AN79" i="240"/>
  <c r="AM79" i="240"/>
  <c r="AH79" i="240"/>
  <c r="L79" i="240"/>
  <c r="AU76" i="240"/>
  <c r="AU102" i="240"/>
  <c r="BG76" i="240"/>
  <c r="AQ108" i="236"/>
  <c r="AQ82" i="236"/>
  <c r="AS103" i="240"/>
  <c r="AS77" i="240"/>
  <c r="P109" i="236"/>
  <c r="I107" i="240"/>
  <c r="Q112" i="236" s="1"/>
  <c r="P83" i="236"/>
  <c r="I81" i="240"/>
  <c r="L81" i="240" s="1"/>
  <c r="P84" i="236"/>
  <c r="I82" i="240"/>
  <c r="Q85" i="236"/>
  <c r="AT103" i="240"/>
  <c r="AT77" i="240"/>
  <c r="H105" i="240"/>
  <c r="L105" i="240" s="1"/>
  <c r="AJ55" i="236"/>
  <c r="AQ32" i="236"/>
  <c r="BG32" i="236" s="1"/>
  <c r="BZ32" i="236" s="1"/>
  <c r="BM28" i="236"/>
  <c r="BM27" i="236"/>
  <c r="BM26" i="236"/>
  <c r="BG59" i="236"/>
  <c r="BZ59" i="236" s="1"/>
  <c r="BG58" i="236"/>
  <c r="BZ58" i="236" s="1"/>
  <c r="BG57" i="236"/>
  <c r="BZ57" i="236" s="1"/>
  <c r="BG55" i="236"/>
  <c r="BZ55" i="236" s="1"/>
  <c r="BG54" i="236"/>
  <c r="BZ54" i="236" s="1"/>
  <c r="BG53" i="236"/>
  <c r="BZ53" i="236" s="1"/>
  <c r="BG52" i="236"/>
  <c r="BZ52" i="236" s="1"/>
  <c r="BG51" i="236"/>
  <c r="BZ51" i="236" s="1"/>
  <c r="BG50" i="236"/>
  <c r="BZ50" i="236" s="1"/>
  <c r="BG49" i="236"/>
  <c r="BZ49" i="236" s="1"/>
  <c r="BG48" i="236"/>
  <c r="BZ48" i="236" s="1"/>
  <c r="BG47" i="236"/>
  <c r="BZ47" i="236" s="1"/>
  <c r="BG46" i="236"/>
  <c r="BZ46" i="236" s="1"/>
  <c r="BG45" i="236"/>
  <c r="BZ45" i="236" s="1"/>
  <c r="BG44" i="236"/>
  <c r="BZ44" i="236" s="1"/>
  <c r="BG43" i="236"/>
  <c r="BZ43" i="236" s="1"/>
  <c r="BG42" i="236"/>
  <c r="BZ42" i="236" s="1"/>
  <c r="BG41" i="236"/>
  <c r="BZ41" i="236" s="1"/>
  <c r="BG40" i="236"/>
  <c r="BZ40" i="236" s="1"/>
  <c r="BG39" i="236"/>
  <c r="BZ39" i="236" s="1"/>
  <c r="BG38" i="236"/>
  <c r="BZ38" i="236" s="1"/>
  <c r="BG37" i="236"/>
  <c r="BZ37" i="236" s="1"/>
  <c r="BG36" i="236"/>
  <c r="BZ36" i="236" s="1"/>
  <c r="BG35" i="236"/>
  <c r="BZ35" i="236" s="1"/>
  <c r="BG34" i="236"/>
  <c r="BZ34" i="236" s="1"/>
  <c r="BG33" i="236"/>
  <c r="BZ33" i="236" s="1"/>
  <c r="BG31" i="236"/>
  <c r="BZ31" i="236" s="1"/>
  <c r="BG30" i="236"/>
  <c r="BZ30" i="236" s="1"/>
  <c r="BG29" i="236"/>
  <c r="BZ29" i="236" s="1"/>
  <c r="BG28" i="236"/>
  <c r="BZ28" i="236" s="1"/>
  <c r="BG27" i="236"/>
  <c r="BZ27" i="236" s="1"/>
  <c r="BG26" i="236"/>
  <c r="BZ26" i="236" s="1"/>
  <c r="BG25" i="236"/>
  <c r="BZ25" i="236" s="1"/>
  <c r="BG24" i="236"/>
  <c r="BZ24" i="236" s="1"/>
  <c r="BG23" i="236"/>
  <c r="BZ23" i="236" s="1"/>
  <c r="BG22" i="236"/>
  <c r="BZ22" i="236" s="1"/>
  <c r="BG21" i="236"/>
  <c r="BZ21" i="236" s="1"/>
  <c r="BG20" i="236"/>
  <c r="BZ20" i="236" s="1"/>
  <c r="BG19" i="236"/>
  <c r="BZ19" i="236" s="1"/>
  <c r="BG18" i="236"/>
  <c r="BZ18" i="236" s="1"/>
  <c r="BG17" i="236"/>
  <c r="BZ17" i="236" s="1"/>
  <c r="BG16" i="236"/>
  <c r="BZ16" i="236" s="1"/>
  <c r="BG15" i="236"/>
  <c r="BZ15" i="236" s="1"/>
  <c r="BG14" i="236"/>
  <c r="BZ14" i="236" s="1"/>
  <c r="BG13" i="236"/>
  <c r="BZ13" i="236" s="1"/>
  <c r="BG12" i="236"/>
  <c r="BZ12" i="236" s="1"/>
  <c r="BG11" i="236"/>
  <c r="BZ11" i="236" s="1"/>
  <c r="BG10" i="236"/>
  <c r="BZ10" i="236" s="1"/>
  <c r="BF81" i="240" l="1"/>
  <c r="BF79" i="240"/>
  <c r="BF105" i="240"/>
  <c r="AM82" i="240"/>
  <c r="AN82" i="240"/>
  <c r="AH82" i="240"/>
  <c r="AM106" i="240"/>
  <c r="AN106" i="240"/>
  <c r="AH106" i="240"/>
  <c r="AH80" i="240"/>
  <c r="AM80" i="240"/>
  <c r="AN80" i="240"/>
  <c r="L82" i="240"/>
  <c r="BG103" i="240"/>
  <c r="BH76" i="240"/>
  <c r="BI76" i="240" s="1"/>
  <c r="AU103" i="240"/>
  <c r="BG77" i="240"/>
  <c r="BH77" i="240" s="1"/>
  <c r="AU77" i="240"/>
  <c r="AQ109" i="236"/>
  <c r="AQ83" i="236"/>
  <c r="AS80" i="240"/>
  <c r="AS78" i="240"/>
  <c r="AS104" i="240"/>
  <c r="AS79" i="240"/>
  <c r="P110" i="236"/>
  <c r="I108" i="240"/>
  <c r="Q113" i="236" s="1"/>
  <c r="AT104" i="240"/>
  <c r="BG104" i="240" s="1"/>
  <c r="BH104" i="240" s="1"/>
  <c r="Q86" i="236"/>
  <c r="Q87" i="236"/>
  <c r="H106" i="240"/>
  <c r="L106" i="240" s="1"/>
  <c r="AT78" i="240"/>
  <c r="BL27" i="236"/>
  <c r="BN27" i="236" s="1"/>
  <c r="BM12" i="236"/>
  <c r="BL28" i="236"/>
  <c r="BN28" i="236" s="1"/>
  <c r="BM11" i="236"/>
  <c r="BM10" i="236"/>
  <c r="AY56" i="236"/>
  <c r="BG56" i="236" s="1"/>
  <c r="BZ56" i="236" s="1"/>
  <c r="BC8" i="236"/>
  <c r="BF106" i="240" l="1"/>
  <c r="BF82" i="240"/>
  <c r="AN107" i="240"/>
  <c r="AH107" i="240"/>
  <c r="AM107" i="240"/>
  <c r="AN83" i="240"/>
  <c r="AH83" i="240"/>
  <c r="AM83" i="240"/>
  <c r="BI77" i="240"/>
  <c r="BH103" i="240"/>
  <c r="AU104" i="240"/>
  <c r="BG78" i="240"/>
  <c r="AU78" i="240"/>
  <c r="BH84" i="240"/>
  <c r="AQ110" i="236"/>
  <c r="AQ84" i="236"/>
  <c r="AQ86" i="236"/>
  <c r="AQ85" i="236"/>
  <c r="AS82" i="240"/>
  <c r="AS105" i="240"/>
  <c r="AS81" i="240"/>
  <c r="P111" i="236"/>
  <c r="I109" i="240"/>
  <c r="Q114" i="236" s="1"/>
  <c r="AT81" i="240"/>
  <c r="BG81" i="240" s="1"/>
  <c r="BH81" i="240" s="1"/>
  <c r="AT105" i="240"/>
  <c r="BG105" i="240" s="1"/>
  <c r="BH105" i="240" s="1"/>
  <c r="AT80" i="240"/>
  <c r="AU80" i="240" s="1"/>
  <c r="H107" i="240"/>
  <c r="L107" i="240" s="1"/>
  <c r="AT79" i="240"/>
  <c r="AU79" i="240" s="1"/>
  <c r="BM13" i="236"/>
  <c r="BF107" i="240" l="1"/>
  <c r="AM108" i="240"/>
  <c r="AN108" i="240"/>
  <c r="AH108" i="240"/>
  <c r="AU105" i="240"/>
  <c r="BH78" i="240"/>
  <c r="BI78" i="240" s="1"/>
  <c r="AU81" i="240"/>
  <c r="C12" i="253"/>
  <c r="BG79" i="240"/>
  <c r="BH79" i="240" s="1"/>
  <c r="BG80" i="240"/>
  <c r="BH80" i="240" s="1"/>
  <c r="AQ88" i="236"/>
  <c r="AQ111" i="236"/>
  <c r="AQ87" i="236"/>
  <c r="AS106" i="240"/>
  <c r="P112" i="236"/>
  <c r="I110" i="240"/>
  <c r="Q115" i="236" s="1"/>
  <c r="AT82" i="240"/>
  <c r="AU82" i="240" s="1"/>
  <c r="AT83" i="240"/>
  <c r="AU83" i="240" s="1"/>
  <c r="AT106" i="240"/>
  <c r="BG106" i="240" s="1"/>
  <c r="BH106" i="240" s="1"/>
  <c r="H108" i="240"/>
  <c r="L108" i="240" s="1"/>
  <c r="T180" i="236"/>
  <c r="T179" i="236"/>
  <c r="T178" i="236"/>
  <c r="T177" i="236"/>
  <c r="T176" i="236"/>
  <c r="T175" i="236"/>
  <c r="T174" i="236"/>
  <c r="T173" i="236"/>
  <c r="T172" i="236"/>
  <c r="T171" i="236"/>
  <c r="T170" i="236"/>
  <c r="T169" i="236"/>
  <c r="T168" i="236"/>
  <c r="T167" i="236"/>
  <c r="T166" i="236"/>
  <c r="T165" i="236"/>
  <c r="T164" i="236"/>
  <c r="T163" i="236"/>
  <c r="T162" i="236"/>
  <c r="T161" i="236"/>
  <c r="T160" i="236"/>
  <c r="T159" i="236"/>
  <c r="T158" i="236"/>
  <c r="T157" i="236"/>
  <c r="T156" i="236"/>
  <c r="T155" i="236"/>
  <c r="T154" i="236"/>
  <c r="T153" i="236"/>
  <c r="T152" i="236"/>
  <c r="T151" i="236"/>
  <c r="T150" i="236"/>
  <c r="T149" i="236"/>
  <c r="T148" i="236"/>
  <c r="T147" i="236"/>
  <c r="T146" i="236"/>
  <c r="T145" i="236"/>
  <c r="T144" i="236"/>
  <c r="T143" i="236"/>
  <c r="T142" i="236"/>
  <c r="T141" i="236"/>
  <c r="T140" i="236"/>
  <c r="T139" i="236"/>
  <c r="T138" i="236"/>
  <c r="T137" i="236"/>
  <c r="T136" i="236"/>
  <c r="T135" i="236"/>
  <c r="T134" i="236"/>
  <c r="T133" i="236"/>
  <c r="T132" i="236"/>
  <c r="T131" i="236"/>
  <c r="T130" i="236"/>
  <c r="T129" i="236"/>
  <c r="T128" i="236"/>
  <c r="T127" i="236"/>
  <c r="T126" i="236"/>
  <c r="T125" i="236"/>
  <c r="T124" i="236"/>
  <c r="T123" i="236"/>
  <c r="T122" i="236"/>
  <c r="T121" i="236"/>
  <c r="T120" i="236"/>
  <c r="T119" i="236"/>
  <c r="T118" i="236"/>
  <c r="T117" i="236"/>
  <c r="T116" i="236"/>
  <c r="T115" i="236"/>
  <c r="T114" i="236"/>
  <c r="T113" i="236"/>
  <c r="T112" i="236"/>
  <c r="T111" i="236"/>
  <c r="V111" i="236" s="1"/>
  <c r="AY112" i="236" s="1"/>
  <c r="T110" i="236"/>
  <c r="V110" i="236" s="1"/>
  <c r="T109" i="236"/>
  <c r="V109" i="236" s="1"/>
  <c r="T108" i="236"/>
  <c r="V108" i="236" s="1"/>
  <c r="AY109" i="236" s="1"/>
  <c r="T107" i="236"/>
  <c r="V107" i="236" s="1"/>
  <c r="AY108" i="236" s="1"/>
  <c r="T106" i="236"/>
  <c r="V106" i="236" s="1"/>
  <c r="T105" i="236"/>
  <c r="V105" i="236" s="1"/>
  <c r="T104" i="236"/>
  <c r="V104" i="236" s="1"/>
  <c r="AY105" i="236" s="1"/>
  <c r="T103" i="236"/>
  <c r="V103" i="236" s="1"/>
  <c r="AY104" i="236" s="1"/>
  <c r="T102" i="236"/>
  <c r="V102" i="236" s="1"/>
  <c r="T101" i="236"/>
  <c r="V101" i="236" s="1"/>
  <c r="T100" i="236"/>
  <c r="V100" i="236" s="1"/>
  <c r="AY101" i="236" s="1"/>
  <c r="T99" i="236"/>
  <c r="V99" i="236" s="1"/>
  <c r="AY100" i="236" s="1"/>
  <c r="T98" i="236"/>
  <c r="V98" i="236" s="1"/>
  <c r="T97" i="236"/>
  <c r="V97" i="236" s="1"/>
  <c r="T96" i="236"/>
  <c r="V96" i="236" s="1"/>
  <c r="AY97" i="236" s="1"/>
  <c r="T95" i="236"/>
  <c r="V95" i="236" s="1"/>
  <c r="AY96" i="236" s="1"/>
  <c r="T94" i="236"/>
  <c r="V94" i="236" s="1"/>
  <c r="T93" i="236"/>
  <c r="V93" i="236" s="1"/>
  <c r="T92" i="236"/>
  <c r="V92" i="236" s="1"/>
  <c r="AY93" i="236" s="1"/>
  <c r="T91" i="236"/>
  <c r="V91" i="236" s="1"/>
  <c r="AY92" i="236" s="1"/>
  <c r="T90" i="236"/>
  <c r="V90" i="236" s="1"/>
  <c r="T89" i="236"/>
  <c r="V89" i="236" s="1"/>
  <c r="T88" i="236"/>
  <c r="V88" i="236" s="1"/>
  <c r="AY89" i="236" s="1"/>
  <c r="T87" i="236"/>
  <c r="V87" i="236" s="1"/>
  <c r="AY88" i="236" s="1"/>
  <c r="T86" i="236"/>
  <c r="V86" i="236" s="1"/>
  <c r="T85" i="236"/>
  <c r="V85" i="236" s="1"/>
  <c r="T84" i="236"/>
  <c r="V84" i="236" s="1"/>
  <c r="AY85" i="236" s="1"/>
  <c r="T83" i="236"/>
  <c r="V83" i="236" s="1"/>
  <c r="AY84" i="236" s="1"/>
  <c r="T82" i="236"/>
  <c r="V82" i="236" s="1"/>
  <c r="T81" i="236"/>
  <c r="V81" i="236" s="1"/>
  <c r="T80" i="236"/>
  <c r="V80" i="236" s="1"/>
  <c r="AY81" i="236" s="1"/>
  <c r="T79" i="236"/>
  <c r="V79" i="236" s="1"/>
  <c r="AY80" i="236" s="1"/>
  <c r="T78" i="236"/>
  <c r="V78" i="236" s="1"/>
  <c r="T77" i="236"/>
  <c r="V77" i="236" s="1"/>
  <c r="T76" i="236"/>
  <c r="V76" i="236" s="1"/>
  <c r="AY77" i="236" s="1"/>
  <c r="T75" i="236"/>
  <c r="V75" i="236" s="1"/>
  <c r="AY76" i="236" s="1"/>
  <c r="T74" i="236"/>
  <c r="V74" i="236" s="1"/>
  <c r="T73" i="236"/>
  <c r="V73" i="236" s="1"/>
  <c r="T72" i="236"/>
  <c r="V72" i="236" s="1"/>
  <c r="AY73" i="236" s="1"/>
  <c r="T71" i="236"/>
  <c r="V71" i="236" s="1"/>
  <c r="AY72" i="236" s="1"/>
  <c r="T70" i="236"/>
  <c r="V70" i="236" s="1"/>
  <c r="T69" i="236"/>
  <c r="V69" i="236" s="1"/>
  <c r="T68" i="236"/>
  <c r="V68" i="236" s="1"/>
  <c r="AY69" i="236" s="1"/>
  <c r="T67" i="236"/>
  <c r="V67" i="236" s="1"/>
  <c r="AY68" i="236" s="1"/>
  <c r="T66" i="236"/>
  <c r="V66" i="236" s="1"/>
  <c r="AY67" i="236" s="1"/>
  <c r="T65" i="236"/>
  <c r="V65" i="236" s="1"/>
  <c r="AY66" i="236" s="1"/>
  <c r="BF108" i="240" l="1"/>
  <c r="BI79" i="240"/>
  <c r="BI80" i="240" s="1"/>
  <c r="BI81" i="240" s="1"/>
  <c r="AN109" i="240"/>
  <c r="AM109" i="240"/>
  <c r="AH109" i="240"/>
  <c r="AU106" i="240"/>
  <c r="I12" i="253"/>
  <c r="BG82" i="240"/>
  <c r="BH82" i="240" s="1"/>
  <c r="BG83" i="240"/>
  <c r="BH83" i="240" s="1"/>
  <c r="AY75" i="236"/>
  <c r="AY83" i="236"/>
  <c r="AY87" i="236"/>
  <c r="AY95" i="236"/>
  <c r="AY99" i="236"/>
  <c r="AY107" i="236"/>
  <c r="AY111" i="236"/>
  <c r="AY70" i="236"/>
  <c r="AY74" i="236"/>
  <c r="AY78" i="236"/>
  <c r="AY82" i="236"/>
  <c r="AY86" i="236"/>
  <c r="AY90" i="236"/>
  <c r="AY94" i="236"/>
  <c r="AY98" i="236"/>
  <c r="AY102" i="236"/>
  <c r="AY106" i="236"/>
  <c r="AY110" i="236"/>
  <c r="AY71" i="236"/>
  <c r="AY79" i="236"/>
  <c r="AY91" i="236"/>
  <c r="AY103" i="236"/>
  <c r="V112" i="236"/>
  <c r="BY65" i="236"/>
  <c r="AQ112" i="236"/>
  <c r="AS107" i="240"/>
  <c r="AQ113" i="236"/>
  <c r="P113" i="236"/>
  <c r="V113" i="236" s="1"/>
  <c r="I111" i="240"/>
  <c r="Q116" i="236" s="1"/>
  <c r="AT107" i="240"/>
  <c r="BG107" i="240" s="1"/>
  <c r="BH107" i="240" s="1"/>
  <c r="H109" i="240"/>
  <c r="L109" i="240" s="1"/>
  <c r="T8" i="236"/>
  <c r="BF189" i="236"/>
  <c r="BF109" i="240" l="1"/>
  <c r="AM110" i="240"/>
  <c r="AN110" i="240"/>
  <c r="AH110" i="240"/>
  <c r="J12" i="253"/>
  <c r="K12" i="253" s="1"/>
  <c r="L40" i="251" s="1"/>
  <c r="AU107" i="240"/>
  <c r="BY83" i="236"/>
  <c r="BY75" i="236"/>
  <c r="BY107" i="236"/>
  <c r="BY91" i="236"/>
  <c r="BY99" i="236"/>
  <c r="BY111" i="236"/>
  <c r="BY103" i="236"/>
  <c r="BY95" i="236"/>
  <c r="BY87" i="236"/>
  <c r="BY79" i="236"/>
  <c r="BI82" i="240"/>
  <c r="BI83" i="240" s="1"/>
  <c r="BI84" i="240" s="1"/>
  <c r="BI85" i="240" s="1"/>
  <c r="BI86" i="240" s="1"/>
  <c r="BI87" i="240" s="1"/>
  <c r="BI88" i="240" s="1"/>
  <c r="BI89" i="240" s="1"/>
  <c r="BI90" i="240" s="1"/>
  <c r="BI91" i="240" s="1"/>
  <c r="BI92" i="240" s="1"/>
  <c r="BI93" i="240" s="1"/>
  <c r="BI94" i="240" s="1"/>
  <c r="BI95" i="240" s="1"/>
  <c r="BI96" i="240" s="1"/>
  <c r="BI97" i="240" s="1"/>
  <c r="BI98" i="240" s="1"/>
  <c r="BI99" i="240" s="1"/>
  <c r="BI100" i="240" s="1"/>
  <c r="BI101" i="240" s="1"/>
  <c r="BI102" i="240" s="1"/>
  <c r="BI103" i="240" s="1"/>
  <c r="BI104" i="240" s="1"/>
  <c r="BI105" i="240" s="1"/>
  <c r="BI106" i="240" s="1"/>
  <c r="BI107" i="240" s="1"/>
  <c r="AY114" i="236"/>
  <c r="AY113" i="236"/>
  <c r="BY71" i="236"/>
  <c r="BY90" i="236"/>
  <c r="BY86" i="236"/>
  <c r="BY82" i="236"/>
  <c r="BY85" i="236"/>
  <c r="BY110" i="236"/>
  <c r="BY78" i="236"/>
  <c r="BY106" i="236"/>
  <c r="BY74" i="236"/>
  <c r="BY102" i="236"/>
  <c r="BY70" i="236"/>
  <c r="BY98" i="236"/>
  <c r="BY94" i="236"/>
  <c r="BY88" i="236"/>
  <c r="BY101" i="236"/>
  <c r="BY104" i="236"/>
  <c r="BY72" i="236"/>
  <c r="BY112" i="236"/>
  <c r="BY96" i="236"/>
  <c r="BY80" i="236"/>
  <c r="BY109" i="236"/>
  <c r="BY77" i="236"/>
  <c r="BY93" i="236"/>
  <c r="BY69" i="236"/>
  <c r="BY108" i="236"/>
  <c r="BY92" i="236"/>
  <c r="BY113" i="236"/>
  <c r="BY105" i="236"/>
  <c r="BY97" i="236"/>
  <c r="BY89" i="236"/>
  <c r="BY81" i="236"/>
  <c r="BY73" i="236"/>
  <c r="BY76" i="236"/>
  <c r="BY66" i="236"/>
  <c r="BY100" i="236"/>
  <c r="BY84" i="236"/>
  <c r="BY68" i="236"/>
  <c r="AS108" i="240"/>
  <c r="AQ114" i="236"/>
  <c r="P114" i="236"/>
  <c r="V114" i="236" s="1"/>
  <c r="I112" i="240"/>
  <c r="Q117" i="236" s="1"/>
  <c r="AT108" i="240"/>
  <c r="BG108" i="240" s="1"/>
  <c r="H110" i="240"/>
  <c r="L110" i="240" s="1"/>
  <c r="BF188" i="236"/>
  <c r="AW189" i="236"/>
  <c r="BG189" i="236" s="1"/>
  <c r="BZ189" i="236" s="1"/>
  <c r="CA189" i="236" s="1"/>
  <c r="BF185" i="236"/>
  <c r="AW186" i="236"/>
  <c r="BF186" i="236"/>
  <c r="AW187" i="236"/>
  <c r="BF187" i="236"/>
  <c r="AW188" i="236"/>
  <c r="BL26" i="236"/>
  <c r="BN26" i="236" s="1"/>
  <c r="BF110" i="240" l="1"/>
  <c r="AN111" i="240"/>
  <c r="AM111" i="240"/>
  <c r="AH111" i="240"/>
  <c r="BH108" i="240"/>
  <c r="BI108" i="240" s="1"/>
  <c r="AU108" i="240"/>
  <c r="AY115" i="236"/>
  <c r="BY114" i="236"/>
  <c r="BY67" i="236"/>
  <c r="AS109" i="240"/>
  <c r="P115" i="236"/>
  <c r="V115" i="236" s="1"/>
  <c r="AY116" i="236" s="1"/>
  <c r="I113" i="240"/>
  <c r="H111" i="240"/>
  <c r="L111" i="240" s="1"/>
  <c r="AT109" i="240"/>
  <c r="BG109" i="240" s="1"/>
  <c r="BH109" i="240" s="1"/>
  <c r="BG188" i="236"/>
  <c r="BZ188" i="236" s="1"/>
  <c r="CA188" i="236" s="1"/>
  <c r="BG187" i="236"/>
  <c r="BZ187" i="236" s="1"/>
  <c r="CA187" i="236" s="1"/>
  <c r="BG186" i="236"/>
  <c r="BZ186" i="236" s="1"/>
  <c r="BF190" i="236"/>
  <c r="BL25" i="236" s="1"/>
  <c r="BH189" i="236"/>
  <c r="AU8" i="236"/>
  <c r="AT8" i="236"/>
  <c r="AS8" i="236"/>
  <c r="AR8" i="236"/>
  <c r="W8" i="236"/>
  <c r="O5" i="251" s="1"/>
  <c r="T5" i="251" s="1"/>
  <c r="BF111" i="240" l="1"/>
  <c r="AM112" i="240"/>
  <c r="AN112" i="240"/>
  <c r="AH112" i="240"/>
  <c r="Q118" i="236"/>
  <c r="AU109" i="240"/>
  <c r="BI109" i="240"/>
  <c r="BY115" i="236"/>
  <c r="AQ115" i="236"/>
  <c r="AS110" i="240"/>
  <c r="P116" i="236"/>
  <c r="V116" i="236" s="1"/>
  <c r="AY117" i="236" s="1"/>
  <c r="I114" i="240"/>
  <c r="Q119" i="236" s="1"/>
  <c r="AT110" i="240"/>
  <c r="BG110" i="240" s="1"/>
  <c r="BH110" i="240" s="1"/>
  <c r="H112" i="240"/>
  <c r="L112" i="240" s="1"/>
  <c r="BH187" i="236"/>
  <c r="BH188" i="236"/>
  <c r="BH186" i="236"/>
  <c r="AV8" i="236"/>
  <c r="AO8" i="236"/>
  <c r="AN8" i="236"/>
  <c r="AM8" i="236"/>
  <c r="AL8" i="236"/>
  <c r="AK8" i="236"/>
  <c r="AJ8" i="236"/>
  <c r="AP8" i="236"/>
  <c r="AB8" i="236"/>
  <c r="AA8" i="236"/>
  <c r="BF112" i="240" l="1"/>
  <c r="AN113" i="240"/>
  <c r="AM113" i="240"/>
  <c r="AH113" i="240"/>
  <c r="AU110" i="240"/>
  <c r="BI110" i="240"/>
  <c r="BY116" i="236"/>
  <c r="AQ116" i="236"/>
  <c r="AS111" i="240"/>
  <c r="P117" i="236"/>
  <c r="V117" i="236" s="1"/>
  <c r="I115" i="240"/>
  <c r="Q120" i="236" s="1"/>
  <c r="AT111" i="240"/>
  <c r="BG111" i="240" s="1"/>
  <c r="BH111" i="240" s="1"/>
  <c r="AQ117" i="236"/>
  <c r="H113" i="240"/>
  <c r="L113" i="240" s="1"/>
  <c r="V10" i="236"/>
  <c r="V11" i="236"/>
  <c r="V12" i="236"/>
  <c r="V13" i="236"/>
  <c r="V14" i="236"/>
  <c r="V15" i="236"/>
  <c r="V16" i="236"/>
  <c r="V17" i="236"/>
  <c r="V18" i="236"/>
  <c r="V19" i="236"/>
  <c r="V20" i="236"/>
  <c r="V21" i="236"/>
  <c r="BF21" i="236" s="1"/>
  <c r="BY21" i="236" s="1"/>
  <c r="V22" i="236"/>
  <c r="V23" i="236"/>
  <c r="V24" i="236"/>
  <c r="V25" i="236"/>
  <c r="V26" i="236"/>
  <c r="V27" i="236"/>
  <c r="V28" i="236"/>
  <c r="V29" i="236"/>
  <c r="V30" i="236"/>
  <c r="V31" i="236"/>
  <c r="V32" i="236"/>
  <c r="V33" i="236"/>
  <c r="BF33" i="236" s="1"/>
  <c r="BY33" i="236" s="1"/>
  <c r="V34" i="236"/>
  <c r="V35" i="236"/>
  <c r="V36" i="236"/>
  <c r="V37" i="236"/>
  <c r="V38" i="236"/>
  <c r="V39" i="236"/>
  <c r="V40" i="236"/>
  <c r="V41" i="236"/>
  <c r="V42" i="236"/>
  <c r="V43" i="236"/>
  <c r="V44" i="236"/>
  <c r="V45" i="236"/>
  <c r="BF45" i="236" s="1"/>
  <c r="BY45" i="236" s="1"/>
  <c r="V46" i="236"/>
  <c r="V47" i="236"/>
  <c r="BF113" i="240" l="1"/>
  <c r="AM114" i="240"/>
  <c r="AN114" i="240"/>
  <c r="AH114" i="240"/>
  <c r="AU111" i="240"/>
  <c r="BI111" i="240"/>
  <c r="AY118" i="236"/>
  <c r="BY117" i="236"/>
  <c r="AS112" i="240"/>
  <c r="P118" i="236"/>
  <c r="V118" i="236" s="1"/>
  <c r="I116" i="240"/>
  <c r="Q121" i="236" s="1"/>
  <c r="AT112" i="240"/>
  <c r="H114" i="240"/>
  <c r="L114" i="240" s="1"/>
  <c r="BF41" i="236"/>
  <c r="BY41" i="236" s="1"/>
  <c r="BF37" i="236"/>
  <c r="BY37" i="236" s="1"/>
  <c r="BF29" i="236"/>
  <c r="BY29" i="236" s="1"/>
  <c r="BF25" i="236"/>
  <c r="BY25" i="236" s="1"/>
  <c r="BF17" i="236"/>
  <c r="BY17" i="236" s="1"/>
  <c r="BF13" i="236"/>
  <c r="BY13" i="236" s="1"/>
  <c r="BF36" i="236"/>
  <c r="BY36" i="236" s="1"/>
  <c r="BF32" i="236"/>
  <c r="BY32" i="236" s="1"/>
  <c r="BF28" i="236"/>
  <c r="BY28" i="236" s="1"/>
  <c r="BF24" i="236"/>
  <c r="BY24" i="236" s="1"/>
  <c r="BF20" i="236"/>
  <c r="BY20" i="236" s="1"/>
  <c r="BF16" i="236"/>
  <c r="BY16" i="236" s="1"/>
  <c r="BF12" i="236"/>
  <c r="BY12" i="236" s="1"/>
  <c r="BF44" i="236"/>
  <c r="BY44" i="236" s="1"/>
  <c r="BF43" i="236"/>
  <c r="BY43" i="236" s="1"/>
  <c r="BF39" i="236"/>
  <c r="BY39" i="236" s="1"/>
  <c r="BF35" i="236"/>
  <c r="BY35" i="236" s="1"/>
  <c r="BF31" i="236"/>
  <c r="BY31" i="236" s="1"/>
  <c r="BF27" i="236"/>
  <c r="BY27" i="236" s="1"/>
  <c r="BF23" i="236"/>
  <c r="BY23" i="236" s="1"/>
  <c r="BF19" i="236"/>
  <c r="BY19" i="236" s="1"/>
  <c r="BF15" i="236"/>
  <c r="BY15" i="236" s="1"/>
  <c r="BF11" i="236"/>
  <c r="BY11" i="236" s="1"/>
  <c r="BF40" i="236"/>
  <c r="BY40" i="236" s="1"/>
  <c r="BF47" i="236"/>
  <c r="BY47" i="236" s="1"/>
  <c r="BF46" i="236"/>
  <c r="BY46" i="236" s="1"/>
  <c r="BF42" i="236"/>
  <c r="BY42" i="236" s="1"/>
  <c r="BF38" i="236"/>
  <c r="BY38" i="236" s="1"/>
  <c r="BF34" i="236"/>
  <c r="BY34" i="236" s="1"/>
  <c r="BF30" i="236"/>
  <c r="BY30" i="236" s="1"/>
  <c r="BF26" i="236"/>
  <c r="BY26" i="236" s="1"/>
  <c r="BF22" i="236"/>
  <c r="BY22" i="236" s="1"/>
  <c r="BF18" i="236"/>
  <c r="BY18" i="236" s="1"/>
  <c r="BF14" i="236"/>
  <c r="BY14" i="236" s="1"/>
  <c r="BH33" i="236"/>
  <c r="BH21" i="236"/>
  <c r="BH45" i="236"/>
  <c r="BF10" i="236"/>
  <c r="BY10" i="236" s="1"/>
  <c r="Y8" i="236"/>
  <c r="M8" i="236"/>
  <c r="BF114" i="240" l="1"/>
  <c r="AN115" i="240"/>
  <c r="AH115" i="240"/>
  <c r="AM115" i="240"/>
  <c r="AU112" i="240"/>
  <c r="BG112" i="240"/>
  <c r="BH112" i="240" s="1"/>
  <c r="BI112" i="240" s="1"/>
  <c r="AY119" i="236"/>
  <c r="CA21" i="236"/>
  <c r="CF21" i="236" s="1"/>
  <c r="CE21" i="236"/>
  <c r="CA45" i="236"/>
  <c r="CF45" i="236" s="1"/>
  <c r="CE45" i="236"/>
  <c r="CA33" i="236"/>
  <c r="CF33" i="236" s="1"/>
  <c r="CE33" i="236"/>
  <c r="BY118" i="236"/>
  <c r="BH32" i="236"/>
  <c r="AQ118" i="236"/>
  <c r="AS113" i="240"/>
  <c r="P119" i="236"/>
  <c r="V119" i="236" s="1"/>
  <c r="AY120" i="236" s="1"/>
  <c r="I117" i="240"/>
  <c r="Q122" i="236" s="1"/>
  <c r="BL11" i="236"/>
  <c r="BN11" i="236" s="1"/>
  <c r="BL12" i="236"/>
  <c r="BN12" i="236" s="1"/>
  <c r="AT113" i="240"/>
  <c r="BG113" i="240" s="1"/>
  <c r="BH113" i="240" s="1"/>
  <c r="H115" i="240"/>
  <c r="L115" i="240" s="1"/>
  <c r="BH14" i="236"/>
  <c r="BH30" i="236"/>
  <c r="BH15" i="236"/>
  <c r="BH31" i="236"/>
  <c r="BH24" i="236"/>
  <c r="BH29" i="236"/>
  <c r="BH26" i="236"/>
  <c r="BH42" i="236"/>
  <c r="BH11" i="236"/>
  <c r="BH27" i="236"/>
  <c r="BH43" i="236"/>
  <c r="BH20" i="236"/>
  <c r="BH25" i="236"/>
  <c r="BH36" i="236"/>
  <c r="BH46" i="236"/>
  <c r="BH44" i="236"/>
  <c r="BH18" i="236"/>
  <c r="BH34" i="236"/>
  <c r="BH47" i="236"/>
  <c r="BH19" i="236"/>
  <c r="BH35" i="236"/>
  <c r="BH12" i="236"/>
  <c r="BH28" i="236"/>
  <c r="BH13" i="236"/>
  <c r="BH37" i="236"/>
  <c r="BH22" i="236"/>
  <c r="BH38" i="236"/>
  <c r="BH40" i="236"/>
  <c r="BH23" i="236"/>
  <c r="BH39" i="236"/>
  <c r="BH16" i="236"/>
  <c r="BH17" i="236"/>
  <c r="BH41" i="236"/>
  <c r="BL10" i="236"/>
  <c r="BH10" i="236"/>
  <c r="BF115" i="240" l="1"/>
  <c r="AM116" i="240"/>
  <c r="AN116" i="240"/>
  <c r="AH116" i="240"/>
  <c r="AU113" i="240"/>
  <c r="BI113" i="240"/>
  <c r="CA10" i="236"/>
  <c r="CF10" i="236" s="1"/>
  <c r="CE10" i="236"/>
  <c r="CA16" i="236"/>
  <c r="CF16" i="236" s="1"/>
  <c r="CE16" i="236"/>
  <c r="CA38" i="236"/>
  <c r="CF38" i="236" s="1"/>
  <c r="CE38" i="236"/>
  <c r="CA28" i="236"/>
  <c r="CF28" i="236" s="1"/>
  <c r="CE28" i="236"/>
  <c r="CA47" i="236"/>
  <c r="CF47" i="236" s="1"/>
  <c r="CE47" i="236"/>
  <c r="CA46" i="236"/>
  <c r="CF46" i="236" s="1"/>
  <c r="CE46" i="236"/>
  <c r="CA43" i="236"/>
  <c r="CF43" i="236" s="1"/>
  <c r="CE43" i="236"/>
  <c r="CA26" i="236"/>
  <c r="CF26" i="236" s="1"/>
  <c r="CE26" i="236"/>
  <c r="CA15" i="236"/>
  <c r="CF15" i="236" s="1"/>
  <c r="CE15" i="236"/>
  <c r="CA32" i="236"/>
  <c r="CF32" i="236" s="1"/>
  <c r="CE32" i="236"/>
  <c r="CA39" i="236"/>
  <c r="CF39" i="236" s="1"/>
  <c r="CE39" i="236"/>
  <c r="CA22" i="236"/>
  <c r="CF22" i="236" s="1"/>
  <c r="CE22" i="236"/>
  <c r="CA12" i="236"/>
  <c r="CF12" i="236" s="1"/>
  <c r="CE12" i="236"/>
  <c r="CA34" i="236"/>
  <c r="CF34" i="236" s="1"/>
  <c r="CE34" i="236"/>
  <c r="CA36" i="236"/>
  <c r="CF36" i="236" s="1"/>
  <c r="CE36" i="236"/>
  <c r="CA27" i="236"/>
  <c r="CF27" i="236" s="1"/>
  <c r="CE27" i="236"/>
  <c r="CA29" i="236"/>
  <c r="CF29" i="236" s="1"/>
  <c r="CE29" i="236"/>
  <c r="CA30" i="236"/>
  <c r="CF30" i="236" s="1"/>
  <c r="CE30" i="236"/>
  <c r="CA41" i="236"/>
  <c r="CF41" i="236" s="1"/>
  <c r="CE41" i="236"/>
  <c r="CA23" i="236"/>
  <c r="CF23" i="236" s="1"/>
  <c r="CE23" i="236"/>
  <c r="CA37" i="236"/>
  <c r="CF37" i="236" s="1"/>
  <c r="CE37" i="236"/>
  <c r="CA35" i="236"/>
  <c r="CF35" i="236" s="1"/>
  <c r="CE35" i="236"/>
  <c r="CA18" i="236"/>
  <c r="CF18" i="236" s="1"/>
  <c r="CE18" i="236"/>
  <c r="CA25" i="236"/>
  <c r="CF25" i="236" s="1"/>
  <c r="CE25" i="236"/>
  <c r="CA11" i="236"/>
  <c r="CF11" i="236" s="1"/>
  <c r="CE11" i="236"/>
  <c r="CA24" i="236"/>
  <c r="CF24" i="236" s="1"/>
  <c r="CE24" i="236"/>
  <c r="CA14" i="236"/>
  <c r="CF14" i="236" s="1"/>
  <c r="CE14" i="236"/>
  <c r="CA17" i="236"/>
  <c r="CF17" i="236" s="1"/>
  <c r="CE17" i="236"/>
  <c r="CA40" i="236"/>
  <c r="CF40" i="236" s="1"/>
  <c r="CE40" i="236"/>
  <c r="CA13" i="236"/>
  <c r="CF13" i="236" s="1"/>
  <c r="CE13" i="236"/>
  <c r="CA19" i="236"/>
  <c r="CF19" i="236" s="1"/>
  <c r="CE19" i="236"/>
  <c r="CA44" i="236"/>
  <c r="CF44" i="236" s="1"/>
  <c r="CE44" i="236"/>
  <c r="CA20" i="236"/>
  <c r="CF20" i="236" s="1"/>
  <c r="CE20" i="236"/>
  <c r="CA42" i="236"/>
  <c r="CF42" i="236" s="1"/>
  <c r="CE42" i="236"/>
  <c r="CA31" i="236"/>
  <c r="CF31" i="236" s="1"/>
  <c r="CE31" i="236"/>
  <c r="BY119" i="236"/>
  <c r="AQ119" i="236"/>
  <c r="AS114" i="240"/>
  <c r="P120" i="236"/>
  <c r="V120" i="236" s="1"/>
  <c r="AY121" i="236" s="1"/>
  <c r="I118" i="240"/>
  <c r="Q123" i="236" s="1"/>
  <c r="H116" i="240"/>
  <c r="L116" i="240" s="1"/>
  <c r="AT114" i="240"/>
  <c r="BI10" i="236"/>
  <c r="CB10" i="236" s="1"/>
  <c r="BN10" i="236"/>
  <c r="BF116" i="240" l="1"/>
  <c r="AN117" i="240"/>
  <c r="AH117" i="240"/>
  <c r="AM117" i="240"/>
  <c r="BG114" i="240"/>
  <c r="BH114" i="240" s="1"/>
  <c r="BI114" i="240" s="1"/>
  <c r="AU114" i="240"/>
  <c r="BY120" i="236"/>
  <c r="AQ120" i="236"/>
  <c r="AS115" i="240"/>
  <c r="P121" i="236"/>
  <c r="V121" i="236" s="1"/>
  <c r="AY122" i="236" s="1"/>
  <c r="I119" i="240"/>
  <c r="Q124" i="236" s="1"/>
  <c r="AT115" i="240"/>
  <c r="BG115" i="240" s="1"/>
  <c r="BH115" i="240" s="1"/>
  <c r="H117" i="240"/>
  <c r="L117" i="240" s="1"/>
  <c r="BO10" i="236"/>
  <c r="BO11" i="236" s="1"/>
  <c r="BO12" i="236" s="1"/>
  <c r="BF117" i="240" l="1"/>
  <c r="AM118" i="240"/>
  <c r="AN118" i="240"/>
  <c r="AH118" i="240"/>
  <c r="AU115" i="240"/>
  <c r="BI115" i="240"/>
  <c r="BY121" i="236"/>
  <c r="AQ121" i="236"/>
  <c r="AS116" i="240"/>
  <c r="P122" i="236"/>
  <c r="V122" i="236" s="1"/>
  <c r="I120" i="240"/>
  <c r="Q125" i="236" s="1"/>
  <c r="H118" i="240"/>
  <c r="L118" i="240" s="1"/>
  <c r="AT116" i="240"/>
  <c r="BF118" i="240" l="1"/>
  <c r="AN119" i="240"/>
  <c r="AM119" i="240"/>
  <c r="AH119" i="240"/>
  <c r="BG116" i="240"/>
  <c r="BH116" i="240" s="1"/>
  <c r="BI116" i="240" s="1"/>
  <c r="AU116" i="240"/>
  <c r="AY123" i="236"/>
  <c r="BY122" i="236"/>
  <c r="AQ122" i="236"/>
  <c r="AS117" i="240"/>
  <c r="P123" i="236"/>
  <c r="V123" i="236" s="1"/>
  <c r="AY124" i="236" s="1"/>
  <c r="I121" i="240"/>
  <c r="Q126" i="236" s="1"/>
  <c r="H119" i="240"/>
  <c r="L119" i="240" s="1"/>
  <c r="AT117" i="240"/>
  <c r="BG117" i="240" s="1"/>
  <c r="BH117" i="240" s="1"/>
  <c r="Q50" i="236"/>
  <c r="V50" i="236" s="1"/>
  <c r="Q49" i="236"/>
  <c r="V49" i="236" s="1"/>
  <c r="O49" i="236"/>
  <c r="A63" i="236"/>
  <c r="A64" i="236" s="1"/>
  <c r="A65" i="236" s="1"/>
  <c r="A66" i="236" s="1"/>
  <c r="A67" i="236" s="1"/>
  <c r="A68" i="236" s="1"/>
  <c r="A69" i="236" s="1"/>
  <c r="A70" i="236" s="1"/>
  <c r="A71" i="236" s="1"/>
  <c r="A72" i="236" s="1"/>
  <c r="A73" i="236" s="1"/>
  <c r="A74" i="236" s="1"/>
  <c r="A75" i="236" s="1"/>
  <c r="A76" i="236" s="1"/>
  <c r="A77" i="236" s="1"/>
  <c r="A78" i="236" s="1"/>
  <c r="A79" i="236" s="1"/>
  <c r="A80" i="236" s="1"/>
  <c r="A81" i="236" s="1"/>
  <c r="A82" i="236" s="1"/>
  <c r="A83" i="236" s="1"/>
  <c r="A84" i="236" s="1"/>
  <c r="A85" i="236" s="1"/>
  <c r="A86" i="236" s="1"/>
  <c r="A87" i="236" s="1"/>
  <c r="A88" i="236" s="1"/>
  <c r="A89" i="236" s="1"/>
  <c r="A90" i="236" s="1"/>
  <c r="A91" i="236" s="1"/>
  <c r="A92" i="236" s="1"/>
  <c r="A93" i="236" s="1"/>
  <c r="A94" i="236" s="1"/>
  <c r="A95" i="236" s="1"/>
  <c r="A96" i="236" s="1"/>
  <c r="A97" i="236" s="1"/>
  <c r="A98" i="236" s="1"/>
  <c r="A99" i="236" s="1"/>
  <c r="A100" i="236" s="1"/>
  <c r="A101" i="236" s="1"/>
  <c r="A102" i="236" s="1"/>
  <c r="A103" i="236" s="1"/>
  <c r="A104" i="236" s="1"/>
  <c r="A105" i="236" s="1"/>
  <c r="A106" i="236" s="1"/>
  <c r="A107" i="236" s="1"/>
  <c r="A108" i="236" s="1"/>
  <c r="A109" i="236" s="1"/>
  <c r="A110" i="236" s="1"/>
  <c r="A111" i="236" s="1"/>
  <c r="A112" i="236" s="1"/>
  <c r="A113" i="236" s="1"/>
  <c r="A114" i="236" s="1"/>
  <c r="A115" i="236" s="1"/>
  <c r="A116" i="236" s="1"/>
  <c r="A117" i="236" s="1"/>
  <c r="A118" i="236" s="1"/>
  <c r="A119" i="236" s="1"/>
  <c r="A120" i="236" s="1"/>
  <c r="A121" i="236" s="1"/>
  <c r="A122" i="236" s="1"/>
  <c r="A123" i="236" s="1"/>
  <c r="A124" i="236" s="1"/>
  <c r="A125" i="236" s="1"/>
  <c r="A126" i="236" s="1"/>
  <c r="A127" i="236" s="1"/>
  <c r="A128" i="236" s="1"/>
  <c r="A129" i="236" s="1"/>
  <c r="A130" i="236" s="1"/>
  <c r="A131" i="236" s="1"/>
  <c r="A132" i="236" s="1"/>
  <c r="A133" i="236" s="1"/>
  <c r="A134" i="236" s="1"/>
  <c r="A135" i="236" s="1"/>
  <c r="A136" i="236" s="1"/>
  <c r="A137" i="236" s="1"/>
  <c r="A138" i="236" s="1"/>
  <c r="A139" i="236" s="1"/>
  <c r="A140" i="236" s="1"/>
  <c r="A141" i="236" s="1"/>
  <c r="A142" i="236" s="1"/>
  <c r="A143" i="236" s="1"/>
  <c r="A144" i="236" s="1"/>
  <c r="A145" i="236" s="1"/>
  <c r="A146" i="236" s="1"/>
  <c r="A147" i="236" s="1"/>
  <c r="A148" i="236" s="1"/>
  <c r="A149" i="236" s="1"/>
  <c r="A150" i="236" s="1"/>
  <c r="A151" i="236" s="1"/>
  <c r="A152" i="236" s="1"/>
  <c r="A153" i="236" s="1"/>
  <c r="A154" i="236" s="1"/>
  <c r="A155" i="236" s="1"/>
  <c r="A156" i="236" s="1"/>
  <c r="A157" i="236" s="1"/>
  <c r="A158" i="236" s="1"/>
  <c r="A159" i="236" s="1"/>
  <c r="A160" i="236" s="1"/>
  <c r="A161" i="236" s="1"/>
  <c r="A162" i="236" s="1"/>
  <c r="A163" i="236" s="1"/>
  <c r="A164" i="236" s="1"/>
  <c r="A165" i="236" s="1"/>
  <c r="A166" i="236" s="1"/>
  <c r="A167" i="236" s="1"/>
  <c r="A168" i="236" s="1"/>
  <c r="A169" i="236" s="1"/>
  <c r="A170" i="236" s="1"/>
  <c r="A171" i="236" s="1"/>
  <c r="A172" i="236" s="1"/>
  <c r="A173" i="236" s="1"/>
  <c r="A174" i="236" s="1"/>
  <c r="A175" i="236" s="1"/>
  <c r="A176" i="236" s="1"/>
  <c r="A177" i="236" s="1"/>
  <c r="A178" i="236" s="1"/>
  <c r="A179" i="236" s="1"/>
  <c r="A180" i="236" s="1"/>
  <c r="A181" i="236" s="1"/>
  <c r="A182" i="236" s="1"/>
  <c r="A183" i="236" s="1"/>
  <c r="A184" i="236" s="1"/>
  <c r="A185" i="236" s="1"/>
  <c r="A186" i="236" s="1"/>
  <c r="Q48" i="236"/>
  <c r="V48" i="236" s="1"/>
  <c r="BF48" i="236" s="1"/>
  <c r="BY48" i="236" s="1"/>
  <c r="BF119" i="240" l="1"/>
  <c r="AM120" i="240"/>
  <c r="AN120" i="240"/>
  <c r="AH120" i="240"/>
  <c r="AU117" i="240"/>
  <c r="BI117" i="240"/>
  <c r="A187" i="236"/>
  <c r="CE186" i="236"/>
  <c r="BY123" i="236"/>
  <c r="AQ123" i="236"/>
  <c r="AS118" i="240"/>
  <c r="P124" i="236"/>
  <c r="V124" i="236" s="1"/>
  <c r="AY125" i="236" s="1"/>
  <c r="I122" i="240"/>
  <c r="Q127" i="236" s="1"/>
  <c r="AT118" i="240"/>
  <c r="H120" i="240"/>
  <c r="L120" i="240" s="1"/>
  <c r="BF49" i="236"/>
  <c r="BY49" i="236" s="1"/>
  <c r="BF50" i="236"/>
  <c r="BY50" i="236" s="1"/>
  <c r="BH48" i="236"/>
  <c r="J8" i="236"/>
  <c r="N8" i="236"/>
  <c r="O50" i="236"/>
  <c r="O51" i="236" s="1"/>
  <c r="O52" i="236" s="1"/>
  <c r="O53" i="236" s="1"/>
  <c r="AX8" i="236"/>
  <c r="BF120" i="240" l="1"/>
  <c r="AN121" i="240"/>
  <c r="AH121" i="240"/>
  <c r="AM121" i="240"/>
  <c r="BG118" i="240"/>
  <c r="BH118" i="240" s="1"/>
  <c r="BI118" i="240" s="1"/>
  <c r="AU118" i="240"/>
  <c r="CC188" i="236"/>
  <c r="CC185" i="236"/>
  <c r="CC189" i="236"/>
  <c r="CC186" i="236"/>
  <c r="CC190" i="236"/>
  <c r="CC187" i="236"/>
  <c r="CA48" i="236"/>
  <c r="CF48" i="236" s="1"/>
  <c r="CE48" i="236"/>
  <c r="A188" i="236"/>
  <c r="CF187" i="236"/>
  <c r="CE187" i="236"/>
  <c r="BY124" i="236"/>
  <c r="AQ124" i="236"/>
  <c r="BJ10" i="236"/>
  <c r="AS119" i="240"/>
  <c r="P125" i="236"/>
  <c r="V125" i="236" s="1"/>
  <c r="AY126" i="236" s="1"/>
  <c r="I123" i="240"/>
  <c r="Q128" i="236" s="1"/>
  <c r="H121" i="240"/>
  <c r="L121" i="240" s="1"/>
  <c r="AT119" i="240"/>
  <c r="BG119" i="240" s="1"/>
  <c r="BH50" i="236"/>
  <c r="BH49" i="236"/>
  <c r="O54" i="236"/>
  <c r="BF121" i="240" l="1"/>
  <c r="AM122" i="240"/>
  <c r="AN122" i="240"/>
  <c r="AH122" i="240"/>
  <c r="AU119" i="240"/>
  <c r="BH119" i="240"/>
  <c r="BI119" i="240" s="1"/>
  <c r="A189" i="236"/>
  <c r="CF188" i="236"/>
  <c r="CE188" i="236"/>
  <c r="CA50" i="236"/>
  <c r="CF50" i="236" s="1"/>
  <c r="CE50" i="236"/>
  <c r="CA49" i="236"/>
  <c r="CF49" i="236" s="1"/>
  <c r="CE49" i="236"/>
  <c r="BY125" i="236"/>
  <c r="AQ125" i="236"/>
  <c r="AS120" i="240"/>
  <c r="P126" i="236"/>
  <c r="V126" i="236" s="1"/>
  <c r="I124" i="240"/>
  <c r="Q129" i="236" s="1"/>
  <c r="H122" i="240"/>
  <c r="L122" i="240" s="1"/>
  <c r="AT120" i="240"/>
  <c r="BI11" i="236"/>
  <c r="CB11" i="236" s="1"/>
  <c r="O55" i="236"/>
  <c r="BF122" i="240" l="1"/>
  <c r="AN123" i="240"/>
  <c r="AH123" i="240"/>
  <c r="AM123" i="240"/>
  <c r="BG120" i="240"/>
  <c r="BH120" i="240" s="1"/>
  <c r="BI120" i="240" s="1"/>
  <c r="AU120" i="240"/>
  <c r="AY127" i="236"/>
  <c r="A190" i="236"/>
  <c r="CF189" i="236"/>
  <c r="CE189" i="236"/>
  <c r="BY126" i="236"/>
  <c r="AQ126" i="236"/>
  <c r="BI12" i="236"/>
  <c r="CB12" i="236" s="1"/>
  <c r="BJ11" i="236"/>
  <c r="AS121" i="240"/>
  <c r="P127" i="236"/>
  <c r="V127" i="236" s="1"/>
  <c r="AY128" i="236" s="1"/>
  <c r="I125" i="240"/>
  <c r="Q130" i="236" s="1"/>
  <c r="H123" i="240"/>
  <c r="L123" i="240" s="1"/>
  <c r="AT121" i="240"/>
  <c r="BG121" i="240" s="1"/>
  <c r="O56" i="236"/>
  <c r="BF123" i="240" l="1"/>
  <c r="AM124" i="240"/>
  <c r="AN124" i="240"/>
  <c r="AH124" i="240"/>
  <c r="AU121" i="240"/>
  <c r="BH121" i="240"/>
  <c r="BI121" i="240" s="1"/>
  <c r="BY127" i="236"/>
  <c r="AQ127" i="236"/>
  <c r="BI13" i="236"/>
  <c r="CB13" i="236" s="1"/>
  <c r="BJ12" i="236"/>
  <c r="AS122" i="240"/>
  <c r="P128" i="236"/>
  <c r="V128" i="236" s="1"/>
  <c r="AY129" i="236" s="1"/>
  <c r="I126" i="240"/>
  <c r="Q131" i="236" s="1"/>
  <c r="AT122" i="240"/>
  <c r="BG122" i="240" s="1"/>
  <c r="H124" i="240"/>
  <c r="L124" i="240" s="1"/>
  <c r="O57" i="236"/>
  <c r="BF124" i="240" l="1"/>
  <c r="AN125" i="240"/>
  <c r="AM125" i="240"/>
  <c r="AH125" i="240"/>
  <c r="AU122" i="240"/>
  <c r="BH122" i="240"/>
  <c r="BI122" i="240" s="1"/>
  <c r="BY128" i="236"/>
  <c r="AQ128" i="236"/>
  <c r="BI14" i="236"/>
  <c r="CB14" i="236" s="1"/>
  <c r="BJ13" i="236"/>
  <c r="AS123" i="240"/>
  <c r="P129" i="236"/>
  <c r="V129" i="236" s="1"/>
  <c r="AY130" i="236" s="1"/>
  <c r="I127" i="240"/>
  <c r="Q132" i="236" s="1"/>
  <c r="H125" i="240"/>
  <c r="L125" i="240" s="1"/>
  <c r="AT123" i="240"/>
  <c r="BG123" i="240" s="1"/>
  <c r="J15" i="253" s="1"/>
  <c r="O58" i="236"/>
  <c r="BF125" i="240" l="1"/>
  <c r="AM126" i="240"/>
  <c r="AN126" i="240"/>
  <c r="AH126" i="240"/>
  <c r="AU123" i="240"/>
  <c r="BH123" i="240"/>
  <c r="BI123" i="240" s="1"/>
  <c r="BY129" i="236"/>
  <c r="AQ129" i="236"/>
  <c r="BI15" i="236"/>
  <c r="CB15" i="236" s="1"/>
  <c r="BJ14" i="236"/>
  <c r="AS124" i="240"/>
  <c r="P130" i="236"/>
  <c r="V130" i="236" s="1"/>
  <c r="I128" i="240"/>
  <c r="Q133" i="236" s="1"/>
  <c r="AT124" i="240"/>
  <c r="H126" i="240"/>
  <c r="L126" i="240" s="1"/>
  <c r="O59" i="236"/>
  <c r="BF126" i="240" l="1"/>
  <c r="AN127" i="240"/>
  <c r="AM127" i="240"/>
  <c r="AH127" i="240"/>
  <c r="BG124" i="240"/>
  <c r="BH124" i="240" s="1"/>
  <c r="BI124" i="240" s="1"/>
  <c r="AU124" i="240"/>
  <c r="AY131" i="236"/>
  <c r="BY130" i="236"/>
  <c r="AQ130" i="236"/>
  <c r="BI16" i="236"/>
  <c r="CB16" i="236" s="1"/>
  <c r="BJ15" i="236"/>
  <c r="AS125" i="240"/>
  <c r="P131" i="236"/>
  <c r="V131" i="236" s="1"/>
  <c r="AY132" i="236" s="1"/>
  <c r="I129" i="240"/>
  <c r="Q134" i="236" s="1"/>
  <c r="H127" i="240"/>
  <c r="L127" i="240" s="1"/>
  <c r="AT125" i="240"/>
  <c r="BG125" i="240" s="1"/>
  <c r="BH125" i="240" s="1"/>
  <c r="O60" i="236"/>
  <c r="BF127" i="240" l="1"/>
  <c r="AM128" i="240"/>
  <c r="AN128" i="240"/>
  <c r="AH128" i="240"/>
  <c r="AU125" i="240"/>
  <c r="BI125" i="240"/>
  <c r="BY131" i="236"/>
  <c r="AQ131" i="236"/>
  <c r="BI17" i="236"/>
  <c r="CB17" i="236" s="1"/>
  <c r="BJ16" i="236"/>
  <c r="AS126" i="240"/>
  <c r="P132" i="236"/>
  <c r="V132" i="236" s="1"/>
  <c r="AY133" i="236" s="1"/>
  <c r="I130" i="240"/>
  <c r="Q135" i="236" s="1"/>
  <c r="AT126" i="240"/>
  <c r="BG126" i="240" s="1"/>
  <c r="BH126" i="240" s="1"/>
  <c r="H128" i="240"/>
  <c r="L128" i="240" s="1"/>
  <c r="O61" i="236"/>
  <c r="O62" i="236" s="1"/>
  <c r="BF128" i="240" l="1"/>
  <c r="AN129" i="240"/>
  <c r="AM129" i="240"/>
  <c r="AH129" i="240"/>
  <c r="AU126" i="240"/>
  <c r="BI126" i="240"/>
  <c r="BY132" i="236"/>
  <c r="AQ132" i="236"/>
  <c r="BI18" i="236"/>
  <c r="CB18" i="236" s="1"/>
  <c r="BJ17" i="236"/>
  <c r="AS127" i="240"/>
  <c r="P133" i="236"/>
  <c r="V133" i="236" s="1"/>
  <c r="AY134" i="236" s="1"/>
  <c r="I131" i="240"/>
  <c r="Q136" i="236" s="1"/>
  <c r="H129" i="240"/>
  <c r="L129" i="240" s="1"/>
  <c r="AT127" i="240"/>
  <c r="O63" i="236"/>
  <c r="BF129" i="240" l="1"/>
  <c r="AM130" i="240"/>
  <c r="AN130" i="240"/>
  <c r="AH130" i="240"/>
  <c r="BG127" i="240"/>
  <c r="AU127" i="240"/>
  <c r="BY133" i="236"/>
  <c r="AQ133" i="236"/>
  <c r="BI19" i="236"/>
  <c r="CB19" i="236" s="1"/>
  <c r="BJ18" i="236"/>
  <c r="AS128" i="240"/>
  <c r="P134" i="236"/>
  <c r="V134" i="236" s="1"/>
  <c r="I132" i="240"/>
  <c r="Q137" i="236" s="1"/>
  <c r="AT128" i="240"/>
  <c r="BG128" i="240" s="1"/>
  <c r="BH128" i="240" s="1"/>
  <c r="H130" i="240"/>
  <c r="L130" i="240" s="1"/>
  <c r="O64" i="236"/>
  <c r="BF130" i="240" l="1"/>
  <c r="AN131" i="240"/>
  <c r="AM131" i="240"/>
  <c r="AH131" i="240"/>
  <c r="AU128" i="240"/>
  <c r="BH127" i="240"/>
  <c r="AY135" i="236"/>
  <c r="BY134" i="236"/>
  <c r="AQ134" i="236"/>
  <c r="BI20" i="236"/>
  <c r="CB20" i="236" s="1"/>
  <c r="BJ19" i="236"/>
  <c r="AS129" i="240"/>
  <c r="P135" i="236"/>
  <c r="V135" i="236" s="1"/>
  <c r="AY136" i="236" s="1"/>
  <c r="I133" i="240"/>
  <c r="Q138" i="236" s="1"/>
  <c r="H131" i="240"/>
  <c r="L131" i="240" s="1"/>
  <c r="AT129" i="240"/>
  <c r="O65" i="236"/>
  <c r="BF131" i="240" l="1"/>
  <c r="AM132" i="240"/>
  <c r="AN132" i="240"/>
  <c r="AH132" i="240"/>
  <c r="BG129" i="240"/>
  <c r="AU129" i="240"/>
  <c r="BI127" i="240"/>
  <c r="BI128" i="240" s="1"/>
  <c r="BY135" i="236"/>
  <c r="AQ135" i="236"/>
  <c r="BI21" i="236"/>
  <c r="CB21" i="236" s="1"/>
  <c r="BJ20" i="236"/>
  <c r="AS130" i="240"/>
  <c r="P136" i="236"/>
  <c r="V136" i="236" s="1"/>
  <c r="AY137" i="236" s="1"/>
  <c r="I134" i="240"/>
  <c r="Q139" i="236" s="1"/>
  <c r="AT130" i="240"/>
  <c r="BG130" i="240" s="1"/>
  <c r="BH130" i="240" s="1"/>
  <c r="H132" i="240"/>
  <c r="L132" i="240" s="1"/>
  <c r="AW65" i="236"/>
  <c r="O66" i="236"/>
  <c r="BF132" i="240" l="1"/>
  <c r="AN133" i="240"/>
  <c r="AH133" i="240"/>
  <c r="AM133" i="240"/>
  <c r="AU130" i="240"/>
  <c r="BH129" i="240"/>
  <c r="BY136" i="236"/>
  <c r="AQ136" i="236"/>
  <c r="BI22" i="236"/>
  <c r="CB22" i="236" s="1"/>
  <c r="BJ21" i="236"/>
  <c r="AS131" i="240"/>
  <c r="P137" i="236"/>
  <c r="V137" i="236" s="1"/>
  <c r="AY138" i="236" s="1"/>
  <c r="I135" i="240"/>
  <c r="Q140" i="236" s="1"/>
  <c r="H133" i="240"/>
  <c r="L133" i="240" s="1"/>
  <c r="AT131" i="240"/>
  <c r="BF65" i="236"/>
  <c r="AW66" i="236"/>
  <c r="O67" i="236"/>
  <c r="BF133" i="240" l="1"/>
  <c r="AM134" i="240"/>
  <c r="AN134" i="240"/>
  <c r="AH134" i="240"/>
  <c r="BI129" i="240"/>
  <c r="BI130" i="240" s="1"/>
  <c r="BG131" i="240"/>
  <c r="AU131" i="240"/>
  <c r="BY137" i="236"/>
  <c r="AQ137" i="236"/>
  <c r="BI23" i="236"/>
  <c r="CB23" i="236" s="1"/>
  <c r="BJ22" i="236"/>
  <c r="AS132" i="240"/>
  <c r="P138" i="236"/>
  <c r="V138" i="236" s="1"/>
  <c r="I136" i="240"/>
  <c r="Q141" i="236" s="1"/>
  <c r="AT132" i="240"/>
  <c r="BG132" i="240" s="1"/>
  <c r="BH132" i="240" s="1"/>
  <c r="AQ138" i="236"/>
  <c r="H134" i="240"/>
  <c r="L134" i="240" s="1"/>
  <c r="BF66" i="236"/>
  <c r="AW67" i="236"/>
  <c r="O68" i="236"/>
  <c r="BF134" i="240" l="1"/>
  <c r="AN135" i="240"/>
  <c r="AM135" i="240"/>
  <c r="AH135" i="240"/>
  <c r="AU132" i="240"/>
  <c r="BH131" i="240"/>
  <c r="BI131" i="240" s="1"/>
  <c r="BI132" i="240" s="1"/>
  <c r="AY139" i="236"/>
  <c r="BY138" i="236"/>
  <c r="BI24" i="236"/>
  <c r="CB24" i="236" s="1"/>
  <c r="BJ23" i="236"/>
  <c r="AS133" i="240"/>
  <c r="P139" i="236"/>
  <c r="V139" i="236" s="1"/>
  <c r="AY140" i="236" s="1"/>
  <c r="I137" i="240"/>
  <c r="Q142" i="236" s="1"/>
  <c r="H135" i="240"/>
  <c r="L135" i="240" s="1"/>
  <c r="AT133" i="240"/>
  <c r="BG133" i="240" s="1"/>
  <c r="BH133" i="240" s="1"/>
  <c r="BG67" i="236"/>
  <c r="BZ67" i="236" s="1"/>
  <c r="CA67" i="236" s="1"/>
  <c r="CF67" i="236" s="1"/>
  <c r="BF67" i="236"/>
  <c r="AW68" i="236"/>
  <c r="O69" i="236"/>
  <c r="BF135" i="240" l="1"/>
  <c r="AM136" i="240"/>
  <c r="AN136" i="240"/>
  <c r="AH136" i="240"/>
  <c r="AU133" i="240"/>
  <c r="BI133" i="240"/>
  <c r="BY139" i="236"/>
  <c r="BI25" i="236"/>
  <c r="CB25" i="236" s="1"/>
  <c r="BJ24" i="236"/>
  <c r="AS134" i="240"/>
  <c r="P140" i="236"/>
  <c r="V140" i="236" s="1"/>
  <c r="AY141" i="236" s="1"/>
  <c r="I138" i="240"/>
  <c r="Q143" i="236" s="1"/>
  <c r="AT134" i="240"/>
  <c r="BG134" i="240" s="1"/>
  <c r="AQ139" i="236"/>
  <c r="H136" i="240"/>
  <c r="L136" i="240" s="1"/>
  <c r="BH67" i="236"/>
  <c r="CE67" i="236" s="1"/>
  <c r="BF68" i="236"/>
  <c r="AW69" i="236"/>
  <c r="O70" i="236"/>
  <c r="BF136" i="240" l="1"/>
  <c r="AN137" i="240"/>
  <c r="AH137" i="240"/>
  <c r="AM137" i="240"/>
  <c r="AU134" i="240"/>
  <c r="BH134" i="240"/>
  <c r="BI134" i="240" s="1"/>
  <c r="BY140" i="236"/>
  <c r="AQ140" i="236"/>
  <c r="BI26" i="236"/>
  <c r="CB26" i="236" s="1"/>
  <c r="BJ25" i="236"/>
  <c r="AS135" i="240"/>
  <c r="P141" i="236"/>
  <c r="V141" i="236" s="1"/>
  <c r="AY142" i="236" s="1"/>
  <c r="I139" i="240"/>
  <c r="Q144" i="236" s="1"/>
  <c r="H137" i="240"/>
  <c r="L137" i="240" s="1"/>
  <c r="AT135" i="240"/>
  <c r="BG135" i="240" s="1"/>
  <c r="BH135" i="240" s="1"/>
  <c r="BF69" i="236"/>
  <c r="AW70" i="236"/>
  <c r="O71" i="236"/>
  <c r="BF137" i="240" l="1"/>
  <c r="AM138" i="240"/>
  <c r="AN138" i="240"/>
  <c r="AH138" i="240"/>
  <c r="J16" i="253"/>
  <c r="AU135" i="240"/>
  <c r="BI135" i="240"/>
  <c r="BY141" i="236"/>
  <c r="AQ141" i="236"/>
  <c r="BI27" i="236"/>
  <c r="CB27" i="236" s="1"/>
  <c r="BJ26" i="236"/>
  <c r="AS136" i="240"/>
  <c r="P142" i="236"/>
  <c r="V142" i="236" s="1"/>
  <c r="I140" i="240"/>
  <c r="Q145" i="236" s="1"/>
  <c r="AQ142" i="236"/>
  <c r="AT136" i="240"/>
  <c r="H138" i="240"/>
  <c r="L138" i="240" s="1"/>
  <c r="BG70" i="236"/>
  <c r="BZ70" i="236" s="1"/>
  <c r="CA70" i="236" s="1"/>
  <c r="CF70" i="236" s="1"/>
  <c r="AW71" i="236"/>
  <c r="BF70" i="236"/>
  <c r="O72" i="236"/>
  <c r="BF138" i="240" l="1"/>
  <c r="AN139" i="240"/>
  <c r="AH139" i="240"/>
  <c r="AM139" i="240"/>
  <c r="AU136" i="240"/>
  <c r="BG136" i="240"/>
  <c r="AY143" i="236"/>
  <c r="BY142" i="236"/>
  <c r="BI28" i="236"/>
  <c r="CB28" i="236" s="1"/>
  <c r="BJ27" i="236"/>
  <c r="AS137" i="240"/>
  <c r="P143" i="236"/>
  <c r="V143" i="236" s="1"/>
  <c r="AY144" i="236" s="1"/>
  <c r="I141" i="240"/>
  <c r="Q146" i="236" s="1"/>
  <c r="AT137" i="240"/>
  <c r="BG137" i="240" s="1"/>
  <c r="BH137" i="240" s="1"/>
  <c r="H139" i="240"/>
  <c r="L139" i="240" s="1"/>
  <c r="BG71" i="236"/>
  <c r="BZ71" i="236" s="1"/>
  <c r="CA71" i="236" s="1"/>
  <c r="CF71" i="236" s="1"/>
  <c r="BH70" i="236"/>
  <c r="CE70" i="236" s="1"/>
  <c r="BF71" i="236"/>
  <c r="AW72" i="236"/>
  <c r="O73" i="236"/>
  <c r="BF139" i="240" l="1"/>
  <c r="AM140" i="240"/>
  <c r="AN140" i="240"/>
  <c r="AH140" i="240"/>
  <c r="AU137" i="240"/>
  <c r="BH136" i="240"/>
  <c r="BI136" i="240" s="1"/>
  <c r="BI137" i="240" s="1"/>
  <c r="BY143" i="236"/>
  <c r="AQ143" i="236"/>
  <c r="BI29" i="236"/>
  <c r="CB29" i="236" s="1"/>
  <c r="BJ28" i="236"/>
  <c r="AS138" i="240"/>
  <c r="P144" i="236"/>
  <c r="V144" i="236" s="1"/>
  <c r="AY145" i="236" s="1"/>
  <c r="I142" i="240"/>
  <c r="Q147" i="236" s="1"/>
  <c r="AT138" i="240"/>
  <c r="H140" i="240"/>
  <c r="L140" i="240" s="1"/>
  <c r="BH71" i="236"/>
  <c r="CE71" i="236" s="1"/>
  <c r="BG72" i="236"/>
  <c r="BF72" i="236"/>
  <c r="AW73" i="236"/>
  <c r="O74" i="236"/>
  <c r="BF140" i="240" l="1"/>
  <c r="AN141" i="240"/>
  <c r="AM141" i="240"/>
  <c r="AH141" i="240"/>
  <c r="BG138" i="240"/>
  <c r="AU138" i="240"/>
  <c r="BZ72" i="236"/>
  <c r="CA72" i="236" s="1"/>
  <c r="CF72" i="236" s="1"/>
  <c r="BY144" i="236"/>
  <c r="AQ144" i="236"/>
  <c r="BI30" i="236"/>
  <c r="CB30" i="236" s="1"/>
  <c r="BJ29" i="236"/>
  <c r="AS139" i="240"/>
  <c r="AQ145" i="236"/>
  <c r="P145" i="236"/>
  <c r="V145" i="236" s="1"/>
  <c r="AY146" i="236" s="1"/>
  <c r="I143" i="240"/>
  <c r="Q148" i="236" s="1"/>
  <c r="H141" i="240"/>
  <c r="L141" i="240" s="1"/>
  <c r="AT139" i="240"/>
  <c r="BG139" i="240" s="1"/>
  <c r="BH139" i="240" s="1"/>
  <c r="BG73" i="236"/>
  <c r="BZ73" i="236" s="1"/>
  <c r="CA73" i="236" s="1"/>
  <c r="CF73" i="236" s="1"/>
  <c r="BF73" i="236"/>
  <c r="AW74" i="236"/>
  <c r="BH72" i="236"/>
  <c r="CE72" i="236" s="1"/>
  <c r="O75" i="236"/>
  <c r="BF141" i="240" l="1"/>
  <c r="AM142" i="240"/>
  <c r="AN142" i="240"/>
  <c r="AH142" i="240"/>
  <c r="AU139" i="240"/>
  <c r="BH138" i="240"/>
  <c r="BI138" i="240" s="1"/>
  <c r="BI139" i="240" s="1"/>
  <c r="BY145" i="236"/>
  <c r="BI31" i="236"/>
  <c r="CB31" i="236" s="1"/>
  <c r="BJ30" i="236"/>
  <c r="AS140" i="240"/>
  <c r="P146" i="236"/>
  <c r="V146" i="236" s="1"/>
  <c r="I144" i="240"/>
  <c r="Q149" i="236" s="1"/>
  <c r="H142" i="240"/>
  <c r="L142" i="240" s="1"/>
  <c r="AT140" i="240"/>
  <c r="BH73" i="236"/>
  <c r="CE73" i="236" s="1"/>
  <c r="BF74" i="236"/>
  <c r="AW75" i="236"/>
  <c r="BG74" i="236"/>
  <c r="BZ74" i="236" s="1"/>
  <c r="CA74" i="236" s="1"/>
  <c r="CF74" i="236" s="1"/>
  <c r="O76" i="236"/>
  <c r="BF142" i="240" l="1"/>
  <c r="AN143" i="240"/>
  <c r="AM143" i="240"/>
  <c r="AH143" i="240"/>
  <c r="BG140" i="240"/>
  <c r="AU140" i="240"/>
  <c r="AY147" i="236"/>
  <c r="BY146" i="236"/>
  <c r="AQ146" i="236"/>
  <c r="BI32" i="236"/>
  <c r="CB32" i="236" s="1"/>
  <c r="BJ31" i="236"/>
  <c r="AS141" i="240"/>
  <c r="P147" i="236"/>
  <c r="V147" i="236" s="1"/>
  <c r="AY148" i="236" s="1"/>
  <c r="I145" i="240"/>
  <c r="Q150" i="236" s="1"/>
  <c r="H143" i="240"/>
  <c r="L143" i="240" s="1"/>
  <c r="AT141" i="240"/>
  <c r="BG141" i="240" s="1"/>
  <c r="BH141" i="240" s="1"/>
  <c r="BG75" i="236"/>
  <c r="BZ75" i="236" s="1"/>
  <c r="CA75" i="236" s="1"/>
  <c r="CF75" i="236" s="1"/>
  <c r="BF75" i="236"/>
  <c r="AW76" i="236"/>
  <c r="BH74" i="236"/>
  <c r="CE74" i="236" s="1"/>
  <c r="O77" i="236"/>
  <c r="BF143" i="240" l="1"/>
  <c r="AM144" i="240"/>
  <c r="AN144" i="240"/>
  <c r="AH144" i="240"/>
  <c r="AU141" i="240"/>
  <c r="BH140" i="240"/>
  <c r="BI140" i="240" s="1"/>
  <c r="BI141" i="240" s="1"/>
  <c r="BY147" i="236"/>
  <c r="AQ147" i="236"/>
  <c r="BI33" i="236"/>
  <c r="CB33" i="236" s="1"/>
  <c r="BJ32" i="236"/>
  <c r="AS142" i="240"/>
  <c r="P148" i="236"/>
  <c r="V148" i="236" s="1"/>
  <c r="AY149" i="236" s="1"/>
  <c r="I146" i="240"/>
  <c r="Q151" i="236" s="1"/>
  <c r="AT142" i="240"/>
  <c r="H144" i="240"/>
  <c r="L144" i="240" s="1"/>
  <c r="BH75" i="236"/>
  <c r="CE75" i="236" s="1"/>
  <c r="BG76" i="236"/>
  <c r="BZ76" i="236" s="1"/>
  <c r="CA76" i="236" s="1"/>
  <c r="CF76" i="236" s="1"/>
  <c r="BF76" i="236"/>
  <c r="AW77" i="236"/>
  <c r="O78" i="236"/>
  <c r="BF144" i="240" l="1"/>
  <c r="AN145" i="240"/>
  <c r="AM145" i="240"/>
  <c r="AH145" i="240"/>
  <c r="AU142" i="240"/>
  <c r="BG142" i="240"/>
  <c r="BY148" i="236"/>
  <c r="AQ148" i="236"/>
  <c r="BI34" i="236"/>
  <c r="CB34" i="236" s="1"/>
  <c r="BJ33" i="236"/>
  <c r="AS143" i="240"/>
  <c r="P149" i="236"/>
  <c r="V149" i="236" s="1"/>
  <c r="I147" i="240"/>
  <c r="Q152" i="236" s="1"/>
  <c r="H145" i="240"/>
  <c r="L145" i="240" s="1"/>
  <c r="AT143" i="240"/>
  <c r="BG143" i="240" s="1"/>
  <c r="BH143" i="240" s="1"/>
  <c r="BG77" i="236"/>
  <c r="BZ77" i="236" s="1"/>
  <c r="CA77" i="236" s="1"/>
  <c r="CF77" i="236" s="1"/>
  <c r="BH76" i="236"/>
  <c r="CE76" i="236" s="1"/>
  <c r="BF77" i="236"/>
  <c r="AW78" i="236"/>
  <c r="O79" i="236"/>
  <c r="BF145" i="240" l="1"/>
  <c r="AM146" i="240"/>
  <c r="AN146" i="240"/>
  <c r="AH146" i="240"/>
  <c r="BH142" i="240"/>
  <c r="BI142" i="240" s="1"/>
  <c r="BI143" i="240" s="1"/>
  <c r="AU143" i="240"/>
  <c r="AY150" i="236"/>
  <c r="BY149" i="236"/>
  <c r="AQ149" i="236"/>
  <c r="BI35" i="236"/>
  <c r="CB35" i="236" s="1"/>
  <c r="BJ34" i="236"/>
  <c r="AS144" i="240"/>
  <c r="P150" i="236"/>
  <c r="V150" i="236" s="1"/>
  <c r="I148" i="240"/>
  <c r="Q153" i="236" s="1"/>
  <c r="AT144" i="240"/>
  <c r="H146" i="240"/>
  <c r="L146" i="240" s="1"/>
  <c r="BH77" i="236"/>
  <c r="CE77" i="236" s="1"/>
  <c r="BG78" i="236"/>
  <c r="BZ78" i="236" s="1"/>
  <c r="CA78" i="236" s="1"/>
  <c r="CF78" i="236" s="1"/>
  <c r="BF78" i="236"/>
  <c r="AW79" i="236"/>
  <c r="O80" i="236"/>
  <c r="BF146" i="240" l="1"/>
  <c r="AN147" i="240"/>
  <c r="AH147" i="240"/>
  <c r="AM147" i="240"/>
  <c r="AU144" i="240"/>
  <c r="BG144" i="240"/>
  <c r="AY151" i="236"/>
  <c r="BY150" i="236"/>
  <c r="AQ150" i="236"/>
  <c r="BI36" i="236"/>
  <c r="CB36" i="236" s="1"/>
  <c r="BJ35" i="236"/>
  <c r="AS145" i="240"/>
  <c r="P151" i="236"/>
  <c r="V151" i="236" s="1"/>
  <c r="AY152" i="236" s="1"/>
  <c r="I149" i="240"/>
  <c r="Q154" i="236" s="1"/>
  <c r="AT145" i="240"/>
  <c r="BG145" i="240" s="1"/>
  <c r="BH145" i="240" s="1"/>
  <c r="H147" i="240"/>
  <c r="L147" i="240" s="1"/>
  <c r="BG79" i="236"/>
  <c r="BZ79" i="236" s="1"/>
  <c r="CA79" i="236" s="1"/>
  <c r="CF79" i="236" s="1"/>
  <c r="BF79" i="236"/>
  <c r="AW80" i="236"/>
  <c r="BH78" i="236"/>
  <c r="CE78" i="236" s="1"/>
  <c r="O81" i="236"/>
  <c r="BF147" i="240" l="1"/>
  <c r="AM148" i="240"/>
  <c r="AN148" i="240"/>
  <c r="AH148" i="240"/>
  <c r="BH144" i="240"/>
  <c r="BI144" i="240" s="1"/>
  <c r="BI145" i="240" s="1"/>
  <c r="AU145" i="240"/>
  <c r="BY151" i="236"/>
  <c r="BJ36" i="236"/>
  <c r="AQ151" i="236"/>
  <c r="AS146" i="240"/>
  <c r="P152" i="236"/>
  <c r="V152" i="236" s="1"/>
  <c r="AY153" i="236" s="1"/>
  <c r="I150" i="240"/>
  <c r="Q155" i="236" s="1"/>
  <c r="AT146" i="240"/>
  <c r="BG146" i="240" s="1"/>
  <c r="BH146" i="240" s="1"/>
  <c r="H148" i="240"/>
  <c r="L148" i="240" s="1"/>
  <c r="BH79" i="236"/>
  <c r="CE79" i="236" s="1"/>
  <c r="BG80" i="236"/>
  <c r="BZ80" i="236" s="1"/>
  <c r="CA80" i="236" s="1"/>
  <c r="CF80" i="236" s="1"/>
  <c r="BF80" i="236"/>
  <c r="AW81" i="236"/>
  <c r="O82" i="236"/>
  <c r="BF148" i="240" l="1"/>
  <c r="AN149" i="240"/>
  <c r="AH149" i="240"/>
  <c r="AM149" i="240"/>
  <c r="AU146" i="240"/>
  <c r="BI146" i="240"/>
  <c r="BY152" i="236"/>
  <c r="AQ152" i="236"/>
  <c r="AS147" i="240"/>
  <c r="P153" i="236"/>
  <c r="V153" i="236" s="1"/>
  <c r="AY154" i="236" s="1"/>
  <c r="I151" i="240"/>
  <c r="Q156" i="236" s="1"/>
  <c r="H149" i="240"/>
  <c r="L149" i="240" s="1"/>
  <c r="AT147" i="240"/>
  <c r="BG147" i="240" s="1"/>
  <c r="BH147" i="240" s="1"/>
  <c r="BG81" i="236"/>
  <c r="BZ81" i="236" s="1"/>
  <c r="CA81" i="236" s="1"/>
  <c r="CF81" i="236" s="1"/>
  <c r="BF81" i="236"/>
  <c r="BL15" i="236" s="1"/>
  <c r="AW82" i="236"/>
  <c r="BF84" i="236"/>
  <c r="AW85" i="236"/>
  <c r="BH80" i="236"/>
  <c r="CE80" i="236" s="1"/>
  <c r="O83" i="236"/>
  <c r="BF149" i="240" l="1"/>
  <c r="AM150" i="240"/>
  <c r="AN150" i="240"/>
  <c r="AH150" i="240"/>
  <c r="AU147" i="240"/>
  <c r="BI147" i="240"/>
  <c r="BY153" i="236"/>
  <c r="AQ153" i="236"/>
  <c r="AS148" i="240"/>
  <c r="P154" i="236"/>
  <c r="V154" i="236" s="1"/>
  <c r="I152" i="240"/>
  <c r="Q157" i="236" s="1"/>
  <c r="AT148" i="240"/>
  <c r="H150" i="240"/>
  <c r="L150" i="240" s="1"/>
  <c r="BG85" i="236"/>
  <c r="BZ85" i="236" s="1"/>
  <c r="CA85" i="236" s="1"/>
  <c r="CF85" i="236" s="1"/>
  <c r="BG82" i="236"/>
  <c r="BZ82" i="236" s="1"/>
  <c r="CA82" i="236" s="1"/>
  <c r="CF82" i="236" s="1"/>
  <c r="BH81" i="236"/>
  <c r="CE81" i="236" s="1"/>
  <c r="AW83" i="236"/>
  <c r="BF82" i="236"/>
  <c r="O85" i="236"/>
  <c r="BF150" i="240" l="1"/>
  <c r="AN151" i="240"/>
  <c r="AM151" i="240"/>
  <c r="AH151" i="240"/>
  <c r="BG148" i="240"/>
  <c r="AU148" i="240"/>
  <c r="AY155" i="236"/>
  <c r="BY154" i="236"/>
  <c r="AQ154" i="236"/>
  <c r="AS149" i="240"/>
  <c r="P155" i="236"/>
  <c r="V155" i="236" s="1"/>
  <c r="AY156" i="236" s="1"/>
  <c r="I153" i="240"/>
  <c r="Q158" i="236" s="1"/>
  <c r="H151" i="240"/>
  <c r="L151" i="240" s="1"/>
  <c r="AT149" i="240"/>
  <c r="BG149" i="240" s="1"/>
  <c r="BH149" i="240" s="1"/>
  <c r="BG83" i="236"/>
  <c r="BZ83" i="236" s="1"/>
  <c r="CA83" i="236" s="1"/>
  <c r="CF83" i="236" s="1"/>
  <c r="BH82" i="236"/>
  <c r="CE82" i="236" s="1"/>
  <c r="BF83" i="236"/>
  <c r="AW84" i="236"/>
  <c r="O86" i="236"/>
  <c r="BF151" i="240" l="1"/>
  <c r="AM152" i="240"/>
  <c r="AN152" i="240"/>
  <c r="AH152" i="240"/>
  <c r="AU149" i="240"/>
  <c r="BH148" i="240"/>
  <c r="BI148" i="240" s="1"/>
  <c r="BI149" i="240" s="1"/>
  <c r="BY155" i="236"/>
  <c r="AQ155" i="236"/>
  <c r="AS150" i="240"/>
  <c r="P156" i="236"/>
  <c r="V156" i="236" s="1"/>
  <c r="AY157" i="236" s="1"/>
  <c r="I154" i="240"/>
  <c r="Q159" i="236" s="1"/>
  <c r="AT150" i="240"/>
  <c r="BG150" i="240" s="1"/>
  <c r="BH150" i="240" s="1"/>
  <c r="H152" i="240"/>
  <c r="L152" i="240" s="1"/>
  <c r="BH83" i="236"/>
  <c r="CE83" i="236" s="1"/>
  <c r="BG84" i="236"/>
  <c r="BZ84" i="236" s="1"/>
  <c r="CA84" i="236" s="1"/>
  <c r="CF84" i="236" s="1"/>
  <c r="BF85" i="236"/>
  <c r="AW86" i="236"/>
  <c r="O87" i="236"/>
  <c r="BF152" i="240" l="1"/>
  <c r="AN153" i="240"/>
  <c r="AM153" i="240"/>
  <c r="AH153" i="240"/>
  <c r="AU150" i="240"/>
  <c r="BI150" i="240"/>
  <c r="BY156" i="236"/>
  <c r="AQ156" i="236"/>
  <c r="AS151" i="240"/>
  <c r="P157" i="236"/>
  <c r="V157" i="236" s="1"/>
  <c r="AY158" i="236" s="1"/>
  <c r="I155" i="240"/>
  <c r="Q160" i="236" s="1"/>
  <c r="AT151" i="240"/>
  <c r="H153" i="240"/>
  <c r="L153" i="240" s="1"/>
  <c r="BH84" i="236"/>
  <c r="CE84" i="236" s="1"/>
  <c r="BH85" i="236"/>
  <c r="CE85" i="236" s="1"/>
  <c r="BG86" i="236"/>
  <c r="BZ86" i="236" s="1"/>
  <c r="CA86" i="236" s="1"/>
  <c r="CF86" i="236" s="1"/>
  <c r="BF86" i="236"/>
  <c r="AW87" i="236"/>
  <c r="O88" i="236"/>
  <c r="BF153" i="240" l="1"/>
  <c r="AM154" i="240"/>
  <c r="AN154" i="240"/>
  <c r="AH154" i="240"/>
  <c r="AU151" i="240"/>
  <c r="BG151" i="240"/>
  <c r="BY157" i="236"/>
  <c r="AQ157" i="236"/>
  <c r="AS152" i="240"/>
  <c r="AQ158" i="236"/>
  <c r="P158" i="236"/>
  <c r="V158" i="236" s="1"/>
  <c r="I156" i="240"/>
  <c r="Q161" i="236" s="1"/>
  <c r="AT152" i="240"/>
  <c r="BG152" i="240" s="1"/>
  <c r="BH152" i="240" s="1"/>
  <c r="H154" i="240"/>
  <c r="L154" i="240" s="1"/>
  <c r="BG87" i="236"/>
  <c r="BZ87" i="236" s="1"/>
  <c r="CA87" i="236" s="1"/>
  <c r="CF87" i="236" s="1"/>
  <c r="BH86" i="236"/>
  <c r="CE86" i="236" s="1"/>
  <c r="BF87" i="236"/>
  <c r="AW88" i="236"/>
  <c r="O89" i="236"/>
  <c r="BF154" i="240" l="1"/>
  <c r="AN155" i="240"/>
  <c r="AH155" i="240"/>
  <c r="AM155" i="240"/>
  <c r="AU152" i="240"/>
  <c r="BH151" i="240"/>
  <c r="BI151" i="240" s="1"/>
  <c r="BI152" i="240" s="1"/>
  <c r="AY159" i="236"/>
  <c r="BY158" i="236"/>
  <c r="AS153" i="240"/>
  <c r="P159" i="236"/>
  <c r="V159" i="236" s="1"/>
  <c r="AY160" i="236" s="1"/>
  <c r="I157" i="240"/>
  <c r="Q162" i="236" s="1"/>
  <c r="AT153" i="240"/>
  <c r="H155" i="240"/>
  <c r="L155" i="240" s="1"/>
  <c r="BH87" i="236"/>
  <c r="CE87" i="236" s="1"/>
  <c r="BG88" i="236"/>
  <c r="BZ88" i="236" s="1"/>
  <c r="CA88" i="236" s="1"/>
  <c r="CF88" i="236" s="1"/>
  <c r="BF88" i="236"/>
  <c r="AW89" i="236"/>
  <c r="O90" i="236"/>
  <c r="BF155" i="240" l="1"/>
  <c r="AM156" i="240"/>
  <c r="AN156" i="240"/>
  <c r="AH156" i="240"/>
  <c r="AU153" i="240"/>
  <c r="BG153" i="240"/>
  <c r="BY159" i="236"/>
  <c r="AQ159" i="236"/>
  <c r="AS154" i="240"/>
  <c r="P160" i="236"/>
  <c r="V160" i="236" s="1"/>
  <c r="AY161" i="236" s="1"/>
  <c r="I158" i="240"/>
  <c r="Q163" i="236" s="1"/>
  <c r="H156" i="240"/>
  <c r="L156" i="240" s="1"/>
  <c r="AT154" i="240"/>
  <c r="BG154" i="240" s="1"/>
  <c r="BH154" i="240" s="1"/>
  <c r="BG89" i="236"/>
  <c r="BZ89" i="236" s="1"/>
  <c r="CA89" i="236" s="1"/>
  <c r="CF89" i="236" s="1"/>
  <c r="BH88" i="236"/>
  <c r="CE88" i="236" s="1"/>
  <c r="BF89" i="236"/>
  <c r="AW90" i="236"/>
  <c r="O91" i="236"/>
  <c r="BF156" i="240" l="1"/>
  <c r="AN157" i="240"/>
  <c r="AM157" i="240"/>
  <c r="AH157" i="240"/>
  <c r="AU154" i="240"/>
  <c r="BH153" i="240"/>
  <c r="BI153" i="240" s="1"/>
  <c r="BI154" i="240" s="1"/>
  <c r="BY160" i="236"/>
  <c r="AQ160" i="236"/>
  <c r="AS155" i="240"/>
  <c r="P161" i="236"/>
  <c r="V161" i="236" s="1"/>
  <c r="AY162" i="236" s="1"/>
  <c r="I159" i="240"/>
  <c r="Q164" i="236" s="1"/>
  <c r="AT155" i="240"/>
  <c r="BG155" i="240" s="1"/>
  <c r="BH155" i="240" s="1"/>
  <c r="H157" i="240"/>
  <c r="L157" i="240" s="1"/>
  <c r="BH89" i="236"/>
  <c r="CE89" i="236" s="1"/>
  <c r="BG90" i="236"/>
  <c r="BZ90" i="236" s="1"/>
  <c r="CA90" i="236" s="1"/>
  <c r="CF90" i="236" s="1"/>
  <c r="BF90" i="236"/>
  <c r="AW91" i="236"/>
  <c r="O92" i="236"/>
  <c r="BF157" i="240" l="1"/>
  <c r="AM158" i="240"/>
  <c r="AN158" i="240"/>
  <c r="AH158" i="240"/>
  <c r="AU155" i="240"/>
  <c r="BI155" i="240"/>
  <c r="BY161" i="236"/>
  <c r="AQ161" i="236"/>
  <c r="AS156" i="240"/>
  <c r="P162" i="236"/>
  <c r="V162" i="236" s="1"/>
  <c r="I160" i="240"/>
  <c r="Q165" i="236" s="1"/>
  <c r="AT156" i="240"/>
  <c r="BG156" i="240" s="1"/>
  <c r="BH156" i="240" s="1"/>
  <c r="H158" i="240"/>
  <c r="L158" i="240" s="1"/>
  <c r="BG91" i="236"/>
  <c r="BZ91" i="236" s="1"/>
  <c r="CA91" i="236" s="1"/>
  <c r="CF91" i="236" s="1"/>
  <c r="BH90" i="236"/>
  <c r="CE90" i="236" s="1"/>
  <c r="BF91" i="236"/>
  <c r="AW92" i="236"/>
  <c r="O93" i="236"/>
  <c r="BF158" i="240" l="1"/>
  <c r="AN159" i="240"/>
  <c r="AM159" i="240"/>
  <c r="AH159" i="240"/>
  <c r="AU156" i="240"/>
  <c r="BI156" i="240"/>
  <c r="AY163" i="236"/>
  <c r="BY162" i="236"/>
  <c r="AQ162" i="236"/>
  <c r="AS157" i="240"/>
  <c r="P163" i="236"/>
  <c r="V163" i="236" s="1"/>
  <c r="AY164" i="236" s="1"/>
  <c r="I161" i="240"/>
  <c r="Q166" i="236" s="1"/>
  <c r="AT157" i="240"/>
  <c r="BG157" i="240" s="1"/>
  <c r="H159" i="240"/>
  <c r="L159" i="240" s="1"/>
  <c r="BG92" i="236"/>
  <c r="BZ92" i="236" s="1"/>
  <c r="CA92" i="236" s="1"/>
  <c r="CF92" i="236" s="1"/>
  <c r="BH91" i="236"/>
  <c r="CE91" i="236" s="1"/>
  <c r="BF92" i="236"/>
  <c r="AW93" i="236"/>
  <c r="O94" i="236"/>
  <c r="BF159" i="240" l="1"/>
  <c r="AM160" i="240"/>
  <c r="AN160" i="240"/>
  <c r="AH160" i="240"/>
  <c r="AU157" i="240"/>
  <c r="BH157" i="240"/>
  <c r="BI157" i="240" s="1"/>
  <c r="BY163" i="236"/>
  <c r="AQ163" i="236"/>
  <c r="AS158" i="240"/>
  <c r="P164" i="236"/>
  <c r="V164" i="236" s="1"/>
  <c r="AY165" i="236" s="1"/>
  <c r="I162" i="240"/>
  <c r="Q167" i="236" s="1"/>
  <c r="H160" i="240"/>
  <c r="L160" i="240" s="1"/>
  <c r="AT158" i="240"/>
  <c r="BG158" i="240" s="1"/>
  <c r="BH158" i="240" s="1"/>
  <c r="BH92" i="236"/>
  <c r="CE92" i="236" s="1"/>
  <c r="BG93" i="236"/>
  <c r="BZ93" i="236" s="1"/>
  <c r="CA93" i="236" s="1"/>
  <c r="CF93" i="236" s="1"/>
  <c r="BF93" i="236"/>
  <c r="AW94" i="236"/>
  <c r="O95" i="236"/>
  <c r="BF160" i="240" l="1"/>
  <c r="AN161" i="240"/>
  <c r="AM161" i="240"/>
  <c r="AH161" i="240"/>
  <c r="AU158" i="240"/>
  <c r="BI158" i="240"/>
  <c r="BY164" i="236"/>
  <c r="AQ164" i="236"/>
  <c r="AS159" i="240"/>
  <c r="P165" i="236"/>
  <c r="V165" i="236" s="1"/>
  <c r="AY166" i="236" s="1"/>
  <c r="I163" i="240"/>
  <c r="Q168" i="236" s="1"/>
  <c r="AT159" i="240"/>
  <c r="BG159" i="240" s="1"/>
  <c r="BH159" i="240" s="1"/>
  <c r="H161" i="240"/>
  <c r="L161" i="240" s="1"/>
  <c r="BG94" i="236"/>
  <c r="BZ94" i="236" s="1"/>
  <c r="CA94" i="236" s="1"/>
  <c r="CF94" i="236" s="1"/>
  <c r="BM16" i="236"/>
  <c r="BH93" i="236"/>
  <c r="CE93" i="236" s="1"/>
  <c r="BF94" i="236"/>
  <c r="AW95" i="236"/>
  <c r="O96" i="236"/>
  <c r="BF161" i="240" l="1"/>
  <c r="AM162" i="240"/>
  <c r="AN162" i="240"/>
  <c r="AH162" i="240"/>
  <c r="AU159" i="240"/>
  <c r="BI159" i="240"/>
  <c r="BY165" i="236"/>
  <c r="AQ165" i="236"/>
  <c r="AS160" i="240"/>
  <c r="P166" i="236"/>
  <c r="V166" i="236" s="1"/>
  <c r="I164" i="240"/>
  <c r="Q169" i="236" s="1"/>
  <c r="H162" i="240"/>
  <c r="L162" i="240" s="1"/>
  <c r="AT160" i="240"/>
  <c r="BG95" i="236"/>
  <c r="BZ95" i="236" s="1"/>
  <c r="CA95" i="236" s="1"/>
  <c r="CF95" i="236" s="1"/>
  <c r="BH94" i="236"/>
  <c r="CE94" i="236" s="1"/>
  <c r="BF95" i="236"/>
  <c r="AW96" i="236"/>
  <c r="O97" i="236"/>
  <c r="BF162" i="240" l="1"/>
  <c r="AN163" i="240"/>
  <c r="AM163" i="240"/>
  <c r="AH163" i="240"/>
  <c r="AU160" i="240"/>
  <c r="BG160" i="240"/>
  <c r="AY167" i="236"/>
  <c r="BY166" i="236"/>
  <c r="AQ166" i="236"/>
  <c r="AS161" i="240"/>
  <c r="P167" i="236"/>
  <c r="V167" i="236" s="1"/>
  <c r="AY168" i="236" s="1"/>
  <c r="I165" i="240"/>
  <c r="Q170" i="236" s="1"/>
  <c r="AT161" i="240"/>
  <c r="BG161" i="240" s="1"/>
  <c r="BH161" i="240" s="1"/>
  <c r="H163" i="240"/>
  <c r="L163" i="240" s="1"/>
  <c r="BH95" i="236"/>
  <c r="CE95" i="236" s="1"/>
  <c r="BG96" i="236"/>
  <c r="BZ96" i="236" s="1"/>
  <c r="CA96" i="236" s="1"/>
  <c r="CF96" i="236" s="1"/>
  <c r="BF96" i="236"/>
  <c r="AW97" i="236"/>
  <c r="O98" i="236"/>
  <c r="BF163" i="240" l="1"/>
  <c r="AM164" i="240"/>
  <c r="AN164" i="240"/>
  <c r="AH164" i="240"/>
  <c r="BH160" i="240"/>
  <c r="BI160" i="240" s="1"/>
  <c r="BI161" i="240" s="1"/>
  <c r="AU161" i="240"/>
  <c r="BY167" i="236"/>
  <c r="AQ167" i="236"/>
  <c r="AS162" i="240"/>
  <c r="P168" i="236"/>
  <c r="V168" i="236" s="1"/>
  <c r="AY169" i="236" s="1"/>
  <c r="I166" i="240"/>
  <c r="Q171" i="236" s="1"/>
  <c r="H164" i="240"/>
  <c r="L164" i="240" s="1"/>
  <c r="AT162" i="240"/>
  <c r="BG162" i="240" s="1"/>
  <c r="BH162" i="240" s="1"/>
  <c r="BH96" i="236"/>
  <c r="CE96" i="236" s="1"/>
  <c r="BG97" i="236"/>
  <c r="BZ97" i="236" s="1"/>
  <c r="CA97" i="236" s="1"/>
  <c r="CF97" i="236" s="1"/>
  <c r="BF97" i="236"/>
  <c r="AW98" i="236"/>
  <c r="O99" i="236"/>
  <c r="BF164" i="240" l="1"/>
  <c r="AN165" i="240"/>
  <c r="AH165" i="240"/>
  <c r="AM165" i="240"/>
  <c r="AU162" i="240"/>
  <c r="BI162" i="240"/>
  <c r="BY168" i="236"/>
  <c r="AQ168" i="236"/>
  <c r="AS163" i="240"/>
  <c r="P169" i="236"/>
  <c r="V169" i="236" s="1"/>
  <c r="AY170" i="236" s="1"/>
  <c r="I167" i="240"/>
  <c r="Q172" i="236" s="1"/>
  <c r="AT163" i="240"/>
  <c r="H165" i="240"/>
  <c r="L165" i="240" s="1"/>
  <c r="BH97" i="236"/>
  <c r="CE97" i="236" s="1"/>
  <c r="BG98" i="236"/>
  <c r="BZ98" i="236" s="1"/>
  <c r="CA98" i="236" s="1"/>
  <c r="CF98" i="236" s="1"/>
  <c r="BF98" i="236"/>
  <c r="AW99" i="236"/>
  <c r="O100" i="236"/>
  <c r="BF165" i="240" l="1"/>
  <c r="AM166" i="240"/>
  <c r="AN166" i="240"/>
  <c r="AH166" i="240"/>
  <c r="AU163" i="240"/>
  <c r="BG163" i="240"/>
  <c r="BY169" i="236"/>
  <c r="AQ169" i="236"/>
  <c r="AS164" i="240"/>
  <c r="P170" i="236"/>
  <c r="V170" i="236" s="1"/>
  <c r="I168" i="240"/>
  <c r="Q173" i="236" s="1"/>
  <c r="H166" i="240"/>
  <c r="L166" i="240" s="1"/>
  <c r="AT164" i="240"/>
  <c r="BG164" i="240" s="1"/>
  <c r="BH164" i="240" s="1"/>
  <c r="BG99" i="236"/>
  <c r="BZ99" i="236" s="1"/>
  <c r="CA99" i="236" s="1"/>
  <c r="CF99" i="236" s="1"/>
  <c r="BH98" i="236"/>
  <c r="CE98" i="236" s="1"/>
  <c r="BF99" i="236"/>
  <c r="AW100" i="236"/>
  <c r="O101" i="236"/>
  <c r="BF166" i="240" l="1"/>
  <c r="AN167" i="240"/>
  <c r="AM167" i="240"/>
  <c r="AH167" i="240"/>
  <c r="AU164" i="240"/>
  <c r="BH163" i="240"/>
  <c r="BI163" i="240" s="1"/>
  <c r="BI164" i="240" s="1"/>
  <c r="AY171" i="236"/>
  <c r="BY170" i="236"/>
  <c r="AQ170" i="236"/>
  <c r="AS165" i="240"/>
  <c r="P171" i="236"/>
  <c r="V171" i="236" s="1"/>
  <c r="AY172" i="236" s="1"/>
  <c r="I169" i="240"/>
  <c r="Q174" i="236" s="1"/>
  <c r="AT165" i="240"/>
  <c r="BG165" i="240" s="1"/>
  <c r="BH165" i="240" s="1"/>
  <c r="H167" i="240"/>
  <c r="L167" i="240" s="1"/>
  <c r="BH99" i="236"/>
  <c r="CE99" i="236" s="1"/>
  <c r="BG100" i="236"/>
  <c r="BZ100" i="236" s="1"/>
  <c r="CA100" i="236" s="1"/>
  <c r="CF100" i="236" s="1"/>
  <c r="BF100" i="236"/>
  <c r="AW101" i="236"/>
  <c r="O102" i="236"/>
  <c r="BF167" i="240" l="1"/>
  <c r="AM168" i="240"/>
  <c r="AN168" i="240"/>
  <c r="AH168" i="240"/>
  <c r="AU165" i="240"/>
  <c r="BI165" i="240"/>
  <c r="BY171" i="236"/>
  <c r="AQ171" i="236"/>
  <c r="AS166" i="240"/>
  <c r="P172" i="236"/>
  <c r="V172" i="236" s="1"/>
  <c r="AY173" i="236" s="1"/>
  <c r="I170" i="240"/>
  <c r="Q175" i="236" s="1"/>
  <c r="H168" i="240"/>
  <c r="AT166" i="240"/>
  <c r="BG166" i="240" s="1"/>
  <c r="BH166" i="240" s="1"/>
  <c r="BH100" i="236"/>
  <c r="CE100" i="236" s="1"/>
  <c r="BG101" i="236"/>
  <c r="BZ101" i="236" s="1"/>
  <c r="CA101" i="236" s="1"/>
  <c r="CF101" i="236" s="1"/>
  <c r="BF101" i="236"/>
  <c r="AW102" i="236"/>
  <c r="O103" i="236"/>
  <c r="AU166" i="240" l="1"/>
  <c r="BI166" i="240"/>
  <c r="BY172" i="236"/>
  <c r="AQ172" i="236"/>
  <c r="I171" i="240"/>
  <c r="Q176" i="236" s="1"/>
  <c r="L168" i="240"/>
  <c r="AS167" i="240"/>
  <c r="P173" i="236"/>
  <c r="V173" i="236" s="1"/>
  <c r="AY174" i="236" s="1"/>
  <c r="AT167" i="240"/>
  <c r="BG167" i="240" s="1"/>
  <c r="H169" i="240"/>
  <c r="BH101" i="236"/>
  <c r="CE101" i="236" s="1"/>
  <c r="BG102" i="236"/>
  <c r="BZ102" i="236" s="1"/>
  <c r="CA102" i="236" s="1"/>
  <c r="CF102" i="236" s="1"/>
  <c r="BF102" i="236"/>
  <c r="AW103" i="236"/>
  <c r="O104" i="236"/>
  <c r="BF168" i="240" l="1"/>
  <c r="AN169" i="240"/>
  <c r="AM169" i="240"/>
  <c r="AH169" i="240"/>
  <c r="BH167" i="240"/>
  <c r="BI167" i="240" s="1"/>
  <c r="AU167" i="240"/>
  <c r="BY173" i="236"/>
  <c r="AQ173" i="236"/>
  <c r="I172" i="240"/>
  <c r="Q177" i="236" s="1"/>
  <c r="L169" i="240"/>
  <c r="AS168" i="240"/>
  <c r="H171" i="240"/>
  <c r="L171" i="240" s="1"/>
  <c r="H170" i="240"/>
  <c r="P174" i="236"/>
  <c r="V174" i="236" s="1"/>
  <c r="AT168" i="240"/>
  <c r="BG168" i="240" s="1"/>
  <c r="BH102" i="236"/>
  <c r="CE102" i="236" s="1"/>
  <c r="BG103" i="236"/>
  <c r="BZ103" i="236" s="1"/>
  <c r="CA103" i="236" s="1"/>
  <c r="CF103" i="236" s="1"/>
  <c r="BF103" i="236"/>
  <c r="AW104" i="236"/>
  <c r="O105" i="236"/>
  <c r="BF169" i="240" l="1"/>
  <c r="BF171" i="240"/>
  <c r="AM172" i="240"/>
  <c r="AN172" i="240"/>
  <c r="AH172" i="240"/>
  <c r="AM170" i="240"/>
  <c r="AN170" i="240"/>
  <c r="AH170" i="240"/>
  <c r="AU168" i="240"/>
  <c r="BH168" i="240"/>
  <c r="BI168" i="240" s="1"/>
  <c r="AY175" i="236"/>
  <c r="BY174" i="236"/>
  <c r="AQ174" i="236"/>
  <c r="I173" i="240"/>
  <c r="Q178" i="236" s="1"/>
  <c r="L170" i="240"/>
  <c r="AS169" i="240"/>
  <c r="I174" i="240"/>
  <c r="Q179" i="236" s="1"/>
  <c r="P175" i="236"/>
  <c r="V175" i="236" s="1"/>
  <c r="AY176" i="236" s="1"/>
  <c r="P176" i="236"/>
  <c r="V176" i="236" s="1"/>
  <c r="AY177" i="236" s="1"/>
  <c r="AT169" i="240"/>
  <c r="BG169" i="240" s="1"/>
  <c r="BH103" i="236"/>
  <c r="CE103" i="236" s="1"/>
  <c r="BG104" i="236"/>
  <c r="BZ104" i="236" s="1"/>
  <c r="CA104" i="236" s="1"/>
  <c r="CF104" i="236" s="1"/>
  <c r="BF104" i="236"/>
  <c r="AW105" i="236"/>
  <c r="O106" i="236"/>
  <c r="BF170" i="240" l="1"/>
  <c r="H172" i="240"/>
  <c r="L172" i="240" s="1"/>
  <c r="AN171" i="240"/>
  <c r="AM171" i="240"/>
  <c r="AH171" i="240"/>
  <c r="AU169" i="240"/>
  <c r="BH169" i="240"/>
  <c r="BI169" i="240" s="1"/>
  <c r="BY175" i="236"/>
  <c r="AQ175" i="236"/>
  <c r="I175" i="240"/>
  <c r="AS171" i="240"/>
  <c r="H173" i="240"/>
  <c r="AS170" i="240"/>
  <c r="AT170" i="240"/>
  <c r="BG170" i="240" s="1"/>
  <c r="BG105" i="236"/>
  <c r="BZ105" i="236" s="1"/>
  <c r="CA105" i="236" s="1"/>
  <c r="CF105" i="236" s="1"/>
  <c r="BH104" i="236"/>
  <c r="CE104" i="236" s="1"/>
  <c r="BF105" i="236"/>
  <c r="BL17" i="236" s="1"/>
  <c r="AW106" i="236"/>
  <c r="O107" i="236"/>
  <c r="BF172" i="240" l="1"/>
  <c r="P177" i="236"/>
  <c r="V177" i="236" s="1"/>
  <c r="AY178" i="236" s="1"/>
  <c r="AM173" i="240"/>
  <c r="AN173" i="240"/>
  <c r="AH173" i="240"/>
  <c r="AU170" i="240"/>
  <c r="BH170" i="240"/>
  <c r="BI170" i="240" s="1"/>
  <c r="BY176" i="236"/>
  <c r="AQ177" i="236"/>
  <c r="I176" i="240"/>
  <c r="Q181" i="236" s="1"/>
  <c r="L173" i="240"/>
  <c r="AS172" i="240"/>
  <c r="Q180" i="236"/>
  <c r="AQ176" i="236"/>
  <c r="AT171" i="240"/>
  <c r="AU171" i="240" s="1"/>
  <c r="P178" i="236"/>
  <c r="V178" i="236" s="1"/>
  <c r="H174" i="240"/>
  <c r="AT172" i="240"/>
  <c r="BH105" i="236"/>
  <c r="CE105" i="236" s="1"/>
  <c r="BG106" i="236"/>
  <c r="BZ106" i="236" s="1"/>
  <c r="CA106" i="236" s="1"/>
  <c r="CF106" i="236" s="1"/>
  <c r="BF106" i="236"/>
  <c r="AW107" i="236"/>
  <c r="O108" i="236"/>
  <c r="BF173" i="240" l="1"/>
  <c r="BY177" i="236"/>
  <c r="AM174" i="240"/>
  <c r="AN174" i="240"/>
  <c r="AH174" i="240"/>
  <c r="BG172" i="240"/>
  <c r="AU172" i="240"/>
  <c r="BG171" i="240"/>
  <c r="BH171" i="240" s="1"/>
  <c r="BI171" i="240" s="1"/>
  <c r="AY179" i="236"/>
  <c r="BY178" i="236"/>
  <c r="AQ178" i="236"/>
  <c r="I177" i="240"/>
  <c r="L177" i="240" s="1"/>
  <c r="L174" i="240"/>
  <c r="AT173" i="240"/>
  <c r="BG173" i="240" s="1"/>
  <c r="AS173" i="240"/>
  <c r="P179" i="236"/>
  <c r="V179" i="236" s="1"/>
  <c r="AY180" i="236" s="1"/>
  <c r="H175" i="240"/>
  <c r="BH106" i="236"/>
  <c r="CE106" i="236" s="1"/>
  <c r="BG107" i="236"/>
  <c r="BZ107" i="236" s="1"/>
  <c r="CA107" i="236" s="1"/>
  <c r="CF107" i="236" s="1"/>
  <c r="BF107" i="236"/>
  <c r="AW108" i="236"/>
  <c r="O109" i="236"/>
  <c r="BF174" i="240" l="1"/>
  <c r="BF177" i="240"/>
  <c r="AN175" i="240"/>
  <c r="AM175" i="240"/>
  <c r="AH175" i="240"/>
  <c r="AM178" i="240"/>
  <c r="AN178" i="240"/>
  <c r="AH178" i="240"/>
  <c r="AU173" i="240"/>
  <c r="BH172" i="240"/>
  <c r="BI172" i="240" s="1"/>
  <c r="BH173" i="240"/>
  <c r="BY179" i="236"/>
  <c r="BF179" i="236"/>
  <c r="I178" i="240"/>
  <c r="L178" i="240" s="1"/>
  <c r="L175" i="240"/>
  <c r="AS174" i="240"/>
  <c r="P180" i="236"/>
  <c r="V180" i="236" s="1"/>
  <c r="AY181" i="236" s="1"/>
  <c r="Q182" i="236"/>
  <c r="V182" i="236" s="1"/>
  <c r="AW180" i="236"/>
  <c r="G186" i="240"/>
  <c r="H176" i="240"/>
  <c r="AQ179" i="236"/>
  <c r="AT174" i="240"/>
  <c r="BH107" i="236"/>
  <c r="CE107" i="236" s="1"/>
  <c r="BG108" i="236"/>
  <c r="BZ108" i="236" s="1"/>
  <c r="CA108" i="236" s="1"/>
  <c r="CF108" i="236" s="1"/>
  <c r="BF108" i="236"/>
  <c r="AW109" i="236"/>
  <c r="O110" i="236"/>
  <c r="BF175" i="240" l="1"/>
  <c r="BF178" i="240"/>
  <c r="AM176" i="240"/>
  <c r="AN176" i="240"/>
  <c r="AH176" i="240"/>
  <c r="AN179" i="240"/>
  <c r="AH179" i="240"/>
  <c r="AM179" i="240"/>
  <c r="L176" i="240"/>
  <c r="H3" i="240"/>
  <c r="AU174" i="240"/>
  <c r="BI173" i="240"/>
  <c r="BG174" i="240"/>
  <c r="AY183" i="236"/>
  <c r="BY180" i="236"/>
  <c r="H187" i="240"/>
  <c r="I179" i="240"/>
  <c r="I3" i="240" s="1"/>
  <c r="AS175" i="240"/>
  <c r="AQ180" i="236"/>
  <c r="AT175" i="240"/>
  <c r="BG175" i="240" s="1"/>
  <c r="P181" i="236"/>
  <c r="V181" i="236" s="1"/>
  <c r="AY182" i="236" s="1"/>
  <c r="BF180" i="236"/>
  <c r="AS177" i="240"/>
  <c r="Q183" i="236"/>
  <c r="V183" i="236" s="1"/>
  <c r="AY184" i="236" s="1"/>
  <c r="BH108" i="236"/>
  <c r="CE108" i="236" s="1"/>
  <c r="BG109" i="236"/>
  <c r="BZ109" i="236" s="1"/>
  <c r="CA109" i="236" s="1"/>
  <c r="CF109" i="236" s="1"/>
  <c r="BF109" i="236"/>
  <c r="AW110" i="236"/>
  <c r="O111" i="236"/>
  <c r="BF176" i="240" l="1"/>
  <c r="AN177" i="240"/>
  <c r="AM177" i="240"/>
  <c r="AH177" i="240"/>
  <c r="BH174" i="240"/>
  <c r="BI174" i="240" s="1"/>
  <c r="AU175" i="240"/>
  <c r="BH175" i="240"/>
  <c r="BY181" i="236"/>
  <c r="AW181" i="236"/>
  <c r="BF182" i="236"/>
  <c r="AW183" i="236"/>
  <c r="BF181" i="236"/>
  <c r="I187" i="240"/>
  <c r="L179" i="240"/>
  <c r="Q184" i="236"/>
  <c r="V184" i="236" s="1"/>
  <c r="AY185" i="236" s="1"/>
  <c r="AS176" i="240"/>
  <c r="AQ181" i="236"/>
  <c r="AT176" i="240"/>
  <c r="BG176" i="240" s="1"/>
  <c r="BH176" i="240" s="1"/>
  <c r="AS178" i="240"/>
  <c r="AQ183" i="236"/>
  <c r="AT178" i="240"/>
  <c r="BG178" i="240" s="1"/>
  <c r="BH109" i="236"/>
  <c r="CE109" i="236" s="1"/>
  <c r="BG110" i="236"/>
  <c r="BZ110" i="236" s="1"/>
  <c r="CA110" i="236" s="1"/>
  <c r="CF110" i="236" s="1"/>
  <c r="BF110" i="236"/>
  <c r="AW111" i="236"/>
  <c r="O112" i="236"/>
  <c r="BF179" i="240" l="1"/>
  <c r="L3" i="240"/>
  <c r="F4" i="251" s="1"/>
  <c r="AM180" i="240"/>
  <c r="AN180" i="240"/>
  <c r="AH180" i="240"/>
  <c r="AU178" i="240"/>
  <c r="AU176" i="240"/>
  <c r="BI175" i="240"/>
  <c r="BI176" i="240" s="1"/>
  <c r="L187" i="240"/>
  <c r="BH178" i="240"/>
  <c r="BY183" i="236"/>
  <c r="BG183" i="236"/>
  <c r="BZ183" i="236" s="1"/>
  <c r="BY184" i="236"/>
  <c r="BY182" i="236"/>
  <c r="BG181" i="236"/>
  <c r="BZ181" i="236" s="1"/>
  <c r="CA181" i="236" s="1"/>
  <c r="CF181" i="236" s="1"/>
  <c r="AW182" i="236"/>
  <c r="AW184" i="236"/>
  <c r="BF183" i="236"/>
  <c r="AS179" i="240"/>
  <c r="C20" i="253" s="1"/>
  <c r="AW185" i="236"/>
  <c r="AQ184" i="236"/>
  <c r="AT179" i="240"/>
  <c r="BG179" i="240" s="1"/>
  <c r="AQ182" i="236"/>
  <c r="AT177" i="240"/>
  <c r="BG111" i="236"/>
  <c r="BZ111" i="236" s="1"/>
  <c r="CA111" i="236" s="1"/>
  <c r="CF111" i="236" s="1"/>
  <c r="BF111" i="236"/>
  <c r="AW112" i="236"/>
  <c r="BH110" i="236"/>
  <c r="CE110" i="236" s="1"/>
  <c r="O113" i="236"/>
  <c r="AN3" i="240" l="1"/>
  <c r="AH3" i="240"/>
  <c r="AM3" i="240"/>
  <c r="I20" i="253"/>
  <c r="AU179" i="240"/>
  <c r="C10" i="253"/>
  <c r="AS3" i="240"/>
  <c r="C13" i="253"/>
  <c r="C11" i="253"/>
  <c r="C14" i="253"/>
  <c r="C15" i="253"/>
  <c r="C16" i="253"/>
  <c r="C17" i="253"/>
  <c r="C18" i="253"/>
  <c r="C19" i="253"/>
  <c r="AU177" i="240"/>
  <c r="BH179" i="240"/>
  <c r="BG177" i="240"/>
  <c r="BH181" i="236"/>
  <c r="CE181" i="236" s="1"/>
  <c r="BH183" i="236"/>
  <c r="CE183" i="236" s="1"/>
  <c r="CA183" i="236"/>
  <c r="CF183" i="236" s="1"/>
  <c r="BY185" i="236"/>
  <c r="BU8" i="236"/>
  <c r="BG182" i="236"/>
  <c r="BG184" i="236"/>
  <c r="BZ184" i="236" s="1"/>
  <c r="CA184" i="236" s="1"/>
  <c r="CF184" i="236" s="1"/>
  <c r="BF184" i="236"/>
  <c r="AQ185" i="236"/>
  <c r="BG185" i="236" s="1"/>
  <c r="AT180" i="240"/>
  <c r="AU180" i="240" s="1"/>
  <c r="BG112" i="236"/>
  <c r="BZ112" i="236" s="1"/>
  <c r="CA112" i="236" s="1"/>
  <c r="CF112" i="236" s="1"/>
  <c r="BH111" i="236"/>
  <c r="CE111" i="236" s="1"/>
  <c r="BF112" i="236"/>
  <c r="AW113" i="236"/>
  <c r="O114" i="236"/>
  <c r="I13" i="253" l="1"/>
  <c r="K13" i="253" s="1"/>
  <c r="BH177" i="240"/>
  <c r="BI177" i="240" s="1"/>
  <c r="BI178" i="240" s="1"/>
  <c r="BI179" i="240" s="1"/>
  <c r="I15" i="253"/>
  <c r="K15" i="253" s="1"/>
  <c r="I18" i="253"/>
  <c r="I14" i="253"/>
  <c r="I10" i="253"/>
  <c r="E10" i="253"/>
  <c r="C4" i="253"/>
  <c r="D20" i="253"/>
  <c r="E20" i="253" s="1"/>
  <c r="I17" i="253"/>
  <c r="I11" i="253"/>
  <c r="I16" i="253"/>
  <c r="K16" i="253" s="1"/>
  <c r="I19" i="253"/>
  <c r="BF3" i="240"/>
  <c r="BG180" i="240"/>
  <c r="BH180" i="240" s="1"/>
  <c r="BY186" i="236"/>
  <c r="CA186" i="236" s="1"/>
  <c r="CF186" i="236" s="1"/>
  <c r="BV8" i="236"/>
  <c r="BH185" i="236"/>
  <c r="CE185" i="236" s="1"/>
  <c r="BZ185" i="236"/>
  <c r="CA185" i="236" s="1"/>
  <c r="CF185" i="236" s="1"/>
  <c r="BH182" i="236"/>
  <c r="CE182" i="236" s="1"/>
  <c r="BZ182" i="236"/>
  <c r="CA182" i="236" s="1"/>
  <c r="CF182" i="236" s="1"/>
  <c r="BH184" i="236"/>
  <c r="CE184" i="236" s="1"/>
  <c r="BH112" i="236"/>
  <c r="CE112" i="236" s="1"/>
  <c r="BG113" i="236"/>
  <c r="BZ113" i="236" s="1"/>
  <c r="CA113" i="236" s="1"/>
  <c r="CF113" i="236" s="1"/>
  <c r="BF113" i="236"/>
  <c r="AW114" i="236"/>
  <c r="O115" i="236"/>
  <c r="J20" i="253" l="1"/>
  <c r="K20" i="253" s="1"/>
  <c r="L48" i="251" s="1"/>
  <c r="L44" i="251"/>
  <c r="I4" i="253"/>
  <c r="K10" i="253"/>
  <c r="F48" i="251"/>
  <c r="F38" i="251"/>
  <c r="F10" i="253"/>
  <c r="L43" i="251"/>
  <c r="L41" i="251"/>
  <c r="BI180" i="240"/>
  <c r="BH181" i="240"/>
  <c r="BH113" i="236"/>
  <c r="CE113" i="236" s="1"/>
  <c r="BG114" i="236"/>
  <c r="BZ114" i="236" s="1"/>
  <c r="CA114" i="236" s="1"/>
  <c r="CF114" i="236" s="1"/>
  <c r="BF114" i="236"/>
  <c r="AW115" i="236"/>
  <c r="O116" i="236"/>
  <c r="BI3" i="240" l="1"/>
  <c r="O8" i="251"/>
  <c r="L38" i="251"/>
  <c r="L10" i="253"/>
  <c r="BG115" i="236"/>
  <c r="BZ115" i="236" s="1"/>
  <c r="CA115" i="236" s="1"/>
  <c r="CF115" i="236" s="1"/>
  <c r="BF115" i="236"/>
  <c r="AW116" i="236"/>
  <c r="BH114" i="236"/>
  <c r="CE114" i="236" s="1"/>
  <c r="O117" i="236"/>
  <c r="BG116" i="236" l="1"/>
  <c r="BZ116" i="236" s="1"/>
  <c r="CA116" i="236" s="1"/>
  <c r="CF116" i="236" s="1"/>
  <c r="BH115" i="236"/>
  <c r="CE115" i="236" s="1"/>
  <c r="BF116" i="236"/>
  <c r="AW117" i="236"/>
  <c r="O118" i="236"/>
  <c r="BH116" i="236" l="1"/>
  <c r="CE116" i="236" s="1"/>
  <c r="BG117" i="236"/>
  <c r="BZ117" i="236" s="1"/>
  <c r="CA117" i="236" s="1"/>
  <c r="CF117" i="236" s="1"/>
  <c r="BF117" i="236"/>
  <c r="AW118" i="236"/>
  <c r="O119" i="236"/>
  <c r="BH117" i="236" l="1"/>
  <c r="CE117" i="236" s="1"/>
  <c r="BG118" i="236"/>
  <c r="BZ118" i="236" s="1"/>
  <c r="CA118" i="236" s="1"/>
  <c r="CF118" i="236" s="1"/>
  <c r="BF118" i="236"/>
  <c r="AW119" i="236"/>
  <c r="O120" i="236"/>
  <c r="BG119" i="236" l="1"/>
  <c r="BZ119" i="236" s="1"/>
  <c r="CA119" i="236" s="1"/>
  <c r="CF119" i="236" s="1"/>
  <c r="BH118" i="236"/>
  <c r="CE118" i="236" s="1"/>
  <c r="BF119" i="236"/>
  <c r="AW120" i="236"/>
  <c r="O121" i="236"/>
  <c r="BH119" i="236" l="1"/>
  <c r="CE119" i="236" s="1"/>
  <c r="BG120" i="236"/>
  <c r="BZ120" i="236" s="1"/>
  <c r="CA120" i="236" s="1"/>
  <c r="CF120" i="236" s="1"/>
  <c r="BF120" i="236"/>
  <c r="AW121" i="236"/>
  <c r="O122" i="236"/>
  <c r="BH120" i="236" l="1"/>
  <c r="CE120" i="236" s="1"/>
  <c r="BG121" i="236"/>
  <c r="BZ121" i="236" s="1"/>
  <c r="CA121" i="236" s="1"/>
  <c r="CF121" i="236" s="1"/>
  <c r="BF121" i="236"/>
  <c r="AW122" i="236"/>
  <c r="O123" i="236"/>
  <c r="BH121" i="236" l="1"/>
  <c r="CE121" i="236" s="1"/>
  <c r="BG122" i="236"/>
  <c r="BZ122" i="236" s="1"/>
  <c r="CA122" i="236" s="1"/>
  <c r="CF122" i="236" s="1"/>
  <c r="BF122" i="236"/>
  <c r="AW123" i="236"/>
  <c r="O124" i="236"/>
  <c r="BF123" i="236" l="1"/>
  <c r="AW124" i="236"/>
  <c r="BH122" i="236"/>
  <c r="CE122" i="236" s="1"/>
  <c r="O125" i="236"/>
  <c r="BG124" i="236" l="1"/>
  <c r="BZ124" i="236" s="1"/>
  <c r="CA124" i="236" s="1"/>
  <c r="CF124" i="236" s="1"/>
  <c r="BF124" i="236"/>
  <c r="AW125" i="236"/>
  <c r="O126" i="236"/>
  <c r="BG125" i="236" l="1"/>
  <c r="BZ125" i="236" s="1"/>
  <c r="CA125" i="236" s="1"/>
  <c r="CF125" i="236" s="1"/>
  <c r="BH124" i="236"/>
  <c r="CE124" i="236" s="1"/>
  <c r="BF125" i="236"/>
  <c r="AW126" i="236"/>
  <c r="O127" i="236"/>
  <c r="BH125" i="236" l="1"/>
  <c r="CE125" i="236" s="1"/>
  <c r="BG126" i="236"/>
  <c r="BZ126" i="236" s="1"/>
  <c r="CA126" i="236" s="1"/>
  <c r="CF126" i="236" s="1"/>
  <c r="BF126" i="236"/>
  <c r="AW127" i="236"/>
  <c r="O128" i="236"/>
  <c r="BG127" i="236" l="1"/>
  <c r="BZ127" i="236" s="1"/>
  <c r="CA127" i="236" s="1"/>
  <c r="CF127" i="236" s="1"/>
  <c r="BH126" i="236"/>
  <c r="CE126" i="236" s="1"/>
  <c r="BF127" i="236"/>
  <c r="AW128" i="236"/>
  <c r="O129" i="236"/>
  <c r="BH127" i="236" l="1"/>
  <c r="CE127" i="236" s="1"/>
  <c r="BG128" i="236"/>
  <c r="BZ128" i="236" s="1"/>
  <c r="CA128" i="236" s="1"/>
  <c r="CF128" i="236" s="1"/>
  <c r="BF128" i="236"/>
  <c r="AW129" i="236"/>
  <c r="O130" i="236"/>
  <c r="BH128" i="236" l="1"/>
  <c r="CE128" i="236" s="1"/>
  <c r="BG129" i="236"/>
  <c r="BZ129" i="236" s="1"/>
  <c r="CA129" i="236" s="1"/>
  <c r="CF129" i="236" s="1"/>
  <c r="BF129" i="236"/>
  <c r="BL19" i="236" s="1"/>
  <c r="AW130" i="236"/>
  <c r="O131" i="236"/>
  <c r="BH129" i="236" l="1"/>
  <c r="CE129" i="236" s="1"/>
  <c r="BG130" i="236"/>
  <c r="BZ130" i="236" s="1"/>
  <c r="CA130" i="236" s="1"/>
  <c r="CF130" i="236" s="1"/>
  <c r="BF130" i="236"/>
  <c r="AW131" i="236"/>
  <c r="O132" i="236"/>
  <c r="BH130" i="236" l="1"/>
  <c r="CE130" i="236" s="1"/>
  <c r="BG131" i="236"/>
  <c r="BZ131" i="236" s="1"/>
  <c r="CA131" i="236" s="1"/>
  <c r="CF131" i="236" s="1"/>
  <c r="BF131" i="236"/>
  <c r="AW132" i="236"/>
  <c r="O133" i="236"/>
  <c r="BH131" i="236" l="1"/>
  <c r="CE131" i="236" s="1"/>
  <c r="BG132" i="236"/>
  <c r="BZ132" i="236" s="1"/>
  <c r="CA132" i="236" s="1"/>
  <c r="CF132" i="236" s="1"/>
  <c r="BF132" i="236"/>
  <c r="AW133" i="236"/>
  <c r="O134" i="236"/>
  <c r="BG133" i="236" l="1"/>
  <c r="BZ133" i="236" s="1"/>
  <c r="CA133" i="236" s="1"/>
  <c r="CF133" i="236" s="1"/>
  <c r="BF133" i="236"/>
  <c r="AW134" i="236"/>
  <c r="BH132" i="236"/>
  <c r="CE132" i="236" s="1"/>
  <c r="O135" i="236"/>
  <c r="BH133" i="236" l="1"/>
  <c r="CE133" i="236" s="1"/>
  <c r="BG134" i="236"/>
  <c r="BZ134" i="236" s="1"/>
  <c r="CA134" i="236" s="1"/>
  <c r="CF134" i="236" s="1"/>
  <c r="BF134" i="236"/>
  <c r="AW135" i="236"/>
  <c r="O136" i="236"/>
  <c r="BH134" i="236" l="1"/>
  <c r="CE134" i="236" s="1"/>
  <c r="BG135" i="236"/>
  <c r="BZ135" i="236" s="1"/>
  <c r="CA135" i="236" s="1"/>
  <c r="CF135" i="236" s="1"/>
  <c r="BF135" i="236"/>
  <c r="AW136" i="236"/>
  <c r="O137" i="236"/>
  <c r="BH135" i="236" l="1"/>
  <c r="CE135" i="236" s="1"/>
  <c r="BG136" i="236"/>
  <c r="BZ136" i="236" s="1"/>
  <c r="CA136" i="236" s="1"/>
  <c r="CF136" i="236" s="1"/>
  <c r="BF136" i="236"/>
  <c r="AW137" i="236"/>
  <c r="O138" i="236"/>
  <c r="BG137" i="236" l="1"/>
  <c r="BZ137" i="236" s="1"/>
  <c r="CA137" i="236" s="1"/>
  <c r="CF137" i="236" s="1"/>
  <c r="BF137" i="236"/>
  <c r="AW138" i="236"/>
  <c r="BH136" i="236"/>
  <c r="CE136" i="236" s="1"/>
  <c r="O139" i="236"/>
  <c r="BH137" i="236" l="1"/>
  <c r="CE137" i="236" s="1"/>
  <c r="BG138" i="236"/>
  <c r="BZ138" i="236" s="1"/>
  <c r="CA138" i="236" s="1"/>
  <c r="CF138" i="236" s="1"/>
  <c r="BF138" i="236"/>
  <c r="AW139" i="236"/>
  <c r="O140" i="236"/>
  <c r="BH138" i="236" l="1"/>
  <c r="CE138" i="236" s="1"/>
  <c r="BF139" i="236"/>
  <c r="AW140" i="236"/>
  <c r="BG139" i="236"/>
  <c r="BZ139" i="236" s="1"/>
  <c r="CA139" i="236" s="1"/>
  <c r="CF139" i="236" s="1"/>
  <c r="O141" i="236"/>
  <c r="BG140" i="236" l="1"/>
  <c r="BZ140" i="236" s="1"/>
  <c r="CA140" i="236" s="1"/>
  <c r="CF140" i="236" s="1"/>
  <c r="BF140" i="236"/>
  <c r="AW141" i="236"/>
  <c r="BH139" i="236"/>
  <c r="CE139" i="236" s="1"/>
  <c r="O142" i="236"/>
  <c r="BG141" i="236" l="1"/>
  <c r="BZ141" i="236" s="1"/>
  <c r="CA141" i="236" s="1"/>
  <c r="CF141" i="236" s="1"/>
  <c r="BL20" i="236"/>
  <c r="BH140" i="236"/>
  <c r="CE140" i="236" s="1"/>
  <c r="BF141" i="236"/>
  <c r="AW142" i="236"/>
  <c r="O143" i="236"/>
  <c r="BH141" i="236" l="1"/>
  <c r="CE141" i="236" s="1"/>
  <c r="BG142" i="236"/>
  <c r="BZ142" i="236" s="1"/>
  <c r="CA142" i="236" s="1"/>
  <c r="CF142" i="236" s="1"/>
  <c r="BF142" i="236"/>
  <c r="AW143" i="236"/>
  <c r="O144" i="236"/>
  <c r="BH142" i="236" l="1"/>
  <c r="CE142" i="236" s="1"/>
  <c r="BG143" i="236"/>
  <c r="BZ143" i="236" s="1"/>
  <c r="CA143" i="236" s="1"/>
  <c r="CF143" i="236" s="1"/>
  <c r="BF143" i="236"/>
  <c r="AW144" i="236"/>
  <c r="O145" i="236"/>
  <c r="BH143" i="236" l="1"/>
  <c r="CE143" i="236" s="1"/>
  <c r="BG144" i="236"/>
  <c r="BZ144" i="236" s="1"/>
  <c r="CA144" i="236" s="1"/>
  <c r="CF144" i="236" s="1"/>
  <c r="BF144" i="236"/>
  <c r="AW145" i="236"/>
  <c r="O146" i="236"/>
  <c r="BH144" i="236" l="1"/>
  <c r="CE144" i="236" s="1"/>
  <c r="BG145" i="236"/>
  <c r="BZ145" i="236" s="1"/>
  <c r="CA145" i="236" s="1"/>
  <c r="CF145" i="236" s="1"/>
  <c r="BF145" i="236"/>
  <c r="AW146" i="236"/>
  <c r="O147" i="236"/>
  <c r="BH145" i="236" l="1"/>
  <c r="CE145" i="236" s="1"/>
  <c r="BG146" i="236"/>
  <c r="BZ146" i="236" s="1"/>
  <c r="CA146" i="236" s="1"/>
  <c r="CF146" i="236" s="1"/>
  <c r="BF146" i="236"/>
  <c r="AW147" i="236"/>
  <c r="O148" i="236"/>
  <c r="BG147" i="236" l="1"/>
  <c r="BZ147" i="236" s="1"/>
  <c r="CA147" i="236" s="1"/>
  <c r="CF147" i="236" s="1"/>
  <c r="BH146" i="236"/>
  <c r="CE146" i="236" s="1"/>
  <c r="BF147" i="236"/>
  <c r="AW148" i="236"/>
  <c r="O149" i="236"/>
  <c r="BH147" i="236" l="1"/>
  <c r="CE147" i="236" s="1"/>
  <c r="BG148" i="236"/>
  <c r="BZ148" i="236" s="1"/>
  <c r="CA148" i="236" s="1"/>
  <c r="CF148" i="236" s="1"/>
  <c r="BF148" i="236"/>
  <c r="AW149" i="236"/>
  <c r="O150" i="236"/>
  <c r="BG149" i="236" l="1"/>
  <c r="BZ149" i="236" s="1"/>
  <c r="CA149" i="236" s="1"/>
  <c r="CF149" i="236" s="1"/>
  <c r="BH148" i="236"/>
  <c r="CE148" i="236" s="1"/>
  <c r="BF149" i="236"/>
  <c r="AW150" i="236"/>
  <c r="O151" i="236"/>
  <c r="BH149" i="236" l="1"/>
  <c r="CE149" i="236" s="1"/>
  <c r="BG150" i="236"/>
  <c r="BZ150" i="236" s="1"/>
  <c r="CA150" i="236" s="1"/>
  <c r="CF150" i="236" s="1"/>
  <c r="BF150" i="236"/>
  <c r="AW151" i="236"/>
  <c r="O152" i="236"/>
  <c r="BH150" i="236" l="1"/>
  <c r="CE150" i="236" s="1"/>
  <c r="BG151" i="236"/>
  <c r="BZ151" i="236" s="1"/>
  <c r="CA151" i="236" s="1"/>
  <c r="CF151" i="236" s="1"/>
  <c r="BF151" i="236"/>
  <c r="AW152" i="236"/>
  <c r="O153" i="236"/>
  <c r="BH151" i="236" l="1"/>
  <c r="CE151" i="236" s="1"/>
  <c r="BG152" i="236"/>
  <c r="BZ152" i="236" s="1"/>
  <c r="CA152" i="236" s="1"/>
  <c r="CF152" i="236" s="1"/>
  <c r="BF152" i="236"/>
  <c r="AW153" i="236"/>
  <c r="O154" i="236"/>
  <c r="BG153" i="236" l="1"/>
  <c r="BZ153" i="236" s="1"/>
  <c r="CA153" i="236" s="1"/>
  <c r="CF153" i="236" s="1"/>
  <c r="BF153" i="236"/>
  <c r="AW154" i="236"/>
  <c r="BL21" i="236"/>
  <c r="BH152" i="236"/>
  <c r="CE152" i="236" s="1"/>
  <c r="O155" i="236"/>
  <c r="BH153" i="236" l="1"/>
  <c r="CE153" i="236" s="1"/>
  <c r="BG154" i="236"/>
  <c r="BZ154" i="236" s="1"/>
  <c r="CA154" i="236" s="1"/>
  <c r="CF154" i="236" s="1"/>
  <c r="BF154" i="236"/>
  <c r="AW155" i="236"/>
  <c r="O156" i="236"/>
  <c r="BH154" i="236" l="1"/>
  <c r="CE154" i="236" s="1"/>
  <c r="BG155" i="236"/>
  <c r="BZ155" i="236" s="1"/>
  <c r="CA155" i="236" s="1"/>
  <c r="CF155" i="236" s="1"/>
  <c r="BF155" i="236"/>
  <c r="AW156" i="236"/>
  <c r="O157" i="236"/>
  <c r="BH155" i="236" l="1"/>
  <c r="CE155" i="236" s="1"/>
  <c r="BG156" i="236"/>
  <c r="BZ156" i="236" s="1"/>
  <c r="CA156" i="236" s="1"/>
  <c r="CF156" i="236" s="1"/>
  <c r="BF156" i="236"/>
  <c r="AW157" i="236"/>
  <c r="O158" i="236"/>
  <c r="BH156" i="236" l="1"/>
  <c r="CE156" i="236" s="1"/>
  <c r="BG157" i="236"/>
  <c r="BZ157" i="236" s="1"/>
  <c r="CA157" i="236" s="1"/>
  <c r="CF157" i="236" s="1"/>
  <c r="BF157" i="236"/>
  <c r="AW158" i="236"/>
  <c r="O159" i="236"/>
  <c r="BH157" i="236" l="1"/>
  <c r="CE157" i="236" s="1"/>
  <c r="BG158" i="236"/>
  <c r="BZ158" i="236" s="1"/>
  <c r="CA158" i="236" s="1"/>
  <c r="CF158" i="236" s="1"/>
  <c r="BF158" i="236"/>
  <c r="AW159" i="236"/>
  <c r="O160" i="236"/>
  <c r="BG159" i="236" l="1"/>
  <c r="BZ159" i="236" s="1"/>
  <c r="CA159" i="236" s="1"/>
  <c r="CF159" i="236" s="1"/>
  <c r="BH158" i="236"/>
  <c r="CE158" i="236" s="1"/>
  <c r="BF159" i="236"/>
  <c r="AW160" i="236"/>
  <c r="O161" i="236"/>
  <c r="BH159" i="236" l="1"/>
  <c r="CE159" i="236" s="1"/>
  <c r="BG160" i="236"/>
  <c r="BZ160" i="236" s="1"/>
  <c r="CA160" i="236" s="1"/>
  <c r="CF160" i="236" s="1"/>
  <c r="BF160" i="236"/>
  <c r="AW161" i="236"/>
  <c r="O162" i="236"/>
  <c r="BH160" i="236" l="1"/>
  <c r="CE160" i="236" s="1"/>
  <c r="BG161" i="236"/>
  <c r="BZ161" i="236" s="1"/>
  <c r="CA161" i="236" s="1"/>
  <c r="CF161" i="236" s="1"/>
  <c r="BF161" i="236"/>
  <c r="AW162" i="236"/>
  <c r="O163" i="236"/>
  <c r="BH161" i="236" l="1"/>
  <c r="CE161" i="236" s="1"/>
  <c r="BG162" i="236"/>
  <c r="BZ162" i="236" s="1"/>
  <c r="CA162" i="236" s="1"/>
  <c r="CF162" i="236" s="1"/>
  <c r="BF162" i="236"/>
  <c r="AW163" i="236"/>
  <c r="O164" i="236"/>
  <c r="BH162" i="236" l="1"/>
  <c r="CE162" i="236" s="1"/>
  <c r="BG163" i="236"/>
  <c r="BZ163" i="236" s="1"/>
  <c r="CA163" i="236" s="1"/>
  <c r="CF163" i="236" s="1"/>
  <c r="BF163" i="236"/>
  <c r="AW164" i="236"/>
  <c r="O165" i="236"/>
  <c r="BH163" i="236" l="1"/>
  <c r="CE163" i="236" s="1"/>
  <c r="BG164" i="236"/>
  <c r="BZ164" i="236" s="1"/>
  <c r="CA164" i="236" s="1"/>
  <c r="CF164" i="236" s="1"/>
  <c r="BF164" i="236"/>
  <c r="AW165" i="236"/>
  <c r="O166" i="236"/>
  <c r="BG165" i="236" l="1"/>
  <c r="BZ165" i="236" s="1"/>
  <c r="CA165" i="236" s="1"/>
  <c r="CF165" i="236" s="1"/>
  <c r="BF165" i="236"/>
  <c r="AW166" i="236"/>
  <c r="BL22" i="236"/>
  <c r="BH164" i="236"/>
  <c r="CE164" i="236" s="1"/>
  <c r="O167" i="236"/>
  <c r="BH165" i="236" l="1"/>
  <c r="CE165" i="236" s="1"/>
  <c r="BG166" i="236"/>
  <c r="BZ166" i="236" s="1"/>
  <c r="CA166" i="236" s="1"/>
  <c r="CF166" i="236" s="1"/>
  <c r="BF166" i="236"/>
  <c r="AW167" i="236"/>
  <c r="O168" i="236"/>
  <c r="BH166" i="236" l="1"/>
  <c r="CE166" i="236" s="1"/>
  <c r="BG167" i="236"/>
  <c r="BZ167" i="236" s="1"/>
  <c r="CA167" i="236" s="1"/>
  <c r="CF167" i="236" s="1"/>
  <c r="BF167" i="236"/>
  <c r="AW168" i="236"/>
  <c r="O169" i="236"/>
  <c r="BH167" i="236" l="1"/>
  <c r="CE167" i="236" s="1"/>
  <c r="BG168" i="236"/>
  <c r="BZ168" i="236" s="1"/>
  <c r="CA168" i="236" s="1"/>
  <c r="CF168" i="236" s="1"/>
  <c r="BF168" i="236"/>
  <c r="AW169" i="236"/>
  <c r="O170" i="236"/>
  <c r="BH168" i="236" l="1"/>
  <c r="CE168" i="236" s="1"/>
  <c r="BG169" i="236"/>
  <c r="BZ169" i="236" s="1"/>
  <c r="CA169" i="236" s="1"/>
  <c r="CF169" i="236" s="1"/>
  <c r="BF169" i="236"/>
  <c r="AW170" i="236"/>
  <c r="O171" i="236"/>
  <c r="BH169" i="236" l="1"/>
  <c r="CE169" i="236" s="1"/>
  <c r="BG170" i="236"/>
  <c r="BZ170" i="236" s="1"/>
  <c r="CA170" i="236" s="1"/>
  <c r="CF170" i="236" s="1"/>
  <c r="BF170" i="236"/>
  <c r="AW171" i="236"/>
  <c r="O172" i="236"/>
  <c r="BG171" i="236" l="1"/>
  <c r="BZ171" i="236" s="1"/>
  <c r="CA171" i="236" s="1"/>
  <c r="CF171" i="236" s="1"/>
  <c r="BF171" i="236"/>
  <c r="AW172" i="236"/>
  <c r="BH170" i="236"/>
  <c r="CE170" i="236" s="1"/>
  <c r="O173" i="236"/>
  <c r="BH171" i="236" l="1"/>
  <c r="CE171" i="236" s="1"/>
  <c r="BG172" i="236"/>
  <c r="BZ172" i="236" s="1"/>
  <c r="CA172" i="236" s="1"/>
  <c r="CF172" i="236" s="1"/>
  <c r="BF172" i="236"/>
  <c r="AW173" i="236"/>
  <c r="O174" i="236"/>
  <c r="BG173" i="236" l="1"/>
  <c r="BZ173" i="236" s="1"/>
  <c r="CA173" i="236" s="1"/>
  <c r="CF173" i="236" s="1"/>
  <c r="BH172" i="236"/>
  <c r="CE172" i="236" s="1"/>
  <c r="BF176" i="236"/>
  <c r="AW177" i="236"/>
  <c r="BF173" i="236"/>
  <c r="AW174" i="236"/>
  <c r="O175" i="236"/>
  <c r="BH173" i="236" l="1"/>
  <c r="CE173" i="236" s="1"/>
  <c r="BG177" i="236"/>
  <c r="BZ177" i="236" s="1"/>
  <c r="CA177" i="236" s="1"/>
  <c r="CF177" i="236" s="1"/>
  <c r="BF177" i="236"/>
  <c r="AW178" i="236"/>
  <c r="BG174" i="236"/>
  <c r="BZ174" i="236" s="1"/>
  <c r="CA174" i="236" s="1"/>
  <c r="CF174" i="236" s="1"/>
  <c r="BF174" i="236"/>
  <c r="AW175" i="236"/>
  <c r="BL16" i="236"/>
  <c r="BN16" i="236" s="1"/>
  <c r="BL18" i="236"/>
  <c r="O176" i="236"/>
  <c r="BH177" i="236" l="1"/>
  <c r="CE177" i="236" s="1"/>
  <c r="BG175" i="236"/>
  <c r="BZ175" i="236" s="1"/>
  <c r="CA175" i="236" s="1"/>
  <c r="CF175" i="236" s="1"/>
  <c r="BG178" i="236"/>
  <c r="BZ178" i="236" s="1"/>
  <c r="CA178" i="236" s="1"/>
  <c r="CF178" i="236" s="1"/>
  <c r="AW179" i="236"/>
  <c r="BF178" i="236"/>
  <c r="BF175" i="236"/>
  <c r="BL23" i="236" s="1"/>
  <c r="AW176" i="236"/>
  <c r="BH174" i="236"/>
  <c r="CE174" i="236" s="1"/>
  <c r="O177" i="236"/>
  <c r="BG176" i="236" l="1"/>
  <c r="BZ176" i="236" s="1"/>
  <c r="CA176" i="236" s="1"/>
  <c r="CF176" i="236" s="1"/>
  <c r="BG179" i="236"/>
  <c r="BZ179" i="236" s="1"/>
  <c r="CA179" i="236" s="1"/>
  <c r="CF179" i="236" s="1"/>
  <c r="BH175" i="236"/>
  <c r="CE175" i="236" s="1"/>
  <c r="BL24" i="236"/>
  <c r="BH178" i="236"/>
  <c r="CE178" i="236" s="1"/>
  <c r="O178" i="236"/>
  <c r="BH179" i="236" l="1"/>
  <c r="CE179" i="236" s="1"/>
  <c r="BH176" i="236"/>
  <c r="CE176" i="236" s="1"/>
  <c r="O179" i="236"/>
  <c r="O180" i="236" l="1"/>
  <c r="O181" i="236" l="1"/>
  <c r="O182" i="236" l="1"/>
  <c r="O183" i="236" l="1"/>
  <c r="O184" i="236" l="1"/>
  <c r="O185" i="236" l="1"/>
  <c r="O186" i="236" l="1"/>
  <c r="O187" i="236" l="1"/>
  <c r="O188" i="236" l="1"/>
  <c r="O189" i="236" l="1"/>
  <c r="O190" i="236" s="1"/>
  <c r="AZ8" i="236" l="1"/>
  <c r="BD8" i="236" l="1"/>
  <c r="Q52" i="236" l="1"/>
  <c r="V52" i="236" s="1"/>
  <c r="BF52" i="236" l="1"/>
  <c r="BY52" i="236" s="1"/>
  <c r="P8" i="236"/>
  <c r="BH52" i="236" l="1"/>
  <c r="Q51" i="236"/>
  <c r="V51" i="236" s="1"/>
  <c r="BF51" i="236" s="1"/>
  <c r="BY51" i="236" s="1"/>
  <c r="CA52" i="236" l="1"/>
  <c r="CF52" i="236" s="1"/>
  <c r="CE52" i="236"/>
  <c r="BH51" i="236"/>
  <c r="CA51" i="236" l="1"/>
  <c r="CF51" i="236" s="1"/>
  <c r="CE51" i="236"/>
  <c r="BI37" i="236"/>
  <c r="CB37" i="236" s="1"/>
  <c r="BI38" i="236" l="1"/>
  <c r="CB38" i="236" s="1"/>
  <c r="BJ37" i="236"/>
  <c r="AN1" i="236"/>
  <c r="BI39" i="236" l="1"/>
  <c r="CB39" i="236" s="1"/>
  <c r="BJ38" i="236"/>
  <c r="K8" i="236"/>
  <c r="BI40" i="236" l="1"/>
  <c r="CB40" i="236" s="1"/>
  <c r="BJ39" i="236"/>
  <c r="Q53" i="236"/>
  <c r="V53" i="236" s="1"/>
  <c r="BF53" i="236" s="1"/>
  <c r="BY53" i="236" s="1"/>
  <c r="BI41" i="236" l="1"/>
  <c r="CB41" i="236" s="1"/>
  <c r="BJ40" i="236"/>
  <c r="BH53" i="236"/>
  <c r="Q55" i="236"/>
  <c r="V55" i="236" s="1"/>
  <c r="Q54" i="236"/>
  <c r="V54" i="236" s="1"/>
  <c r="CA53" i="236" l="1"/>
  <c r="CF53" i="236" s="1"/>
  <c r="CE53" i="236"/>
  <c r="BI42" i="236"/>
  <c r="CB42" i="236" s="1"/>
  <c r="BJ41" i="236"/>
  <c r="BF54" i="236"/>
  <c r="BY54" i="236" s="1"/>
  <c r="BF55" i="236"/>
  <c r="BY55" i="236" s="1"/>
  <c r="Q56" i="236"/>
  <c r="V56" i="236" s="1"/>
  <c r="BF56" i="236" s="1"/>
  <c r="BY56" i="236" s="1"/>
  <c r="BI43" i="236" l="1"/>
  <c r="CB43" i="236" s="1"/>
  <c r="BJ42" i="236"/>
  <c r="BH55" i="236"/>
  <c r="BH54" i="236"/>
  <c r="BH56" i="236"/>
  <c r="BL13" i="236"/>
  <c r="Q60" i="236"/>
  <c r="V60" i="236" s="1"/>
  <c r="Q57" i="236"/>
  <c r="Q59" i="236"/>
  <c r="Q58" i="236"/>
  <c r="CA54" i="236" l="1"/>
  <c r="CF54" i="236" s="1"/>
  <c r="CE54" i="236"/>
  <c r="CA55" i="236"/>
  <c r="CF55" i="236" s="1"/>
  <c r="CE55" i="236"/>
  <c r="CA56" i="236"/>
  <c r="CF56" i="236" s="1"/>
  <c r="CE56" i="236"/>
  <c r="BI44" i="236"/>
  <c r="CB44" i="236" s="1"/>
  <c r="BJ43" i="236"/>
  <c r="BF61" i="236"/>
  <c r="BY61" i="236" s="1"/>
  <c r="BG63" i="236"/>
  <c r="BF60" i="236"/>
  <c r="BY60" i="236" s="1"/>
  <c r="BN13" i="236"/>
  <c r="V57" i="236"/>
  <c r="BF57" i="236" s="1"/>
  <c r="BY57" i="236" s="1"/>
  <c r="V58" i="236"/>
  <c r="BZ63" i="236" l="1"/>
  <c r="BI45" i="236"/>
  <c r="CB45" i="236" s="1"/>
  <c r="BJ44" i="236"/>
  <c r="BG61" i="236"/>
  <c r="BZ61" i="236" s="1"/>
  <c r="BF58" i="236"/>
  <c r="BY58" i="236" s="1"/>
  <c r="BO13" i="236"/>
  <c r="BH57" i="236"/>
  <c r="V63" i="236"/>
  <c r="Q8" i="236"/>
  <c r="AY64" i="236" l="1"/>
  <c r="AW64" i="236"/>
  <c r="BY63" i="236"/>
  <c r="CA63" i="236" s="1"/>
  <c r="BG65" i="236"/>
  <c r="CA57" i="236"/>
  <c r="CF57" i="236" s="1"/>
  <c r="CE57" i="236"/>
  <c r="BI46" i="236"/>
  <c r="CB46" i="236" s="1"/>
  <c r="BJ45" i="236"/>
  <c r="BH58" i="236"/>
  <c r="BH61" i="236"/>
  <c r="BF63" i="236"/>
  <c r="CF63" i="236" l="1"/>
  <c r="BZ65" i="236"/>
  <c r="CA65" i="236" s="1"/>
  <c r="CF65" i="236" s="1"/>
  <c r="BH65" i="236"/>
  <c r="CE65" i="236" s="1"/>
  <c r="CA61" i="236"/>
  <c r="CF61" i="236" s="1"/>
  <c r="CE61" i="236"/>
  <c r="CA58" i="236"/>
  <c r="CF58" i="236" s="1"/>
  <c r="CE58" i="236"/>
  <c r="BI47" i="236"/>
  <c r="BJ46" i="236"/>
  <c r="BH63" i="236"/>
  <c r="CE63" i="236" s="1"/>
  <c r="BG64" i="236"/>
  <c r="BZ64" i="236" l="1"/>
  <c r="CA64" i="236" s="1"/>
  <c r="BJ47" i="236"/>
  <c r="CB47" i="236"/>
  <c r="BH64" i="236"/>
  <c r="CE64" i="236" s="1"/>
  <c r="AP1" i="236"/>
  <c r="CF64" i="236" l="1"/>
  <c r="BI48" i="236"/>
  <c r="CB48" i="236" s="1"/>
  <c r="BI49" i="236" l="1"/>
  <c r="CB49" i="236" s="1"/>
  <c r="BJ48" i="236"/>
  <c r="BI50" i="236" l="1"/>
  <c r="CB50" i="236" s="1"/>
  <c r="BJ49" i="236"/>
  <c r="BJ50" i="236" l="1"/>
  <c r="BI51" i="236"/>
  <c r="CB51" i="236" s="1"/>
  <c r="BJ51" i="236" l="1"/>
  <c r="BI52" i="236"/>
  <c r="CB52" i="236" s="1"/>
  <c r="BJ52" i="236" l="1"/>
  <c r="BI53" i="236"/>
  <c r="CB53" i="236" s="1"/>
  <c r="BI54" i="236" l="1"/>
  <c r="CB54" i="236" s="1"/>
  <c r="BJ53" i="236"/>
  <c r="BJ54" i="236" l="1"/>
  <c r="BI55" i="236"/>
  <c r="CB55" i="236" s="1"/>
  <c r="BJ55" i="236" l="1"/>
  <c r="BI56" i="236"/>
  <c r="CB56" i="236" s="1"/>
  <c r="V59" i="236"/>
  <c r="BJ56" i="236" l="1"/>
  <c r="BI57" i="236"/>
  <c r="CB57" i="236" s="1"/>
  <c r="BF59" i="236"/>
  <c r="BY59" i="236" s="1"/>
  <c r="BY8" i="236" s="1"/>
  <c r="AY8" i="236"/>
  <c r="V8" i="236"/>
  <c r="V5" i="236" l="1"/>
  <c r="O4" i="251"/>
  <c r="BI58" i="236"/>
  <c r="CB58" i="236" s="1"/>
  <c r="BJ57" i="236"/>
  <c r="BG60" i="236"/>
  <c r="BZ60" i="236" s="1"/>
  <c r="BF8" i="236"/>
  <c r="AW190" i="236"/>
  <c r="AW8" i="236" s="1"/>
  <c r="BH59" i="236"/>
  <c r="BL14" i="236"/>
  <c r="T4" i="251" l="1"/>
  <c r="CA59" i="236"/>
  <c r="CF59" i="236" s="1"/>
  <c r="CE59" i="236"/>
  <c r="BJ58" i="236"/>
  <c r="BH60" i="236"/>
  <c r="Y5" i="236"/>
  <c r="BI59" i="236"/>
  <c r="CB59" i="236" s="1"/>
  <c r="BL8" i="236"/>
  <c r="CA60" i="236" l="1"/>
  <c r="CF60" i="236" s="1"/>
  <c r="CE60" i="236"/>
  <c r="BJ59" i="236"/>
  <c r="BI60" i="236"/>
  <c r="CB60" i="236" s="1"/>
  <c r="BL4" i="236"/>
  <c r="AQ190" i="236"/>
  <c r="BG190" i="236" s="1"/>
  <c r="BZ190" i="236" s="1"/>
  <c r="CA190" i="236" l="1"/>
  <c r="BJ60" i="236"/>
  <c r="BI61" i="236"/>
  <c r="CB61" i="236" s="1"/>
  <c r="BM25" i="236"/>
  <c r="BN25" i="236" s="1"/>
  <c r="BH190" i="236"/>
  <c r="CE190" i="236" s="1"/>
  <c r="BM17" i="236"/>
  <c r="BN17" i="236" s="1"/>
  <c r="BM18" i="236"/>
  <c r="BN18" i="236" s="1"/>
  <c r="BM20" i="236"/>
  <c r="BN20" i="236" s="1"/>
  <c r="BM21" i="236"/>
  <c r="BN21" i="236" s="1"/>
  <c r="BM22" i="236"/>
  <c r="BN22" i="236" s="1"/>
  <c r="BM23" i="236"/>
  <c r="BN23" i="236" s="1"/>
  <c r="AQ8" i="236"/>
  <c r="CF190" i="236" l="1"/>
  <c r="BI62" i="236"/>
  <c r="BI63" i="236" s="1"/>
  <c r="BJ61" i="236"/>
  <c r="BG66" i="236"/>
  <c r="BZ66" i="236" s="1"/>
  <c r="BJ62" i="236" l="1"/>
  <c r="CB62" i="236"/>
  <c r="CA66" i="236"/>
  <c r="BI64" i="236"/>
  <c r="BJ63" i="236"/>
  <c r="BH66" i="236"/>
  <c r="CE66" i="236" s="1"/>
  <c r="BG180" i="236"/>
  <c r="BZ180" i="236" s="1"/>
  <c r="CA180" i="236" s="1"/>
  <c r="CF180" i="236" s="1"/>
  <c r="BG123" i="236"/>
  <c r="BZ123" i="236" s="1"/>
  <c r="CA123" i="236" s="1"/>
  <c r="CF123" i="236" s="1"/>
  <c r="CF66" i="236" l="1"/>
  <c r="CB63" i="236"/>
  <c r="CC63" i="236" s="1"/>
  <c r="BI65" i="236"/>
  <c r="BJ65" i="236" s="1"/>
  <c r="BJ64" i="236"/>
  <c r="BM19" i="236"/>
  <c r="BN19" i="236" s="1"/>
  <c r="BM24" i="236"/>
  <c r="BN24" i="236" s="1"/>
  <c r="BH123" i="236"/>
  <c r="CE123" i="236" s="1"/>
  <c r="BH180" i="236"/>
  <c r="CE180" i="236" s="1"/>
  <c r="CB64" i="236" l="1"/>
  <c r="BI66" i="236"/>
  <c r="BJ66" i="236" s="1"/>
  <c r="CB65" i="236" l="1"/>
  <c r="CC65" i="236" s="1"/>
  <c r="CC64" i="236"/>
  <c r="BI67" i="236"/>
  <c r="CB66" i="236" l="1"/>
  <c r="CC66" i="236" s="1"/>
  <c r="BJ67" i="236"/>
  <c r="AT186" i="240"/>
  <c r="D21" i="253" l="1"/>
  <c r="E21" i="253" s="1"/>
  <c r="AT3" i="240"/>
  <c r="F6" i="251" s="1"/>
  <c r="F7" i="251" s="1"/>
  <c r="D13" i="253"/>
  <c r="E13" i="253" s="1"/>
  <c r="D11" i="253"/>
  <c r="D12" i="253"/>
  <c r="E12" i="253" s="1"/>
  <c r="D14" i="253"/>
  <c r="E14" i="253" s="1"/>
  <c r="D15" i="253"/>
  <c r="E15" i="253" s="1"/>
  <c r="D16" i="253"/>
  <c r="E16" i="253" s="1"/>
  <c r="D17" i="253"/>
  <c r="E17" i="253" s="1"/>
  <c r="D18" i="253"/>
  <c r="E18" i="253" s="1"/>
  <c r="D19" i="253"/>
  <c r="E19" i="253" s="1"/>
  <c r="CB67" i="236"/>
  <c r="CC67" i="236" s="1"/>
  <c r="AU186" i="240"/>
  <c r="AU3" i="240" s="1"/>
  <c r="BG186" i="240"/>
  <c r="J21" i="253" l="1"/>
  <c r="K21" i="253" s="1"/>
  <c r="L49" i="251" s="1"/>
  <c r="J11" i="253"/>
  <c r="J14" i="253"/>
  <c r="K14" i="253" s="1"/>
  <c r="BG3" i="240"/>
  <c r="O6" i="251" s="1"/>
  <c r="O7" i="251" s="1"/>
  <c r="J17" i="253"/>
  <c r="K17" i="253" s="1"/>
  <c r="L45" i="251" s="1"/>
  <c r="J18" i="253"/>
  <c r="K18" i="253" s="1"/>
  <c r="L46" i="251" s="1"/>
  <c r="J19" i="253"/>
  <c r="K19" i="253" s="1"/>
  <c r="L47" i="251" s="1"/>
  <c r="F44" i="251"/>
  <c r="D4" i="253"/>
  <c r="E4" i="253" s="1"/>
  <c r="E11" i="253"/>
  <c r="F47" i="251"/>
  <c r="F43" i="251"/>
  <c r="F41" i="251"/>
  <c r="F46" i="251"/>
  <c r="F42" i="251"/>
  <c r="F45" i="251"/>
  <c r="F40" i="251"/>
  <c r="F49" i="251"/>
  <c r="F12" i="251"/>
  <c r="BH186" i="240"/>
  <c r="BH3" i="240" s="1"/>
  <c r="AV59" i="240"/>
  <c r="AV60" i="240" l="1"/>
  <c r="AV61" i="240" s="1"/>
  <c r="AV62" i="240" s="1"/>
  <c r="AV63" i="240" s="1"/>
  <c r="AV64" i="240" s="1"/>
  <c r="AV65" i="240" s="1"/>
  <c r="AV66" i="240" s="1"/>
  <c r="AV67" i="240" s="1"/>
  <c r="AV68" i="240" s="1"/>
  <c r="AV69" i="240" s="1"/>
  <c r="AV70" i="240" s="1"/>
  <c r="AV71" i="240" s="1"/>
  <c r="AV72" i="240" s="1"/>
  <c r="AV73" i="240" s="1"/>
  <c r="AV74" i="240" s="1"/>
  <c r="AV75" i="240" s="1"/>
  <c r="AV76" i="240" s="1"/>
  <c r="F39" i="251"/>
  <c r="F51" i="251" s="1"/>
  <c r="F11" i="253"/>
  <c r="F12" i="253" s="1"/>
  <c r="F13" i="253" s="1"/>
  <c r="F14" i="253" s="1"/>
  <c r="F15" i="253" s="1"/>
  <c r="F16" i="253" s="1"/>
  <c r="F17" i="253" s="1"/>
  <c r="F18" i="253" s="1"/>
  <c r="F19" i="253" s="1"/>
  <c r="F20" i="253" s="1"/>
  <c r="F21" i="253" s="1"/>
  <c r="F22" i="253" s="1"/>
  <c r="F23" i="253" s="1"/>
  <c r="F24" i="253" s="1"/>
  <c r="L42" i="251"/>
  <c r="J4" i="253"/>
  <c r="K4" i="253" s="1"/>
  <c r="K11" i="253"/>
  <c r="T6" i="251"/>
  <c r="AG8" i="236"/>
  <c r="BG68" i="236"/>
  <c r="L39" i="251" l="1"/>
  <c r="L51" i="251" s="1"/>
  <c r="L11" i="253"/>
  <c r="L12" i="253" s="1"/>
  <c r="L13" i="253" s="1"/>
  <c r="L14" i="253" s="1"/>
  <c r="L15" i="253" s="1"/>
  <c r="L16" i="253" s="1"/>
  <c r="L17" i="253" s="1"/>
  <c r="L18" i="253" s="1"/>
  <c r="L19" i="253" s="1"/>
  <c r="L20" i="253" s="1"/>
  <c r="L21" i="253" s="1"/>
  <c r="L22" i="253" s="1"/>
  <c r="L23" i="253" s="1"/>
  <c r="L24" i="253" s="1"/>
  <c r="O12" i="251"/>
  <c r="T12" i="251" s="1"/>
  <c r="T7" i="251"/>
  <c r="O13" i="251"/>
  <c r="AV77" i="240"/>
  <c r="AH8" i="236"/>
  <c r="Z79" i="236" s="1"/>
  <c r="BG69" i="236"/>
  <c r="BG8" i="236" s="1"/>
  <c r="BM14" i="236"/>
  <c r="BH68" i="236"/>
  <c r="CE68" i="236" s="1"/>
  <c r="BZ68" i="236"/>
  <c r="AV78" i="240" l="1"/>
  <c r="AV79" i="240" s="1"/>
  <c r="AV80" i="240" s="1"/>
  <c r="AV81" i="240" s="1"/>
  <c r="AV82" i="240" s="1"/>
  <c r="AV83" i="240" s="1"/>
  <c r="AV84" i="240" s="1"/>
  <c r="AV85" i="240" s="1"/>
  <c r="AV86" i="240" s="1"/>
  <c r="AV87" i="240" s="1"/>
  <c r="AV88" i="240" s="1"/>
  <c r="AV89" i="240" s="1"/>
  <c r="AV90" i="240" s="1"/>
  <c r="AV91" i="240" s="1"/>
  <c r="AV92" i="240" s="1"/>
  <c r="AV93" i="240" s="1"/>
  <c r="AV94" i="240" s="1"/>
  <c r="AV95" i="240" s="1"/>
  <c r="AV96" i="240" s="1"/>
  <c r="AV97" i="240" s="1"/>
  <c r="AV98" i="240" s="1"/>
  <c r="AV99" i="240" s="1"/>
  <c r="AV100" i="240" s="1"/>
  <c r="AV101" i="240" s="1"/>
  <c r="AV102" i="240" s="1"/>
  <c r="AV103" i="240" s="1"/>
  <c r="AV104" i="240" s="1"/>
  <c r="AV105" i="240" s="1"/>
  <c r="AV106" i="240" s="1"/>
  <c r="AV107" i="240" s="1"/>
  <c r="AV108" i="240" s="1"/>
  <c r="AV109" i="240" s="1"/>
  <c r="AV110" i="240" s="1"/>
  <c r="AV111" i="240" s="1"/>
  <c r="AV112" i="240" s="1"/>
  <c r="AV113" i="240" s="1"/>
  <c r="AV114" i="240" s="1"/>
  <c r="AV115" i="240" s="1"/>
  <c r="AV116" i="240" s="1"/>
  <c r="AV117" i="240" s="1"/>
  <c r="AV118" i="240" s="1"/>
  <c r="AV119" i="240" s="1"/>
  <c r="AV120" i="240" s="1"/>
  <c r="AV121" i="240" s="1"/>
  <c r="AV122" i="240" s="1"/>
  <c r="AV123" i="240" s="1"/>
  <c r="AV124" i="240" s="1"/>
  <c r="AV125" i="240" s="1"/>
  <c r="AV126" i="240" s="1"/>
  <c r="AV127" i="240" s="1"/>
  <c r="AV128" i="240" s="1"/>
  <c r="AV129" i="240" s="1"/>
  <c r="AV130" i="240" s="1"/>
  <c r="AV131" i="240" s="1"/>
  <c r="AV132" i="240" s="1"/>
  <c r="AV133" i="240" s="1"/>
  <c r="AV134" i="240" s="1"/>
  <c r="AV135" i="240" s="1"/>
  <c r="AV136" i="240" s="1"/>
  <c r="AV137" i="240" s="1"/>
  <c r="AV138" i="240" s="1"/>
  <c r="AV139" i="240" s="1"/>
  <c r="AV140" i="240" s="1"/>
  <c r="AV141" i="240" s="1"/>
  <c r="AV142" i="240" s="1"/>
  <c r="AV143" i="240" s="1"/>
  <c r="AV144" i="240" s="1"/>
  <c r="AV145" i="240" s="1"/>
  <c r="AV146" i="240" s="1"/>
  <c r="AV147" i="240" s="1"/>
  <c r="AV148" i="240" s="1"/>
  <c r="AV149" i="240" s="1"/>
  <c r="AV150" i="240" s="1"/>
  <c r="AV151" i="240" s="1"/>
  <c r="AV152" i="240" s="1"/>
  <c r="AV153" i="240" s="1"/>
  <c r="AV154" i="240" s="1"/>
  <c r="AV155" i="240" s="1"/>
  <c r="AV156" i="240" s="1"/>
  <c r="AV157" i="240" s="1"/>
  <c r="AV158" i="240" s="1"/>
  <c r="AV159" i="240" s="1"/>
  <c r="AV160" i="240" s="1"/>
  <c r="AV161" i="240" s="1"/>
  <c r="AV162" i="240" s="1"/>
  <c r="AV163" i="240" s="1"/>
  <c r="AV164" i="240" s="1"/>
  <c r="AV165" i="240" s="1"/>
  <c r="AV166" i="240" s="1"/>
  <c r="AV167" i="240" s="1"/>
  <c r="AV168" i="240" s="1"/>
  <c r="AV169" i="240" s="1"/>
  <c r="AV170" i="240" s="1"/>
  <c r="AV171" i="240" s="1"/>
  <c r="AV172" i="240" s="1"/>
  <c r="AV173" i="240" s="1"/>
  <c r="AV174" i="240" s="1"/>
  <c r="AV175" i="240" s="1"/>
  <c r="AV176" i="240" s="1"/>
  <c r="AV177" i="240" s="1"/>
  <c r="AV178" i="240" s="1"/>
  <c r="AV179" i="240" s="1"/>
  <c r="AV180" i="240" s="1"/>
  <c r="AV181" i="240" s="1"/>
  <c r="AV182" i="240" s="1"/>
  <c r="AV183" i="240" s="1"/>
  <c r="AV184" i="240" s="1"/>
  <c r="AV185" i="240" s="1"/>
  <c r="AV186" i="240" s="1"/>
  <c r="AV3" i="240" s="1"/>
  <c r="Z144" i="236"/>
  <c r="Z129" i="236"/>
  <c r="Z96" i="236"/>
  <c r="Z102" i="236"/>
  <c r="Z182" i="236"/>
  <c r="Z122" i="236"/>
  <c r="Z116" i="236"/>
  <c r="Z78" i="236"/>
  <c r="Z12" i="236"/>
  <c r="Z28" i="236"/>
  <c r="Z91" i="236"/>
  <c r="Z84" i="236"/>
  <c r="Z149" i="236"/>
  <c r="Z42" i="236"/>
  <c r="Z49" i="236"/>
  <c r="Z72" i="236"/>
  <c r="Z70" i="236"/>
  <c r="Z15" i="236"/>
  <c r="Z151" i="236"/>
  <c r="Z95" i="236"/>
  <c r="Z145" i="236"/>
  <c r="Z124" i="236"/>
  <c r="Z120" i="236"/>
  <c r="Z140" i="236"/>
  <c r="Z137" i="236"/>
  <c r="Z55" i="236"/>
  <c r="Z16" i="236"/>
  <c r="Z54" i="236"/>
  <c r="Z184" i="236"/>
  <c r="Z179" i="236"/>
  <c r="Z10" i="236"/>
  <c r="Z13" i="236"/>
  <c r="Z73" i="236"/>
  <c r="Z51" i="236"/>
  <c r="Z39" i="236"/>
  <c r="Z131" i="236"/>
  <c r="Z113" i="236"/>
  <c r="Z87" i="236"/>
  <c r="Z97" i="236"/>
  <c r="Z50" i="236"/>
  <c r="Z18" i="236"/>
  <c r="Z103" i="236"/>
  <c r="Z21" i="236"/>
  <c r="Z160" i="236"/>
  <c r="Z107" i="236"/>
  <c r="Z69" i="236"/>
  <c r="Z81" i="236"/>
  <c r="Z43" i="236"/>
  <c r="Z48" i="236"/>
  <c r="Z121" i="236"/>
  <c r="Z181" i="236"/>
  <c r="Z164" i="236"/>
  <c r="Z25" i="236"/>
  <c r="Z134" i="236"/>
  <c r="Z167" i="236"/>
  <c r="Z44" i="236"/>
  <c r="Z80" i="236"/>
  <c r="Z30" i="236"/>
  <c r="Z123" i="236"/>
  <c r="Z127" i="236"/>
  <c r="Z158" i="236"/>
  <c r="Z130" i="236"/>
  <c r="Z185" i="236"/>
  <c r="Z68" i="236"/>
  <c r="Z24" i="236"/>
  <c r="Z163" i="236"/>
  <c r="Z38" i="236"/>
  <c r="Z161" i="236"/>
  <c r="Z142" i="236"/>
  <c r="Z118" i="236"/>
  <c r="Z104" i="236"/>
  <c r="Z169" i="236"/>
  <c r="Z67" i="236"/>
  <c r="Z108" i="236"/>
  <c r="Z168" i="236"/>
  <c r="Z88" i="236"/>
  <c r="Z180" i="236"/>
  <c r="Z112" i="236"/>
  <c r="Z146" i="236"/>
  <c r="Z47" i="236"/>
  <c r="Z125" i="236"/>
  <c r="Z170" i="236"/>
  <c r="Z101" i="236"/>
  <c r="Z190" i="236"/>
  <c r="Z14" i="236"/>
  <c r="Z147" i="236"/>
  <c r="Z20" i="236"/>
  <c r="Z40" i="236"/>
  <c r="Z63" i="236"/>
  <c r="Z74" i="236"/>
  <c r="Z153" i="236"/>
  <c r="Z17" i="236"/>
  <c r="Z133" i="236"/>
  <c r="Z75" i="236"/>
  <c r="Z26" i="236"/>
  <c r="Z57" i="236"/>
  <c r="Z32" i="236"/>
  <c r="Z173" i="236"/>
  <c r="Z174" i="236"/>
  <c r="Z171" i="236"/>
  <c r="Z11" i="236"/>
  <c r="Z94" i="236"/>
  <c r="Z76" i="236"/>
  <c r="Z175" i="236"/>
  <c r="Z154" i="236"/>
  <c r="Z138" i="236"/>
  <c r="Z143" i="236"/>
  <c r="Z19" i="236"/>
  <c r="Z36" i="236"/>
  <c r="Z37" i="236"/>
  <c r="Z119" i="236"/>
  <c r="Z141" i="236"/>
  <c r="Z156" i="236"/>
  <c r="Z64" i="236"/>
  <c r="Z33" i="236"/>
  <c r="Z117" i="236"/>
  <c r="Z89" i="236"/>
  <c r="Z31" i="236"/>
  <c r="Z58" i="236"/>
  <c r="Z176" i="236"/>
  <c r="Z105" i="236"/>
  <c r="Z46" i="236"/>
  <c r="Z186" i="236"/>
  <c r="Z66" i="236"/>
  <c r="Z29" i="236"/>
  <c r="Z56" i="236"/>
  <c r="Z100" i="236"/>
  <c r="Z189" i="236"/>
  <c r="Z93" i="236"/>
  <c r="Z110" i="236"/>
  <c r="Z157" i="236"/>
  <c r="Z187" i="236"/>
  <c r="Z106" i="236"/>
  <c r="Z59" i="236"/>
  <c r="Z27" i="236"/>
  <c r="Z65" i="236"/>
  <c r="Z114" i="236"/>
  <c r="Z139" i="236"/>
  <c r="Z61" i="236"/>
  <c r="Z159" i="236"/>
  <c r="Z23" i="236"/>
  <c r="Z128" i="236"/>
  <c r="Z135" i="236"/>
  <c r="Z172" i="236"/>
  <c r="Z109" i="236"/>
  <c r="Z77" i="236"/>
  <c r="Z34" i="236"/>
  <c r="Z166" i="236"/>
  <c r="Z148" i="236"/>
  <c r="Z45" i="236"/>
  <c r="Z41" i="236"/>
  <c r="Z99" i="236"/>
  <c r="Z82" i="236"/>
  <c r="Z53" i="236"/>
  <c r="Z111" i="236"/>
  <c r="Z177" i="236"/>
  <c r="Z71" i="236"/>
  <c r="Z126" i="236"/>
  <c r="Z132" i="236"/>
  <c r="Z150" i="236"/>
  <c r="Z98" i="236"/>
  <c r="Z136" i="236"/>
  <c r="Z155" i="236"/>
  <c r="Z83" i="236"/>
  <c r="Z60" i="236"/>
  <c r="Z165" i="236"/>
  <c r="Z86" i="236"/>
  <c r="Z183" i="236"/>
  <c r="Z178" i="236"/>
  <c r="Z35" i="236"/>
  <c r="Z52" i="236"/>
  <c r="BZ69" i="236"/>
  <c r="CA69" i="236" s="1"/>
  <c r="CF69" i="236" s="1"/>
  <c r="BH69" i="236"/>
  <c r="BM15" i="236"/>
  <c r="BN15" i="236" s="1"/>
  <c r="Z152" i="236"/>
  <c r="Z22" i="236"/>
  <c r="Z115" i="236"/>
  <c r="Z90" i="236"/>
  <c r="Z162" i="236"/>
  <c r="Z92" i="236"/>
  <c r="Z188" i="236"/>
  <c r="Z85" i="236"/>
  <c r="Z62" i="236"/>
  <c r="BI68" i="236"/>
  <c r="CA68" i="236"/>
  <c r="BN14" i="236"/>
  <c r="BO14" i="236" s="1"/>
  <c r="F8" i="251" l="1"/>
  <c r="T8" i="251" s="1"/>
  <c r="CF68" i="236"/>
  <c r="CF8" i="236" s="1"/>
  <c r="H11" i="251"/>
  <c r="BH8" i="236"/>
  <c r="CE69" i="236"/>
  <c r="CE8" i="236" s="1"/>
  <c r="Z8" i="236"/>
  <c r="BZ8" i="236"/>
  <c r="BM8" i="236"/>
  <c r="BN8" i="236" s="1"/>
  <c r="BO15" i="236"/>
  <c r="BO16" i="236" s="1"/>
  <c r="BO17" i="236" s="1"/>
  <c r="BO18" i="236" s="1"/>
  <c r="BO19" i="236" s="1"/>
  <c r="BO20" i="236" s="1"/>
  <c r="BO21" i="236" s="1"/>
  <c r="BO22" i="236" s="1"/>
  <c r="BO23" i="236" s="1"/>
  <c r="BO24" i="236" s="1"/>
  <c r="BO25" i="236" s="1"/>
  <c r="BO26" i="236" s="1"/>
  <c r="BO27" i="236" s="1"/>
  <c r="BO28" i="236" s="1"/>
  <c r="CA8" i="236"/>
  <c r="CB68" i="236"/>
  <c r="CC68" i="236" s="1"/>
  <c r="BJ68" i="236"/>
  <c r="BI69" i="236"/>
  <c r="F13" i="251" l="1"/>
  <c r="T13" i="251" s="1"/>
  <c r="BN4" i="236"/>
  <c r="BM4" i="236"/>
  <c r="BJ69" i="236"/>
  <c r="BI70" i="236"/>
  <c r="CB69" i="236"/>
  <c r="CC69" i="236" s="1"/>
  <c r="BJ70" i="236" l="1"/>
  <c r="BI71" i="236"/>
  <c r="CB70" i="236"/>
  <c r="CC70" i="236" s="1"/>
  <c r="CB71" i="236" l="1"/>
  <c r="CC71" i="236" s="1"/>
  <c r="BJ71" i="236"/>
  <c r="BI72" i="236"/>
  <c r="BJ72" i="236" l="1"/>
  <c r="BI73" i="236"/>
  <c r="CB72" i="236"/>
  <c r="CC72" i="236" s="1"/>
  <c r="CB73" i="236" l="1"/>
  <c r="CC73" i="236" s="1"/>
  <c r="BJ73" i="236"/>
  <c r="BI74" i="236"/>
  <c r="BJ74" i="236" l="1"/>
  <c r="BI75" i="236"/>
  <c r="CB74" i="236"/>
  <c r="CC74" i="236" s="1"/>
  <c r="CB75" i="236" l="1"/>
  <c r="CC75" i="236" s="1"/>
  <c r="BJ75" i="236"/>
  <c r="BI76" i="236"/>
  <c r="BJ76" i="236" l="1"/>
  <c r="BI77" i="236"/>
  <c r="CB76" i="236"/>
  <c r="CC76" i="236" s="1"/>
  <c r="CB77" i="236" l="1"/>
  <c r="CC77" i="236" s="1"/>
  <c r="BJ77" i="236"/>
  <c r="BI78" i="236"/>
  <c r="BJ78" i="236" l="1"/>
  <c r="BI79" i="236"/>
  <c r="CB78" i="236"/>
  <c r="CC78" i="236" s="1"/>
  <c r="CB79" i="236" l="1"/>
  <c r="BJ79" i="236"/>
  <c r="BI80" i="236"/>
  <c r="CB80" i="236" l="1"/>
  <c r="CC80" i="236" s="1"/>
  <c r="CC79" i="236"/>
  <c r="BJ80" i="236"/>
  <c r="BI81" i="236"/>
  <c r="CB81" i="236" l="1"/>
  <c r="CC81" i="236" s="1"/>
  <c r="BJ81" i="236"/>
  <c r="BI82" i="236"/>
  <c r="BJ82" i="236" l="1"/>
  <c r="BI83" i="236"/>
  <c r="CB82" i="236"/>
  <c r="CC82" i="236" s="1"/>
  <c r="CB83" i="236" l="1"/>
  <c r="CC83" i="236" s="1"/>
  <c r="BJ83" i="236"/>
  <c r="BI84" i="236"/>
  <c r="BJ84" i="236" l="1"/>
  <c r="BI85" i="236"/>
  <c r="CB84" i="236"/>
  <c r="CC84" i="236" s="1"/>
  <c r="CB85" i="236" l="1"/>
  <c r="CC85" i="236" s="1"/>
  <c r="BJ85" i="236"/>
  <c r="BI86" i="236"/>
  <c r="BJ86" i="236" l="1"/>
  <c r="BI87" i="236"/>
  <c r="CB86" i="236"/>
  <c r="CC86" i="236" s="1"/>
  <c r="CB87" i="236" l="1"/>
  <c r="CC87" i="236" s="1"/>
  <c r="BJ87" i="236"/>
  <c r="BI88" i="236"/>
  <c r="BJ88" i="236" l="1"/>
  <c r="BI89" i="236"/>
  <c r="CB88" i="236"/>
  <c r="CC88" i="236" s="1"/>
  <c r="CB89" i="236" l="1"/>
  <c r="CC89" i="236" s="1"/>
  <c r="BJ89" i="236"/>
  <c r="BI90" i="236"/>
  <c r="BJ90" i="236" l="1"/>
  <c r="BI91" i="236"/>
  <c r="CB90" i="236"/>
  <c r="CC90" i="236" s="1"/>
  <c r="CB91" i="236" l="1"/>
  <c r="CC91" i="236" s="1"/>
  <c r="BI92" i="236"/>
  <c r="BJ91" i="236"/>
  <c r="BJ92" i="236" l="1"/>
  <c r="BI93" i="236"/>
  <c r="CB92" i="236"/>
  <c r="CC92" i="236" s="1"/>
  <c r="CB93" i="236" l="1"/>
  <c r="CC93" i="236" s="1"/>
  <c r="BJ93" i="236"/>
  <c r="BI94" i="236"/>
  <c r="BJ94" i="236" l="1"/>
  <c r="BI95" i="236"/>
  <c r="CB94" i="236"/>
  <c r="CC94" i="236" s="1"/>
  <c r="CB95" i="236" l="1"/>
  <c r="CC95" i="236" s="1"/>
  <c r="BJ95" i="236"/>
  <c r="BI96" i="236"/>
  <c r="BJ96" i="236" l="1"/>
  <c r="BI97" i="236"/>
  <c r="CB96" i="236"/>
  <c r="CC96" i="236" s="1"/>
  <c r="CB97" i="236" l="1"/>
  <c r="CC97" i="236" s="1"/>
  <c r="BJ97" i="236"/>
  <c r="BI98" i="236"/>
  <c r="BJ98" i="236" l="1"/>
  <c r="BI99" i="236"/>
  <c r="CB98" i="236"/>
  <c r="CC98" i="236" s="1"/>
  <c r="CB99" i="236" l="1"/>
  <c r="CC99" i="236" s="1"/>
  <c r="BJ99" i="236"/>
  <c r="BI100" i="236"/>
  <c r="BJ100" i="236" l="1"/>
  <c r="BI101" i="236"/>
  <c r="CB100" i="236"/>
  <c r="CC100" i="236" s="1"/>
  <c r="CB101" i="236" l="1"/>
  <c r="CC101" i="236" s="1"/>
  <c r="BJ101" i="236"/>
  <c r="BI102" i="236"/>
  <c r="BJ102" i="236" l="1"/>
  <c r="BI103" i="236"/>
  <c r="CB102" i="236"/>
  <c r="CC102" i="236" s="1"/>
  <c r="CB103" i="236" l="1"/>
  <c r="CC103" i="236" s="1"/>
  <c r="BJ103" i="236"/>
  <c r="BI104" i="236"/>
  <c r="BJ104" i="236" l="1"/>
  <c r="BI105" i="236"/>
  <c r="CB104" i="236"/>
  <c r="CC104" i="236" s="1"/>
  <c r="CB105" i="236" l="1"/>
  <c r="CC105" i="236" s="1"/>
  <c r="BJ105" i="236"/>
  <c r="BI106" i="236"/>
  <c r="BJ106" i="236" l="1"/>
  <c r="BI107" i="236"/>
  <c r="CB106" i="236"/>
  <c r="CC106" i="236" s="1"/>
  <c r="CB107" i="236" l="1"/>
  <c r="CC107" i="236" s="1"/>
  <c r="BJ107" i="236"/>
  <c r="BI108" i="236"/>
  <c r="BJ108" i="236" l="1"/>
  <c r="BI109" i="236"/>
  <c r="CB108" i="236"/>
  <c r="CC108" i="236" s="1"/>
  <c r="CB109" i="236" l="1"/>
  <c r="CC109" i="236" s="1"/>
  <c r="BJ109" i="236"/>
  <c r="BI110" i="236"/>
  <c r="BJ110" i="236" l="1"/>
  <c r="BI111" i="236"/>
  <c r="CB110" i="236"/>
  <c r="CC110" i="236" s="1"/>
  <c r="CB111" i="236" l="1"/>
  <c r="CC111" i="236" s="1"/>
  <c r="BJ111" i="236"/>
  <c r="BI112" i="236"/>
  <c r="BI113" i="236" l="1"/>
  <c r="BJ112" i="236"/>
  <c r="CB112" i="236"/>
  <c r="CC112" i="236" s="1"/>
  <c r="CB113" i="236" l="1"/>
  <c r="CC113" i="236" s="1"/>
  <c r="BJ113" i="236"/>
  <c r="BI114" i="236"/>
  <c r="BJ114" i="236" l="1"/>
  <c r="BI115" i="236"/>
  <c r="CB114" i="236"/>
  <c r="CC114" i="236" s="1"/>
  <c r="CB115" i="236" l="1"/>
  <c r="CC115" i="236" s="1"/>
  <c r="BJ115" i="236"/>
  <c r="BI116" i="236"/>
  <c r="BJ116" i="236" l="1"/>
  <c r="BI117" i="236"/>
  <c r="CB116" i="236"/>
  <c r="CC116" i="236" s="1"/>
  <c r="CB117" i="236" l="1"/>
  <c r="CC117" i="236" s="1"/>
  <c r="BJ117" i="236"/>
  <c r="BI118" i="236"/>
  <c r="BJ118" i="236" l="1"/>
  <c r="BI119" i="236"/>
  <c r="CB118" i="236"/>
  <c r="CC118" i="236" s="1"/>
  <c r="CB119" i="236" l="1"/>
  <c r="CC119" i="236" s="1"/>
  <c r="BJ119" i="236"/>
  <c r="BI120" i="236"/>
  <c r="BJ120" i="236" l="1"/>
  <c r="BI121" i="236"/>
  <c r="CB120" i="236"/>
  <c r="CC120" i="236" s="1"/>
  <c r="CB121" i="236" l="1"/>
  <c r="CC121" i="236" s="1"/>
  <c r="BJ121" i="236"/>
  <c r="BI122" i="236"/>
  <c r="BJ122" i="236" l="1"/>
  <c r="BI123" i="236"/>
  <c r="CB122" i="236"/>
  <c r="CC122" i="236" s="1"/>
  <c r="CB123" i="236" l="1"/>
  <c r="CC123" i="236" s="1"/>
  <c r="BJ123" i="236"/>
  <c r="BI124" i="236"/>
  <c r="BJ124" i="236" l="1"/>
  <c r="BI125" i="236"/>
  <c r="CB124" i="236"/>
  <c r="CC124" i="236" s="1"/>
  <c r="CB125" i="236" l="1"/>
  <c r="CC125" i="236" s="1"/>
  <c r="BJ125" i="236"/>
  <c r="BI126" i="236"/>
  <c r="BJ126" i="236" l="1"/>
  <c r="BI127" i="236"/>
  <c r="CB126" i="236"/>
  <c r="CC126" i="236" s="1"/>
  <c r="CB127" i="236" l="1"/>
  <c r="CC127" i="236" s="1"/>
  <c r="BJ127" i="236"/>
  <c r="BI128" i="236"/>
  <c r="BJ128" i="236" l="1"/>
  <c r="BI129" i="236"/>
  <c r="CB128" i="236"/>
  <c r="CC128" i="236" s="1"/>
  <c r="CB129" i="236" l="1"/>
  <c r="CC129" i="236" s="1"/>
  <c r="BJ129" i="236"/>
  <c r="BI130" i="236"/>
  <c r="BJ130" i="236" l="1"/>
  <c r="BI131" i="236"/>
  <c r="CB130" i="236"/>
  <c r="CC130" i="236" s="1"/>
  <c r="CB131" i="236" l="1"/>
  <c r="CC131" i="236" s="1"/>
  <c r="BJ131" i="236"/>
  <c r="BI132" i="236"/>
  <c r="BJ132" i="236" l="1"/>
  <c r="BI133" i="236"/>
  <c r="CB132" i="236"/>
  <c r="CC132" i="236" s="1"/>
  <c r="CB133" i="236" l="1"/>
  <c r="CC133" i="236" s="1"/>
  <c r="BJ133" i="236"/>
  <c r="BI134" i="236"/>
  <c r="BJ134" i="236" l="1"/>
  <c r="BI135" i="236"/>
  <c r="CB134" i="236"/>
  <c r="CC134" i="236" s="1"/>
  <c r="CB135" i="236" l="1"/>
  <c r="CC135" i="236" s="1"/>
  <c r="BJ135" i="236"/>
  <c r="BI136" i="236"/>
  <c r="BJ136" i="236" l="1"/>
  <c r="BI137" i="236"/>
  <c r="CB136" i="236"/>
  <c r="CC136" i="236" s="1"/>
  <c r="CB137" i="236" l="1"/>
  <c r="CC137" i="236" s="1"/>
  <c r="BJ137" i="236"/>
  <c r="BI138" i="236"/>
  <c r="BJ138" i="236" l="1"/>
  <c r="BI139" i="236"/>
  <c r="CB138" i="236"/>
  <c r="CC138" i="236" s="1"/>
  <c r="CB139" i="236" l="1"/>
  <c r="CC139" i="236" s="1"/>
  <c r="BJ139" i="236"/>
  <c r="BI140" i="236"/>
  <c r="BJ140" i="236" l="1"/>
  <c r="BI141" i="236"/>
  <c r="CB140" i="236"/>
  <c r="CC140" i="236" s="1"/>
  <c r="CB141" i="236" l="1"/>
  <c r="CC141" i="236" s="1"/>
  <c r="BI142" i="236"/>
  <c r="BJ141" i="236"/>
  <c r="BJ142" i="236" l="1"/>
  <c r="BI143" i="236"/>
  <c r="CB142" i="236"/>
  <c r="CC142" i="236" s="1"/>
  <c r="CB143" i="236" l="1"/>
  <c r="CC143" i="236" s="1"/>
  <c r="BJ143" i="236"/>
  <c r="BI144" i="236"/>
  <c r="BJ144" i="236" l="1"/>
  <c r="BI145" i="236"/>
  <c r="CB144" i="236"/>
  <c r="CC144" i="236" s="1"/>
  <c r="CB145" i="236" l="1"/>
  <c r="CC145" i="236" s="1"/>
  <c r="BJ145" i="236"/>
  <c r="BI146" i="236"/>
  <c r="BJ146" i="236" l="1"/>
  <c r="BI147" i="236"/>
  <c r="CB146" i="236"/>
  <c r="CC146" i="236" s="1"/>
  <c r="CB147" i="236" l="1"/>
  <c r="CC147" i="236" s="1"/>
  <c r="BJ147" i="236"/>
  <c r="BI148" i="236"/>
  <c r="BJ148" i="236" l="1"/>
  <c r="BI149" i="236"/>
  <c r="CB148" i="236"/>
  <c r="CC148" i="236" s="1"/>
  <c r="CB149" i="236" l="1"/>
  <c r="CC149" i="236" s="1"/>
  <c r="BJ149" i="236"/>
  <c r="BI150" i="236"/>
  <c r="BJ150" i="236" l="1"/>
  <c r="BI151" i="236"/>
  <c r="CB150" i="236"/>
  <c r="CC150" i="236" s="1"/>
  <c r="CB151" i="236" l="1"/>
  <c r="CC151" i="236" s="1"/>
  <c r="BJ151" i="236"/>
  <c r="BI152" i="236"/>
  <c r="BJ152" i="236" l="1"/>
  <c r="BI153" i="236"/>
  <c r="CB152" i="236"/>
  <c r="CC152" i="236" s="1"/>
  <c r="CB153" i="236" l="1"/>
  <c r="CC153" i="236" s="1"/>
  <c r="BJ153" i="236"/>
  <c r="BI154" i="236"/>
  <c r="BJ154" i="236" l="1"/>
  <c r="BI155" i="236"/>
  <c r="CB154" i="236"/>
  <c r="CC154" i="236" s="1"/>
  <c r="CB155" i="236" l="1"/>
  <c r="CC155" i="236" s="1"/>
  <c r="BJ155" i="236"/>
  <c r="BI156" i="236"/>
  <c r="BJ156" i="236" l="1"/>
  <c r="BI157" i="236"/>
  <c r="CB156" i="236"/>
  <c r="CC156" i="236" s="1"/>
  <c r="CB157" i="236" l="1"/>
  <c r="CC157" i="236" s="1"/>
  <c r="BJ157" i="236"/>
  <c r="BI158" i="236"/>
  <c r="BJ158" i="236" l="1"/>
  <c r="BI159" i="236"/>
  <c r="CB158" i="236"/>
  <c r="CC158" i="236" s="1"/>
  <c r="CB159" i="236" l="1"/>
  <c r="CC159" i="236" s="1"/>
  <c r="BJ159" i="236"/>
  <c r="BI160" i="236"/>
  <c r="BJ160" i="236" l="1"/>
  <c r="BI161" i="236"/>
  <c r="CB160" i="236"/>
  <c r="CC160" i="236" s="1"/>
  <c r="CB161" i="236" l="1"/>
  <c r="CC161" i="236" s="1"/>
  <c r="BJ161" i="236"/>
  <c r="BI162" i="236"/>
  <c r="BJ162" i="236" l="1"/>
  <c r="BI163" i="236"/>
  <c r="CB162" i="236"/>
  <c r="CC162" i="236" s="1"/>
  <c r="CB163" i="236" l="1"/>
  <c r="CC163" i="236" s="1"/>
  <c r="BJ163" i="236"/>
  <c r="BI164" i="236"/>
  <c r="BJ164" i="236" l="1"/>
  <c r="BI165" i="236"/>
  <c r="CB164" i="236"/>
  <c r="CC164" i="236" s="1"/>
  <c r="CB165" i="236" l="1"/>
  <c r="CC165" i="236" s="1"/>
  <c r="BJ165" i="236"/>
  <c r="BI166" i="236"/>
  <c r="BJ166" i="236" l="1"/>
  <c r="BI167" i="236"/>
  <c r="CB166" i="236"/>
  <c r="CC166" i="236" s="1"/>
  <c r="CB167" i="236" l="1"/>
  <c r="CC167" i="236" s="1"/>
  <c r="BJ167" i="236"/>
  <c r="BI168" i="236"/>
  <c r="BJ168" i="236" l="1"/>
  <c r="BI169" i="236"/>
  <c r="CB168" i="236"/>
  <c r="CC168" i="236" s="1"/>
  <c r="CB169" i="236" l="1"/>
  <c r="CC169" i="236" s="1"/>
  <c r="BJ169" i="236"/>
  <c r="BI170" i="236"/>
  <c r="BJ170" i="236" l="1"/>
  <c r="BI171" i="236"/>
  <c r="CB170" i="236"/>
  <c r="CC170" i="236" s="1"/>
  <c r="CB171" i="236" l="1"/>
  <c r="CC171" i="236" s="1"/>
  <c r="BJ171" i="236"/>
  <c r="BI172" i="236"/>
  <c r="BJ172" i="236" l="1"/>
  <c r="BI173" i="236"/>
  <c r="CB172" i="236"/>
  <c r="CC172" i="236" s="1"/>
  <c r="CB173" i="236" l="1"/>
  <c r="CC173" i="236" s="1"/>
  <c r="BI174" i="236"/>
  <c r="BJ173" i="236"/>
  <c r="BJ174" i="236" l="1"/>
  <c r="BI175" i="236"/>
  <c r="CB174" i="236"/>
  <c r="CC174" i="236" s="1"/>
  <c r="CB175" i="236" l="1"/>
  <c r="CC175" i="236" s="1"/>
  <c r="BJ175" i="236"/>
  <c r="BI176" i="236"/>
  <c r="BJ176" i="236" l="1"/>
  <c r="BI177" i="236"/>
  <c r="CB176" i="236"/>
  <c r="CC176" i="236" s="1"/>
  <c r="CB177" i="236" l="1"/>
  <c r="CC177" i="236" s="1"/>
  <c r="BJ177" i="236"/>
  <c r="BI178" i="236"/>
  <c r="BJ178" i="236" l="1"/>
  <c r="BI179" i="236"/>
  <c r="CB178" i="236"/>
  <c r="CC178" i="236" s="1"/>
  <c r="CB179" i="236" l="1"/>
  <c r="CC179" i="236" s="1"/>
  <c r="BJ179" i="236"/>
  <c r="BI180" i="236"/>
  <c r="BJ180" i="236" l="1"/>
  <c r="BI181" i="236"/>
  <c r="CB180" i="236"/>
  <c r="CC180" i="236" s="1"/>
  <c r="CB181" i="236" l="1"/>
  <c r="CC181" i="236" s="1"/>
  <c r="BJ181" i="236"/>
  <c r="BI182" i="236"/>
  <c r="BJ182" i="236" l="1"/>
  <c r="BI183" i="236"/>
  <c r="CB182" i="236"/>
  <c r="CC182" i="236" s="1"/>
  <c r="CB183" i="236" l="1"/>
  <c r="CC183" i="236" s="1"/>
  <c r="BJ183" i="236"/>
  <c r="BI184" i="236"/>
  <c r="BJ184" i="236" l="1"/>
  <c r="BI185" i="236"/>
  <c r="CB184" i="236"/>
  <c r="CC184" i="236" l="1"/>
  <c r="CC6" i="236" s="1"/>
  <c r="CB6" i="236"/>
  <c r="BJ185" i="236"/>
  <c r="BI186" i="236"/>
  <c r="BJ186" i="236" l="1"/>
  <c r="BI187" i="236"/>
  <c r="BJ187" i="236" l="1"/>
  <c r="BI188" i="236"/>
  <c r="BJ188" i="236" l="1"/>
  <c r="BI189" i="236"/>
  <c r="BJ189" i="236" l="1"/>
  <c r="BI190" i="236"/>
  <c r="BJ190" i="23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Rivania Fernades</author>
  </authors>
  <commentList>
    <comment ref="AP4" authorId="0" shapeId="0" xr:uid="{9E522877-C3D0-4BA5-8992-B9A1430AEC37}">
      <text>
        <r>
          <rPr>
            <b/>
            <sz val="9"/>
            <color indexed="81"/>
            <rFont val="Segoe UI"/>
            <family val="2"/>
          </rPr>
          <t>Juros 2% e 21% IR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Menezes</author>
  </authors>
  <commentList>
    <comment ref="BV66" authorId="0" shapeId="0" xr:uid="{5F9563F6-E60E-4543-B722-F1D197A9C7A0}">
      <text>
        <r>
          <rPr>
            <b/>
            <sz val="9"/>
            <color indexed="81"/>
            <rFont val="Segoe UI"/>
            <family val="2"/>
          </rPr>
          <t>Fundo de reserva - Segurando Três PMT
R$ 3.000.000,00</t>
        </r>
      </text>
    </comment>
    <comment ref="BQ184" authorId="0" shapeId="0" xr:uid="{FB994096-F0AE-4721-BB11-DA510BED730F}">
      <text>
        <r>
          <rPr>
            <b/>
            <sz val="9"/>
            <color indexed="81"/>
            <rFont val="Segoe UI"/>
            <family val="2"/>
          </rPr>
          <t>Fundo de reserva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Moraes</author>
  </authors>
  <commentList>
    <comment ref="B2" authorId="0" shapeId="0" xr:uid="{CF54C7A6-479B-4078-9801-BFEBBBA96148}">
      <text>
        <r>
          <rPr>
            <b/>
            <sz val="9"/>
            <color indexed="81"/>
            <rFont val="Segoe UI"/>
            <family val="2"/>
          </rPr>
          <t>Amanda Moraes:</t>
        </r>
        <r>
          <rPr>
            <sz val="9"/>
            <color indexed="81"/>
            <rFont val="Segoe UI"/>
            <family val="2"/>
          </rPr>
          <t xml:space="preserve">
 Blocos D E F G</t>
        </r>
      </text>
    </comment>
    <comment ref="B4" authorId="0" shapeId="0" xr:uid="{097CB020-0592-41F1-B243-D3F748F6BF7A}">
      <text>
        <r>
          <rPr>
            <b/>
            <sz val="9"/>
            <color indexed="81"/>
            <rFont val="Segoe UI"/>
            <family val="2"/>
          </rPr>
          <t>Amanda Moraes:</t>
        </r>
        <r>
          <rPr>
            <sz val="9"/>
            <color indexed="81"/>
            <rFont val="Segoe UI"/>
            <family val="2"/>
          </rPr>
          <t xml:space="preserve">
BLOCOS D E F G</t>
        </r>
      </text>
    </comment>
  </commentList>
</comments>
</file>

<file path=xl/sharedStrings.xml><?xml version="1.0" encoding="utf-8"?>
<sst xmlns="http://schemas.openxmlformats.org/spreadsheetml/2006/main" count="320" uniqueCount="185">
  <si>
    <t>ACOMPANHAMENTO</t>
  </si>
  <si>
    <t>RECEITA</t>
  </si>
  <si>
    <t>OUTRAS ENTRADAS</t>
  </si>
  <si>
    <t>PROJETO</t>
  </si>
  <si>
    <t>IMPOSTOS</t>
  </si>
  <si>
    <t>MARKETING</t>
  </si>
  <si>
    <t>OBRA</t>
  </si>
  <si>
    <t>LANÇAMENTO</t>
  </si>
  <si>
    <t>EVENTO</t>
  </si>
  <si>
    <t>%</t>
  </si>
  <si>
    <t>TOTAL DESPESAS</t>
  </si>
  <si>
    <t>SALDO ACUMULADO</t>
  </si>
  <si>
    <t>VERIFICAÇÃO</t>
  </si>
  <si>
    <t>VELOCIDADE DE VENDA</t>
  </si>
  <si>
    <t>COMERCIALIZAÇÃO</t>
  </si>
  <si>
    <t>GESTÃO DA CARTEIRA</t>
  </si>
  <si>
    <t>DISTRATO DE VENDA</t>
  </si>
  <si>
    <t>DESPESAS BANCÁRIAS</t>
  </si>
  <si>
    <t>AQUISIÇÃO DO TERRENO</t>
  </si>
  <si>
    <t>OUTRAS DESPESAS</t>
  </si>
  <si>
    <t>RESUMO SEM ALAVANCAGEM</t>
  </si>
  <si>
    <t>RESUMO ANO SEM ALAVANCAGEM</t>
  </si>
  <si>
    <t>N°</t>
  </si>
  <si>
    <t>MESES</t>
  </si>
  <si>
    <t>VGV ESTOQUE</t>
  </si>
  <si>
    <t xml:space="preserve">ESTOQUE </t>
  </si>
  <si>
    <t>AGING DA CARTERIA</t>
  </si>
  <si>
    <t>RECUPERAÇÃO INADIMPLÊNCIA AGING</t>
  </si>
  <si>
    <t>RECEBIDO</t>
  </si>
  <si>
    <t>INADIMPLÊNCIA</t>
  </si>
  <si>
    <t>RECUPERAÇÃO</t>
  </si>
  <si>
    <t>RECEITA TOTAL</t>
  </si>
  <si>
    <t>CRONOGRAMA OBRA</t>
  </si>
  <si>
    <t>TOTAL RECEITA</t>
  </si>
  <si>
    <t>SALDO MENSAL</t>
  </si>
  <si>
    <t>ANO</t>
  </si>
  <si>
    <t>INÍCIO OBRA</t>
  </si>
  <si>
    <t>FIM OBRA</t>
  </si>
  <si>
    <t>FIM CARTEIRA</t>
  </si>
  <si>
    <t>AREA ANEXA</t>
  </si>
  <si>
    <t>FF&amp;E</t>
  </si>
  <si>
    <t>LEGALIZAÇÃO OBRA</t>
  </si>
  <si>
    <t>VENDAS GERAL</t>
  </si>
  <si>
    <t>APTO MODELO</t>
  </si>
  <si>
    <t>COMISSÃO WAM</t>
  </si>
  <si>
    <t>CLUB CIA</t>
  </si>
  <si>
    <t>FÉRIAS CLUB</t>
  </si>
  <si>
    <t>PASSAPORTE</t>
  </si>
  <si>
    <t>ADMINISTRATIVO</t>
  </si>
  <si>
    <t xml:space="preserve">HONORÁRIOS ADV </t>
  </si>
  <si>
    <t>CORRESPONDÊNCIA E MALOTE</t>
  </si>
  <si>
    <t>CUSTO CARTORIO / TAXAS E REGISTROS</t>
  </si>
  <si>
    <t>DEPOSITO JUDICIAL</t>
  </si>
  <si>
    <t>HONORÁRIOS CONTABEIS  / AUDITORIA</t>
  </si>
  <si>
    <t>EMPRESTIMO PF</t>
  </si>
  <si>
    <t>EMP. MUTUO ENTRE EMPRESAS</t>
  </si>
  <si>
    <t>GERENCIAMENTO OBRA</t>
  </si>
  <si>
    <t>Cotas 1/4 (2*)</t>
  </si>
  <si>
    <t>Cotas 1/4 (3*)</t>
  </si>
  <si>
    <t>Cotas 2/4 (2*)</t>
  </si>
  <si>
    <t>Cotas 2/4 (3*)</t>
  </si>
  <si>
    <t xml:space="preserve">VGV REALIZADO     3 SEMANA </t>
  </si>
  <si>
    <t xml:space="preserve">VGV REALIZADO     2 SEMANA </t>
  </si>
  <si>
    <t>INFRAESTRUTURA</t>
  </si>
  <si>
    <t>DESPESAS ADMINISTRATIVAS</t>
  </si>
  <si>
    <t>IPTU</t>
  </si>
  <si>
    <t>COMISSÃO PREVISTO</t>
  </si>
  <si>
    <t>COMISSÃO FIXO</t>
  </si>
  <si>
    <t>CLUB CIA PREVISTO</t>
  </si>
  <si>
    <t>CLUB CIA REALIZADO</t>
  </si>
  <si>
    <t>PASSAPORTE PREVISTO</t>
  </si>
  <si>
    <t>PASSAPORTE REALIZADO</t>
  </si>
  <si>
    <t>DISTRIBUIÇÃO</t>
  </si>
  <si>
    <t>JUROS /DESCONTO</t>
  </si>
  <si>
    <t>EMPRESTIMO EMPRESAS LIGADAS E PF - PJ</t>
  </si>
  <si>
    <t>COMISSÃO REALIZADO/ PREMIAÇÃO</t>
  </si>
  <si>
    <t>CORREÇÃO 0,5%</t>
  </si>
  <si>
    <t>Total</t>
  </si>
  <si>
    <t>Distribuição</t>
  </si>
  <si>
    <t>PARQUE AQ.</t>
  </si>
  <si>
    <t>TAXA DE ADMINISTRAÇÃO</t>
  </si>
  <si>
    <t>MARKETING, PROMOÇÃO E PROPAGANDA</t>
  </si>
  <si>
    <t>CRONOGRAMA</t>
  </si>
  <si>
    <t xml:space="preserve">MÚTUO </t>
  </si>
  <si>
    <t>IMPOSTOS (RET)</t>
  </si>
  <si>
    <t>TAXA ALL IN MÊS</t>
  </si>
  <si>
    <t>TAXA ALL IN ANO</t>
  </si>
  <si>
    <t>CUSTOS FLAT - ESTRUTURAÇÃO</t>
  </si>
  <si>
    <t>FLUXO MENSAL ECONOMICO</t>
  </si>
  <si>
    <t>FLUXO MENSAL FINANCEIRO</t>
  </si>
  <si>
    <t>FLUXO ACUMULADO</t>
  </si>
  <si>
    <t xml:space="preserve"> PMT (AMORTIZAÇÃO + JUROS)</t>
  </si>
  <si>
    <t>DEVOLUÇÃO DA CARTEIRA</t>
  </si>
  <si>
    <t xml:space="preserve">FLUXO CRI </t>
  </si>
  <si>
    <t>DEVOLUÇÃO DO EXCEDENTE</t>
  </si>
  <si>
    <t xml:space="preserve">RESUMO COM ALAVANCAGEM </t>
  </si>
  <si>
    <t>FLUXO SEM CRI</t>
  </si>
  <si>
    <t>FLUXO COM CRI</t>
  </si>
  <si>
    <t>FLUXO A VP</t>
  </si>
  <si>
    <t>DESPESAS RECORRENTES / DESPESAS GESTÃO</t>
  </si>
  <si>
    <t>LIBERAÇÃO DAS TRANCHES CONFORME MEDIÇÃO DE OBRA</t>
  </si>
  <si>
    <t>TOTAL</t>
  </si>
  <si>
    <t>COM ALAVANCAGEM</t>
  </si>
  <si>
    <t>SEM ALAVANCAGEM</t>
  </si>
  <si>
    <t>FLUXO ANUAL DO EMPREENIDMENTO</t>
  </si>
  <si>
    <t>ROE (Resul. / Exp. Máx.)</t>
  </si>
  <si>
    <t>Margem (Resul. / Receita)</t>
  </si>
  <si>
    <t>TIR (a.m. | a.a.)</t>
  </si>
  <si>
    <t>PayBack</t>
  </si>
  <si>
    <t>Dt. Exposição Máxima</t>
  </si>
  <si>
    <t>Exposição Máxima</t>
  </si>
  <si>
    <t>Resultado</t>
  </si>
  <si>
    <t>Despesa</t>
  </si>
  <si>
    <t>Emprestimo</t>
  </si>
  <si>
    <t>Receita</t>
  </si>
  <si>
    <t>DIFERENÇA</t>
  </si>
  <si>
    <t>RESULTADO COM ALAVANCAGEM</t>
  </si>
  <si>
    <t>RESULTADO SEM ALAVANCAGEM</t>
  </si>
  <si>
    <t>RESUMO ANO COM ALAVANCAGEM</t>
  </si>
  <si>
    <t>TAXA</t>
  </si>
  <si>
    <t>TIR A.A.</t>
  </si>
  <si>
    <t>V.P</t>
  </si>
  <si>
    <t>Saldo</t>
  </si>
  <si>
    <t>Aporte</t>
  </si>
  <si>
    <t xml:space="preserve">Resultado </t>
  </si>
  <si>
    <t>Terreno</t>
  </si>
  <si>
    <t>Mês</t>
  </si>
  <si>
    <t>TIR A.M.</t>
  </si>
  <si>
    <t>Fluxo para Cálculo de Indicadores</t>
  </si>
  <si>
    <t>Devolução R$ (DEV)</t>
  </si>
  <si>
    <t>Devolução R$ (CET)</t>
  </si>
  <si>
    <t>(=) Resultado Líquido</t>
  </si>
  <si>
    <t>(=) Total de Despesas</t>
  </si>
  <si>
    <t>(=) Total de Receitas</t>
  </si>
  <si>
    <t>(=) Despesas</t>
  </si>
  <si>
    <t>(-) Outras Despesas</t>
  </si>
  <si>
    <t>(-) Recebimento de Empréstimos - Empresas Ligadas</t>
  </si>
  <si>
    <t>Saldo Bancário</t>
  </si>
  <si>
    <t>(-) Pagamento de Empréstimos</t>
  </si>
  <si>
    <t>Saldo Anterior</t>
  </si>
  <si>
    <t>(-) Despesas Tributárias</t>
  </si>
  <si>
    <t>(=) Receitas</t>
  </si>
  <si>
    <t>(=) Distribuição de Lucro</t>
  </si>
  <si>
    <t>(-) Despesas Financeiras</t>
  </si>
  <si>
    <t>(-) Devolução de Clientes</t>
  </si>
  <si>
    <t>(-) Despesas com Marketing</t>
  </si>
  <si>
    <t>(+) Recebimento de Empréstimos</t>
  </si>
  <si>
    <t>(-) Despesas com Vendas</t>
  </si>
  <si>
    <t>(+) Outras Entradas</t>
  </si>
  <si>
    <t>(-) Despesas Administrativas</t>
  </si>
  <si>
    <t>(+) Aporte</t>
  </si>
  <si>
    <t>(-) Custo de Obra</t>
  </si>
  <si>
    <t>(+) Carteira</t>
  </si>
  <si>
    <t>Despesas</t>
  </si>
  <si>
    <t>Receitas</t>
  </si>
  <si>
    <t>Anterior</t>
  </si>
  <si>
    <t>Contas</t>
  </si>
  <si>
    <t>Resultado CRI</t>
  </si>
  <si>
    <t>Sem CRI</t>
  </si>
  <si>
    <t>Com CRI</t>
  </si>
  <si>
    <t xml:space="preserve">TOTAL </t>
  </si>
  <si>
    <t>REALIZADO LÍQUIDO</t>
  </si>
  <si>
    <t>SALDO</t>
  </si>
  <si>
    <t>TOTAL Cotas 1/4 (2*)</t>
  </si>
  <si>
    <t>TOTAL Cotas 1/4 (3*)</t>
  </si>
  <si>
    <t>TOTAL Cotas 2/4 (2*)</t>
  </si>
  <si>
    <t>VGV REALIZADO</t>
  </si>
  <si>
    <t>TOTAL Cotas 2/4 (3*)</t>
  </si>
  <si>
    <t xml:space="preserve">Quantidade </t>
  </si>
  <si>
    <t>Tabela de Preço com Clube e CIA</t>
  </si>
  <si>
    <t>VGV</t>
  </si>
  <si>
    <t>Quantidade de Parcela</t>
  </si>
  <si>
    <t>Valor Parcela Unitaria</t>
  </si>
  <si>
    <t>1 Quarto (2 semanas)</t>
  </si>
  <si>
    <t>1 Quarto (3 semanas)</t>
  </si>
  <si>
    <t>2 Quartos (2 semanas)</t>
  </si>
  <si>
    <t>2 Quartos (3 semanas)</t>
  </si>
  <si>
    <t>á Realizar</t>
  </si>
  <si>
    <t>Realizado</t>
  </si>
  <si>
    <t>Geral</t>
  </si>
  <si>
    <t>Recebimento Estoque</t>
  </si>
  <si>
    <t>FUNDO DE LIQUIDEZ</t>
  </si>
  <si>
    <t>LIBERAÇÃO</t>
  </si>
  <si>
    <t xml:space="preserve"> 1º PMT (AMORTIZAÇÃO + JUROS)</t>
  </si>
  <si>
    <t xml:space="preserve"> 2º PMT (AMORTIZAÇÃO + JUROS)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</si>
</sst>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.#._);_(* \(#.#.\);_(* &quot;-&quot;??_);_(@_ⴆ"/>
    <numFmt numFmtId="168" formatCode="&quot;$&quot;#,##0_%_);\(&quot;$&quot;#,##0\)_%;&quot;$&quot;#,##0_%_);@_%_)"/>
    <numFmt numFmtId="169" formatCode="_([$€-2]* #,##0.00_);_([$€-2]* \(#,##0.00\);_([$€-2]* &quot;-&quot;??_)"/>
    <numFmt numFmtId="170" formatCode="[$-416]dddd\,\ d&quot; de &quot;mmmm&quot; de &quot;yyyy"/>
    <numFmt numFmtId="171" formatCode="##,##0.00"/>
    <numFmt numFmtId="172" formatCode="###,##0.00"/>
    <numFmt numFmtId="173" formatCode="_(* #,##0.00_);_(* \(#,##0.00\);_(* \-??_);_(@_)"/>
    <numFmt numFmtId="174" formatCode="[$-416]mmmm\-yy;@"/>
    <numFmt numFmtId="175" formatCode="#,##0.00;[Red]#,##0.00"/>
    <numFmt numFmtId="176" formatCode="_(* #,##0_);_(* \(#,##0\);_(* &quot;-&quot;??_);_(@_)"/>
    <numFmt numFmtId="177" formatCode="0.000_)"/>
    <numFmt numFmtId="178" formatCode="m\o\n\th\ d\,\ yyyy"/>
    <numFmt numFmtId="179" formatCode="_([$€]* #,##0.00_);_([$€]* \(#,##0.00\);_([$€]* &quot;-&quot;??_);_(@_)"/>
    <numFmt numFmtId="180" formatCode="#.00"/>
    <numFmt numFmtId="181" formatCode="#."/>
    <numFmt numFmtId="182" formatCode="##,###,##0.00"/>
    <numFmt numFmtId="183" formatCode="00"/>
    <numFmt numFmtId="184" formatCode="#.#\ &quot;meses&quot;"/>
    <numFmt numFmtId="185" formatCode="0000"/>
    <numFmt numFmtId="186" formatCode="[$-416]mmm\-yy;@"/>
    <numFmt numFmtId="187" formatCode="_(* #,##0_);_(* \(#,##0\);_(* &quot;-&quot;_);_(@_)"/>
    <numFmt numFmtId="188" formatCode="0.000%"/>
    <numFmt numFmtId="189" formatCode="_-* #,##0_-;\-* #,##0_-;_-* &quot;-&quot;??_-;_-@_-"/>
    <numFmt numFmtId="190" formatCode="_-[$R$-416]\ * #,##0.00_-;\-[$R$-416]\ * #,##0.00_-;_-[$R$-416]\ * &quot;-&quot;??_-;_-@_-"/>
    <numFmt numFmtId="191" formatCode="mmm/yyyy"/>
    <numFmt numFmtId="192" formatCode="_(* #,##0.00_);_(* \(#,##0.00\);_(* &quot;-&quot;_);_(@_)"/>
    <numFmt numFmtId="194" formatCode="0.0%"/>
    <numFmt numFmtId="196" formatCode="#,##0_ ;[Red]\-#,##0\ "/>
    <numFmt numFmtId="197" formatCode="#,##0;\(#,##0\)"/>
    <numFmt numFmtId="199" formatCode="_(* #,##0.0000_);_(* \(#,##0.0000\);_(* &quot;-&quot;_);_(@_)"/>
  </numFmts>
  <fonts count="157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Geneva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8"/>
      <name val="Palatino"/>
      <family val="1"/>
    </font>
    <font>
      <sz val="11"/>
      <color indexed="62"/>
      <name val="Calibri"/>
      <family val="2"/>
    </font>
    <font>
      <sz val="10"/>
      <color indexed="8"/>
      <name val="MS Sans Serif"/>
      <family val="2"/>
    </font>
    <font>
      <i/>
      <sz val="11"/>
      <color indexed="23"/>
      <name val="Calibri"/>
      <family val="2"/>
    </font>
    <font>
      <u/>
      <sz val="6.6"/>
      <color indexed="36"/>
      <name val="Book Antiqua"/>
      <family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Geneva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9"/>
      <name val="Palatino"/>
      <family val="1"/>
    </font>
    <font>
      <b/>
      <sz val="8"/>
      <name val="Times New Roman"/>
      <family val="1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.75"/>
      <name val="Arial"/>
      <family val="2"/>
    </font>
    <font>
      <sz val="11"/>
      <name val="Tms Rmn"/>
      <family val="1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20"/>
      <name val="Arial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u/>
      <sz val="9.35"/>
      <color theme="10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6"/>
      <color theme="10"/>
      <name val="Arial"/>
      <family val="2"/>
    </font>
    <font>
      <u/>
      <sz val="11"/>
      <color theme="10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Calibri Light"/>
      <family val="2"/>
    </font>
    <font>
      <sz val="8"/>
      <name val="Calibri Light"/>
      <family val="2"/>
    </font>
    <font>
      <b/>
      <sz val="8"/>
      <color theme="0"/>
      <name val="Calibri Light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theme="1"/>
      <name val="Calibri Light"/>
      <family val="2"/>
    </font>
    <font>
      <b/>
      <sz val="8"/>
      <color theme="1"/>
      <name val="Calibri Light"/>
      <family val="2"/>
    </font>
    <font>
      <sz val="8"/>
      <color rgb="FFFF0000"/>
      <name val="Calibri Light"/>
      <family val="2"/>
    </font>
    <font>
      <sz val="8"/>
      <color rgb="FF0000FF"/>
      <name val="Calibri Light"/>
      <family val="2"/>
    </font>
    <font>
      <sz val="1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7"/>
      <color theme="1"/>
      <name val="Calibri Light"/>
      <family val="2"/>
    </font>
    <font>
      <sz val="7"/>
      <name val="Calibri Light"/>
      <family val="2"/>
    </font>
    <font>
      <sz val="7"/>
      <color rgb="FF0000FF"/>
      <name val="Calibri Light"/>
      <family val="2"/>
    </font>
    <font>
      <b/>
      <sz val="9"/>
      <color theme="1"/>
      <name val="Calibri Light"/>
      <family val="2"/>
    </font>
    <font>
      <b/>
      <sz val="10"/>
      <color theme="1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Calibri Light"/>
      <family val="2"/>
    </font>
    <font>
      <b/>
      <sz val="10"/>
      <color theme="1" tint="0.34998626667073579"/>
      <name val="Arial"/>
      <family val="2"/>
    </font>
    <font>
      <sz val="5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8"/>
      <color indexed="8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rgb="FF024457"/>
      <name val="Calibri"/>
      <family val="2"/>
    </font>
    <font>
      <b/>
      <sz val="11"/>
      <color rgb="FF024457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24457"/>
      <name val="Calibri"/>
      <family val="2"/>
    </font>
    <font>
      <sz val="10"/>
      <color rgb="FFFFFFFF"/>
      <name val="Calibri"/>
      <family val="2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name val="Calibri Light"/>
      <family val="2"/>
    </font>
    <font>
      <b/>
      <sz val="10"/>
      <name val="Calibri Light"/>
      <family val="2"/>
    </font>
    <font>
      <b/>
      <sz val="11"/>
      <color theme="0"/>
      <name val="Calibri Light"/>
      <family val="2"/>
    </font>
    <font>
      <b/>
      <sz val="9"/>
      <color rgb="FFFF0000"/>
      <name val="Calibri Light"/>
      <family val="2"/>
    </font>
    <font>
      <sz val="11"/>
      <name val="Calibri Light"/>
      <family val="2"/>
    </font>
    <font>
      <b/>
      <sz val="10"/>
      <color theme="0"/>
      <name val="Calibri Light"/>
      <family val="2"/>
    </font>
    <font>
      <b/>
      <sz val="10"/>
      <color indexed="8"/>
      <name val="Calibri Light"/>
      <family val="2"/>
    </font>
    <font>
      <b/>
      <sz val="11"/>
      <color indexed="8"/>
      <name val="Calibri Light"/>
      <family val="2"/>
    </font>
    <font>
      <sz val="8"/>
      <color indexed="8"/>
      <name val="Calibri Light"/>
      <family val="2"/>
    </font>
    <font>
      <sz val="10"/>
      <color indexed="8"/>
      <name val="Calibri Light"/>
      <family val="2"/>
    </font>
    <font>
      <b/>
      <sz val="15"/>
      <color theme="1"/>
      <name val="Calibri Light"/>
      <family val="2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3" tint="-0.49803155613879818"/>
        </stop>
      </gradient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ACDB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285772"/>
        <bgColor indexed="64"/>
      </patternFill>
    </fill>
    <fill>
      <patternFill patternType="solid">
        <fgColor rgb="FFC2CEDB"/>
        <bgColor indexed="64"/>
      </patternFill>
    </fill>
    <fill>
      <patternFill patternType="solid">
        <fgColor rgb="FF0044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tted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dott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2565">
    <xf numFmtId="0" fontId="0" fillId="0" borderId="0"/>
    <xf numFmtId="43" fontId="41" fillId="0" borderId="0">
      <alignment horizontal="left"/>
    </xf>
    <xf numFmtId="167" fontId="41" fillId="0" borderId="0">
      <alignment horizontal="left"/>
    </xf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0" borderId="0" applyFont="0" applyFill="0" applyBorder="0" applyAlignment="0" applyProtection="0">
      <alignment horizontal="right"/>
    </xf>
    <xf numFmtId="0" fontId="45" fillId="4" borderId="0" applyNumberFormat="0" applyBorder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7" fillId="21" borderId="2" applyNumberFormat="0" applyAlignment="0" applyProtection="0"/>
    <xf numFmtId="0" fontId="48" fillId="0" borderId="3" applyNumberFormat="0" applyFill="0" applyAlignment="0" applyProtection="0"/>
    <xf numFmtId="0" fontId="47" fillId="21" borderId="2" applyNumberFormat="0" applyAlignment="0" applyProtection="0"/>
    <xf numFmtId="168" fontId="49" fillId="0" borderId="0" applyFont="0" applyFill="0" applyBorder="0" applyAlignment="0" applyProtection="0">
      <alignment horizontal="right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50" fillId="7" borderId="1" applyNumberFormat="0" applyAlignment="0" applyProtection="0"/>
    <xf numFmtId="0" fontId="51" fillId="0" borderId="0" applyNumberFormat="0" applyFill="0" applyBorder="0" applyAlignment="0" applyProtection="0"/>
    <xf numFmtId="169" fontId="41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0" fontId="45" fillId="4" borderId="0" applyNumberFormat="0" applyBorder="0" applyAlignment="0" applyProtection="0"/>
    <xf numFmtId="38" fontId="54" fillId="22" borderId="0" applyNumberFormat="0" applyBorder="0" applyAlignment="0" applyProtection="0"/>
    <xf numFmtId="43" fontId="41" fillId="0" borderId="0" applyNumberFormat="0" applyFill="0" applyBorder="0" applyProtection="0">
      <alignment horizontal="right"/>
    </xf>
    <xf numFmtId="0" fontId="55" fillId="0" borderId="4" applyNumberFormat="0" applyAlignment="0" applyProtection="0">
      <alignment horizontal="left" vertical="center"/>
    </xf>
    <xf numFmtId="0" fontId="55" fillId="0" borderId="5">
      <alignment horizontal="left" vertical="center"/>
    </xf>
    <xf numFmtId="0" fontId="56" fillId="0" borderId="6" applyNumberFormat="0" applyFill="0" applyAlignment="0" applyProtection="0"/>
    <xf numFmtId="0" fontId="57" fillId="0" borderId="7" applyNumberFormat="0" applyFill="0" applyAlignment="0" applyProtection="0"/>
    <xf numFmtId="0" fontId="58" fillId="0" borderId="8" applyNumberFormat="0" applyFill="0" applyAlignment="0" applyProtection="0"/>
    <xf numFmtId="0" fontId="58" fillId="0" borderId="0" applyNumberFormat="0" applyFill="0" applyBorder="0" applyAlignment="0" applyProtection="0"/>
    <xf numFmtId="0" fontId="43" fillId="3" borderId="0" applyNumberFormat="0" applyBorder="0" applyAlignment="0" applyProtection="0"/>
    <xf numFmtId="0" fontId="50" fillId="7" borderId="1" applyNumberFormat="0" applyAlignment="0" applyProtection="0"/>
    <xf numFmtId="10" fontId="54" fillId="23" borderId="9" applyNumberFormat="0" applyBorder="0" applyAlignment="0" applyProtection="0"/>
    <xf numFmtId="0" fontId="48" fillId="0" borderId="3" applyNumberFormat="0" applyFill="0" applyAlignment="0" applyProtection="0"/>
    <xf numFmtId="0" fontId="49" fillId="0" borderId="0" applyFont="0" applyFill="0" applyBorder="0" applyAlignment="0" applyProtection="0">
      <alignment horizontal="right"/>
    </xf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60" fillId="0" borderId="0"/>
    <xf numFmtId="43" fontId="6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0" fillId="0" borderId="0"/>
    <xf numFmtId="0" fontId="40" fillId="25" borderId="10" applyNumberFormat="0" applyFont="0" applyAlignment="0" applyProtection="0"/>
    <xf numFmtId="0" fontId="41" fillId="25" borderId="10" applyNumberFormat="0" applyFont="0" applyAlignment="0" applyProtection="0"/>
    <xf numFmtId="0" fontId="62" fillId="20" borderId="11" applyNumberFormat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63" fillId="0" borderId="0" applyNumberFormat="0" applyFont="0" applyFill="0" applyBorder="0" applyAlignment="0" applyProtection="0">
      <alignment horizontal="left"/>
    </xf>
    <xf numFmtId="15" fontId="63" fillId="0" borderId="0" applyFont="0" applyFill="0" applyBorder="0" applyAlignment="0" applyProtection="0"/>
    <xf numFmtId="4" fontId="63" fillId="0" borderId="0" applyFont="0" applyFill="0" applyBorder="0" applyAlignment="0" applyProtection="0"/>
    <xf numFmtId="0" fontId="64" fillId="0" borderId="12">
      <alignment horizontal="center"/>
    </xf>
    <xf numFmtId="3" fontId="63" fillId="0" borderId="0" applyFont="0" applyFill="0" applyBorder="0" applyAlignment="0" applyProtection="0"/>
    <xf numFmtId="0" fontId="63" fillId="26" borderId="0" applyNumberFormat="0" applyFont="0" applyBorder="0" applyAlignment="0" applyProtection="0"/>
    <xf numFmtId="0" fontId="62" fillId="20" borderId="11" applyNumberFormat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70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0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65" fillId="0" borderId="0" applyBorder="0" applyProtection="0">
      <alignment vertical="center"/>
    </xf>
    <xf numFmtId="0" fontId="66" fillId="0" borderId="0"/>
    <xf numFmtId="0" fontId="6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6" fillId="0" borderId="6" applyNumberFormat="0" applyFill="0" applyAlignment="0" applyProtection="0"/>
    <xf numFmtId="0" fontId="57" fillId="0" borderId="7" applyNumberFormat="0" applyFill="0" applyAlignment="0" applyProtection="0"/>
    <xf numFmtId="0" fontId="58" fillId="0" borderId="8" applyNumberFormat="0" applyFill="0" applyAlignment="0" applyProtection="0"/>
    <xf numFmtId="0" fontId="58" fillId="0" borderId="0" applyNumberFormat="0" applyFill="0" applyBorder="0" applyAlignment="0" applyProtection="0"/>
    <xf numFmtId="0" fontId="69" fillId="0" borderId="13" applyNumberFormat="0" applyFill="0" applyAlignment="0" applyProtection="0"/>
    <xf numFmtId="166" fontId="40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41" fillId="0" borderId="0" applyNumberFormat="0" applyFont="0" applyFill="0" applyBorder="0" applyAlignment="0" applyProtection="0"/>
    <xf numFmtId="0" fontId="71" fillId="0" borderId="0" applyNumberFormat="0" applyFont="0" applyFill="0" applyBorder="0" applyAlignment="0" applyProtection="0"/>
    <xf numFmtId="166" fontId="41" fillId="0" borderId="0" applyFont="0" applyFill="0" applyBorder="0" applyAlignment="0" applyProtection="0"/>
    <xf numFmtId="0" fontId="71" fillId="0" borderId="0"/>
    <xf numFmtId="166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40" fillId="0" borderId="0"/>
    <xf numFmtId="0" fontId="39" fillId="0" borderId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/>
    <xf numFmtId="0" fontId="41" fillId="0" borderId="0"/>
    <xf numFmtId="0" fontId="70" fillId="0" borderId="0"/>
    <xf numFmtId="0" fontId="41" fillId="0" borderId="0"/>
    <xf numFmtId="0" fontId="39" fillId="0" borderId="0"/>
    <xf numFmtId="0" fontId="70" fillId="0" borderId="0"/>
    <xf numFmtId="0" fontId="40" fillId="0" borderId="0"/>
    <xf numFmtId="0" fontId="39" fillId="0" borderId="0"/>
    <xf numFmtId="0" fontId="40" fillId="0" borderId="0"/>
    <xf numFmtId="0" fontId="41" fillId="0" borderId="0"/>
    <xf numFmtId="0" fontId="41" fillId="0" borderId="0"/>
    <xf numFmtId="0" fontId="39" fillId="28" borderId="14" applyNumberFormat="0" applyFont="0" applyAlignment="0" applyProtection="0"/>
    <xf numFmtId="0" fontId="39" fillId="28" borderId="14" applyNumberFormat="0" applyFont="0" applyAlignment="0" applyProtection="0"/>
    <xf numFmtId="166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175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38" fillId="0" borderId="0"/>
    <xf numFmtId="0" fontId="72" fillId="0" borderId="0" applyNumberFormat="0" applyFont="0" applyFill="0" applyBorder="0" applyAlignment="0" applyProtection="0"/>
    <xf numFmtId="166" fontId="37" fillId="0" borderId="0" applyFont="0" applyFill="0" applyBorder="0" applyAlignment="0" applyProtection="0"/>
    <xf numFmtId="0" fontId="37" fillId="0" borderId="0"/>
    <xf numFmtId="0" fontId="41" fillId="0" borderId="0"/>
    <xf numFmtId="0" fontId="36" fillId="0" borderId="0"/>
    <xf numFmtId="166" fontId="36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34" fillId="0" borderId="0"/>
    <xf numFmtId="166" fontId="34" fillId="0" borderId="0" applyFont="0" applyFill="0" applyBorder="0" applyAlignment="0" applyProtection="0"/>
    <xf numFmtId="166" fontId="72" fillId="0" borderId="0" applyFont="0" applyFill="0" applyBorder="0" applyAlignment="0" applyProtection="0"/>
    <xf numFmtId="0" fontId="72" fillId="0" borderId="0"/>
    <xf numFmtId="166" fontId="72" fillId="0" borderId="0" applyFont="0" applyFill="0" applyBorder="0" applyAlignment="0" applyProtection="0"/>
    <xf numFmtId="0" fontId="33" fillId="0" borderId="0"/>
    <xf numFmtId="166" fontId="33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73" fillId="0" borderId="0" applyNumberFormat="0" applyFont="0" applyFill="0" applyBorder="0" applyAlignment="0" applyProtection="0"/>
    <xf numFmtId="0" fontId="74" fillId="0" borderId="0" applyNumberFormat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5" fillId="4" borderId="0" applyNumberFormat="0" applyBorder="0" applyAlignment="0" applyProtection="0"/>
    <xf numFmtId="0" fontId="46" fillId="20" borderId="1" applyNumberFormat="0" applyAlignment="0" applyProtection="0"/>
    <xf numFmtId="0" fontId="47" fillId="21" borderId="2" applyNumberFormat="0" applyAlignment="0" applyProtection="0"/>
    <xf numFmtId="0" fontId="48" fillId="0" borderId="3" applyNumberFormat="0" applyFill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50" fillId="7" borderId="1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43" fillId="3" borderId="0" applyNumberFormat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59" fillId="24" borderId="0" applyNumberFormat="0" applyBorder="0" applyAlignment="0" applyProtection="0"/>
    <xf numFmtId="0" fontId="70" fillId="0" borderId="0"/>
    <xf numFmtId="0" fontId="32" fillId="0" borderId="0"/>
    <xf numFmtId="0" fontId="41" fillId="0" borderId="0" applyNumberFormat="0" applyFont="0" applyFill="0" applyBorder="0" applyAlignment="0" applyProtection="0"/>
    <xf numFmtId="0" fontId="32" fillId="0" borderId="0"/>
    <xf numFmtId="0" fontId="41" fillId="0" borderId="0" applyNumberFormat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41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1" fillId="0" borderId="0" applyNumberFormat="0" applyFont="0" applyFill="0" applyBorder="0" applyAlignment="0" applyProtection="0"/>
    <xf numFmtId="0" fontId="40" fillId="0" borderId="0"/>
    <xf numFmtId="0" fontId="41" fillId="0" borderId="0" applyNumberFormat="0" applyFont="0" applyFill="0" applyBorder="0" applyAlignment="0" applyProtection="0"/>
    <xf numFmtId="0" fontId="41" fillId="0" borderId="0"/>
    <xf numFmtId="0" fontId="32" fillId="0" borderId="0"/>
    <xf numFmtId="0" fontId="40" fillId="0" borderId="0"/>
    <xf numFmtId="0" fontId="32" fillId="0" borderId="0"/>
    <xf numFmtId="0" fontId="32" fillId="28" borderId="14" applyNumberFormat="0" applyFont="0" applyAlignment="0" applyProtection="0"/>
    <xf numFmtId="0" fontId="32" fillId="28" borderId="14" applyNumberFormat="0" applyFont="0" applyAlignment="0" applyProtection="0"/>
    <xf numFmtId="0" fontId="40" fillId="25" borderId="10" applyNumberFormat="0" applyFont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62" fillId="20" borderId="11" applyNumberFormat="0" applyAlignment="0" applyProtection="0"/>
    <xf numFmtId="166" fontId="32" fillId="0" borderId="0" applyFont="0" applyFill="0" applyBorder="0" applyAlignment="0" applyProtection="0"/>
    <xf numFmtId="171" fontId="41" fillId="0" borderId="0" applyNumberFormat="0" applyFont="0" applyFill="0" applyBorder="0" applyAlignment="0" applyProtection="0"/>
    <xf numFmtId="171" fontId="41" fillId="0" borderId="0" applyNumberFormat="0" applyFont="0" applyFill="0" applyBorder="0" applyAlignment="0" applyProtection="0"/>
    <xf numFmtId="166" fontId="32" fillId="0" borderId="0" applyFont="0" applyFill="0" applyBorder="0" applyAlignment="0" applyProtection="0"/>
    <xf numFmtId="166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6" fontId="41" fillId="0" borderId="0" applyFont="0" applyFill="0" applyBorder="0" applyAlignment="0" applyProtection="0"/>
    <xf numFmtId="169" fontId="41" fillId="0" borderId="0" applyFont="0" applyFill="0" applyBorder="0" applyAlignment="0" applyProtection="0"/>
    <xf numFmtId="166" fontId="40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6" fillId="0" borderId="6" applyNumberFormat="0" applyFill="0" applyAlignment="0" applyProtection="0"/>
    <xf numFmtId="0" fontId="57" fillId="0" borderId="7" applyNumberFormat="0" applyFill="0" applyAlignment="0" applyProtection="0"/>
    <xf numFmtId="0" fontId="58" fillId="0" borderId="8" applyNumberFormat="0" applyFill="0" applyAlignment="0" applyProtection="0"/>
    <xf numFmtId="0" fontId="5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3" applyNumberFormat="0" applyFill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77" fillId="0" borderId="0" applyNumberFormat="0" applyFont="0" applyFill="0" applyBorder="0" applyAlignment="0" applyProtection="0"/>
    <xf numFmtId="0" fontId="31" fillId="0" borderId="0"/>
    <xf numFmtId="16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78" fillId="0" borderId="0" applyNumberFormat="0" applyFont="0" applyFill="0" applyBorder="0" applyAlignment="0" applyProtection="0"/>
    <xf numFmtId="0" fontId="30" fillId="0" borderId="0"/>
    <xf numFmtId="164" fontId="30" fillId="0" borderId="0" applyFont="0" applyFill="0" applyBorder="0" applyAlignment="0" applyProtection="0"/>
    <xf numFmtId="43" fontId="41" fillId="0" borderId="0">
      <alignment horizontal="left"/>
    </xf>
    <xf numFmtId="167" fontId="41" fillId="0" borderId="0">
      <alignment horizontal="left"/>
    </xf>
    <xf numFmtId="0" fontId="79" fillId="0" borderId="0"/>
    <xf numFmtId="177" fontId="80" fillId="0" borderId="0"/>
    <xf numFmtId="177" fontId="80" fillId="0" borderId="0"/>
    <xf numFmtId="177" fontId="80" fillId="0" borderId="0"/>
    <xf numFmtId="177" fontId="80" fillId="0" borderId="0"/>
    <xf numFmtId="177" fontId="80" fillId="0" borderId="0"/>
    <xf numFmtId="166" fontId="80" fillId="0" borderId="0" applyFont="0" applyFill="0" applyBorder="0" applyAlignment="0" applyProtection="0"/>
    <xf numFmtId="177" fontId="80" fillId="0" borderId="0"/>
    <xf numFmtId="177" fontId="80" fillId="0" borderId="0"/>
    <xf numFmtId="178" fontId="81" fillId="0" borderId="0">
      <protection locked="0"/>
    </xf>
    <xf numFmtId="0" fontId="29" fillId="0" borderId="0"/>
    <xf numFmtId="0" fontId="29" fillId="29" borderId="0">
      <alignment horizontal="center"/>
    </xf>
    <xf numFmtId="179" fontId="41" fillId="0" borderId="0" applyFont="0" applyFill="0" applyBorder="0" applyAlignment="0" applyProtection="0"/>
    <xf numFmtId="180" fontId="81" fillId="0" borderId="0">
      <protection locked="0"/>
    </xf>
    <xf numFmtId="43" fontId="41" fillId="0" borderId="0" applyNumberFormat="0" applyFill="0" applyBorder="0" applyProtection="0">
      <alignment horizontal="right"/>
    </xf>
    <xf numFmtId="181" fontId="82" fillId="0" borderId="0">
      <protection locked="0"/>
    </xf>
    <xf numFmtId="181" fontId="82" fillId="0" borderId="0"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4" fontId="29" fillId="0" borderId="0" applyFont="0" applyFill="0" applyBorder="0" applyAlignment="0" applyProtection="0"/>
    <xf numFmtId="176" fontId="41" fillId="0" borderId="0" applyFont="0" applyFill="0" applyBorder="0" applyAlignment="0" applyProtection="0"/>
    <xf numFmtId="172" fontId="4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5" fontId="4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41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86" fillId="0" borderId="0"/>
    <xf numFmtId="0" fontId="29" fillId="0" borderId="0"/>
    <xf numFmtId="0" fontId="29" fillId="0" borderId="0"/>
    <xf numFmtId="0" fontId="41" fillId="0" borderId="0" applyBorder="0"/>
    <xf numFmtId="0" fontId="41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87" fillId="0" borderId="0"/>
    <xf numFmtId="0" fontId="29" fillId="0" borderId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Fill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9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41" fillId="0" borderId="0" applyFont="0" applyFill="0" applyBorder="0" applyAlignment="0" applyProtection="0"/>
    <xf numFmtId="166" fontId="40" fillId="0" borderId="0" applyFont="0" applyFill="0" applyBorder="0" applyAlignment="0" applyProtection="0"/>
    <xf numFmtId="171" fontId="41" fillId="0" borderId="0" applyFont="0" applyFill="0" applyBorder="0" applyAlignment="0" applyProtection="0"/>
    <xf numFmtId="166" fontId="40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29" fillId="0" borderId="0" applyFont="0" applyFill="0" applyBorder="0" applyAlignment="0" applyProtection="0"/>
    <xf numFmtId="171" fontId="29" fillId="0" borderId="0" applyFont="0" applyFill="0" applyBorder="0" applyAlignment="0" applyProtection="0"/>
    <xf numFmtId="171" fontId="41" fillId="0" borderId="0" applyNumberFormat="0" applyFont="0" applyFill="0" applyBorder="0" applyAlignment="0" applyProtection="0"/>
    <xf numFmtId="165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41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72" fontId="86" fillId="0" borderId="0"/>
    <xf numFmtId="167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1" fontId="41" fillId="0" borderId="0" applyFont="0" applyFill="0" applyBorder="0" applyAlignment="0" applyProtection="0"/>
    <xf numFmtId="172" fontId="86" fillId="0" borderId="0"/>
    <xf numFmtId="165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29" fillId="0" borderId="0" applyFont="0" applyFill="0" applyBorder="0" applyAlignment="0" applyProtection="0"/>
    <xf numFmtId="171" fontId="41" fillId="0" borderId="0" applyNumberFormat="0" applyFont="0" applyFill="0" applyBorder="0" applyAlignment="0" applyProtection="0"/>
    <xf numFmtId="171" fontId="41" fillId="0" borderId="0" applyNumberFormat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29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6" fontId="29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70" fillId="0" borderId="0" applyFont="0" applyFill="0" applyBorder="0" applyAlignment="0" applyProtection="0">
      <alignment horizontal="center"/>
    </xf>
    <xf numFmtId="9" fontId="40" fillId="0" borderId="0" applyFont="0" applyFill="0" applyBorder="0" applyAlignment="0" applyProtection="0"/>
    <xf numFmtId="0" fontId="88" fillId="0" borderId="0"/>
    <xf numFmtId="0" fontId="89" fillId="0" borderId="0" applyNumberFormat="0" applyFill="0" applyBorder="0" applyAlignment="0" applyProtection="0">
      <alignment vertical="top"/>
      <protection locked="0"/>
    </xf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41" fillId="0" borderId="0" applyNumberFormat="0" applyFont="0" applyFill="0" applyBorder="0" applyAlignment="0" applyProtection="0"/>
    <xf numFmtId="0" fontId="28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1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41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41" fillId="0" borderId="0" applyNumberFormat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4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166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72" fontId="28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71" fontId="41" fillId="0" borderId="0" applyNumberFormat="0" applyFont="0" applyFill="0" applyBorder="0" applyAlignment="0" applyProtection="0"/>
    <xf numFmtId="172" fontId="86" fillId="0" borderId="0"/>
    <xf numFmtId="165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71" fontId="41" fillId="0" borderId="0" applyNumberFormat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2" fontId="86" fillId="0" borderId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90" fillId="0" borderId="0" applyNumberFormat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5" fillId="0" borderId="0"/>
    <xf numFmtId="166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91" fillId="0" borderId="0" applyNumberFormat="0" applyFont="0" applyFill="0" applyBorder="0" applyAlignment="0" applyProtection="0"/>
    <xf numFmtId="0" fontId="40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/>
    <xf numFmtId="164" fontId="41" fillId="0" borderId="0" applyNumberFormat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40" fillId="0" borderId="0"/>
    <xf numFmtId="0" fontId="41" fillId="0" borderId="0" applyNumberFormat="0" applyFont="0" applyFill="0" applyBorder="0" applyAlignment="0" applyProtection="0"/>
    <xf numFmtId="0" fontId="23" fillId="0" borderId="0"/>
    <xf numFmtId="0" fontId="23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94" fillId="0" borderId="0"/>
    <xf numFmtId="0" fontId="41" fillId="0" borderId="0" applyNumberFormat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1" fillId="0" borderId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66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84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1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84" fontId="40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8" fillId="0" borderId="0"/>
    <xf numFmtId="0" fontId="95" fillId="0" borderId="0" applyNumberFormat="0" applyFont="0" applyFill="0" applyBorder="0" applyAlignment="0" applyProtection="0"/>
    <xf numFmtId="0" fontId="96" fillId="0" borderId="0" applyNumberFormat="0" applyFont="0" applyFill="0" applyBorder="0" applyAlignment="0" applyProtection="0"/>
    <xf numFmtId="185" fontId="41" fillId="0" borderId="0" applyFont="0" applyFill="0" applyBorder="0" applyAlignment="0" applyProtection="0"/>
    <xf numFmtId="0" fontId="97" fillId="0" borderId="0"/>
    <xf numFmtId="9" fontId="9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43" fontId="41" fillId="0" borderId="0">
      <alignment horizontal="left"/>
    </xf>
    <xf numFmtId="43" fontId="41" fillId="0" borderId="0" applyNumberFormat="0" applyFill="0" applyBorder="0" applyProtection="0">
      <alignment horizontal="right"/>
    </xf>
    <xf numFmtId="0" fontId="58" fillId="0" borderId="19" applyNumberFormat="0" applyFill="0" applyAlignment="0" applyProtection="0"/>
    <xf numFmtId="43" fontId="61" fillId="0" borderId="0"/>
    <xf numFmtId="0" fontId="64" fillId="0" borderId="20">
      <alignment horizontal="center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58" fillId="0" borderId="19" applyNumberFormat="0" applyFill="0" applyAlignment="0" applyProtection="0"/>
    <xf numFmtId="43" fontId="40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28" borderId="14" applyNumberFormat="0" applyFont="0" applyAlignment="0" applyProtection="0"/>
    <xf numFmtId="0" fontId="17" fillId="28" borderId="14" applyNumberFormat="0" applyFont="0" applyAlignment="0" applyProtection="0"/>
    <xf numFmtId="43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28" borderId="14" applyNumberFormat="0" applyFont="0" applyAlignment="0" applyProtection="0"/>
    <xf numFmtId="0" fontId="17" fillId="28" borderId="14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58" fillId="0" borderId="19" applyNumberFormat="0" applyFill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43" fontId="41" fillId="0" borderId="0">
      <alignment horizontal="left"/>
    </xf>
    <xf numFmtId="0" fontId="17" fillId="0" borderId="0"/>
    <xf numFmtId="0" fontId="17" fillId="29" borderId="0">
      <alignment horizontal="center"/>
    </xf>
    <xf numFmtId="169" fontId="41" fillId="0" borderId="0" applyFont="0" applyFill="0" applyBorder="0" applyAlignment="0" applyProtection="0"/>
    <xf numFmtId="43" fontId="41" fillId="0" borderId="0" applyNumberFormat="0" applyFill="0" applyBorder="0" applyProtection="0">
      <alignment horizontal="right"/>
    </xf>
    <xf numFmtId="176" fontId="41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1" fillId="0" borderId="0" applyNumberFormat="0" applyFont="0" applyFill="0" applyBorder="0" applyAlignment="0" applyProtection="0"/>
    <xf numFmtId="0" fontId="17" fillId="0" borderId="0"/>
    <xf numFmtId="0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17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86" fillId="0" borderId="0"/>
    <xf numFmtId="0" fontId="17" fillId="0" borderId="0"/>
    <xf numFmtId="0" fontId="17" fillId="0" borderId="0"/>
    <xf numFmtId="168" fontId="86" fillId="0" borderId="0"/>
    <xf numFmtId="43" fontId="70" fillId="0" borderId="0" applyFont="0" applyFill="0" applyBorder="0" applyAlignment="0" applyProtection="0"/>
    <xf numFmtId="172" fontId="86" fillId="0" borderId="0"/>
    <xf numFmtId="168" fontId="86" fillId="0" borderId="0"/>
    <xf numFmtId="168" fontId="86" fillId="0" borderId="0"/>
    <xf numFmtId="168" fontId="86" fillId="0" borderId="0"/>
    <xf numFmtId="172" fontId="86" fillId="0" borderId="0"/>
    <xf numFmtId="168" fontId="86" fillId="0" borderId="0"/>
    <xf numFmtId="168" fontId="86" fillId="0" borderId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41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41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7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4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86" fillId="0" borderId="0"/>
    <xf numFmtId="43" fontId="17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72" fontId="86" fillId="0" borderId="0"/>
    <xf numFmtId="172" fontId="86" fillId="0" borderId="0"/>
    <xf numFmtId="168" fontId="86" fillId="0" borderId="0"/>
    <xf numFmtId="168" fontId="86" fillId="0" borderId="0"/>
    <xf numFmtId="0" fontId="17" fillId="0" borderId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170" fontId="41" fillId="0" borderId="0" applyFont="0" applyFill="0" applyBorder="0" applyAlignment="0" applyProtection="0"/>
    <xf numFmtId="168" fontId="86" fillId="0" borderId="0"/>
    <xf numFmtId="168" fontId="86" fillId="0" borderId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44" fillId="0" borderId="0" applyFont="0" applyFill="0" applyBorder="0" applyAlignment="0" applyProtection="0">
      <alignment horizontal="right"/>
    </xf>
    <xf numFmtId="164" fontId="17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6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1" fillId="0" borderId="0"/>
    <xf numFmtId="0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1" fillId="25" borderId="10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0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70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7" fillId="0" borderId="0"/>
    <xf numFmtId="0" fontId="41" fillId="0" borderId="0" applyNumberFormat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9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7" fillId="0" borderId="0"/>
    <xf numFmtId="0" fontId="17" fillId="0" borderId="0"/>
    <xf numFmtId="43" fontId="41" fillId="0" borderId="0" applyNumberFormat="0" applyFont="0" applyFill="0" applyBorder="0" applyAlignment="0" applyProtection="0"/>
    <xf numFmtId="0" fontId="17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185" fontId="41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99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6" fillId="0" borderId="0"/>
    <xf numFmtId="0" fontId="40" fillId="0" borderId="0"/>
    <xf numFmtId="43" fontId="41" fillId="0" borderId="0">
      <alignment horizontal="left"/>
    </xf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5" borderId="0" applyNumberFormat="0" applyBorder="0" applyAlignment="0" applyProtection="0"/>
    <xf numFmtId="0" fontId="40" fillId="8" borderId="0" applyNumberFormat="0" applyBorder="0" applyAlignment="0" applyProtection="0"/>
    <xf numFmtId="0" fontId="40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5" fillId="4" borderId="0" applyNumberFormat="0" applyBorder="0" applyAlignment="0" applyProtection="0"/>
    <xf numFmtId="0" fontId="46" fillId="20" borderId="21" applyNumberFormat="0" applyAlignment="0" applyProtection="0"/>
    <xf numFmtId="0" fontId="46" fillId="20" borderId="21" applyNumberFormat="0" applyAlignment="0" applyProtection="0"/>
    <xf numFmtId="0" fontId="47" fillId="21" borderId="2" applyNumberFormat="0" applyAlignment="0" applyProtection="0"/>
    <xf numFmtId="0" fontId="48" fillId="0" borderId="3" applyNumberFormat="0" applyFill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50" fillId="7" borderId="21" applyNumberFormat="0" applyAlignment="0" applyProtection="0"/>
    <xf numFmtId="43" fontId="41" fillId="0" borderId="0" applyNumberFormat="0" applyFill="0" applyBorder="0" applyProtection="0">
      <alignment horizontal="right"/>
    </xf>
    <xf numFmtId="0" fontId="55" fillId="0" borderId="22">
      <alignment horizontal="left" vertical="center"/>
    </xf>
    <xf numFmtId="0" fontId="43" fillId="3" borderId="0" applyNumberFormat="0" applyBorder="0" applyAlignment="0" applyProtection="0"/>
    <xf numFmtId="0" fontId="50" fillId="7" borderId="21" applyNumberFormat="0" applyAlignment="0" applyProtection="0"/>
    <xf numFmtId="10" fontId="54" fillId="23" borderId="23" applyNumberFormat="0" applyBorder="0" applyAlignment="0" applyProtection="0"/>
    <xf numFmtId="0" fontId="59" fillId="24" borderId="0" applyNumberFormat="0" applyBorder="0" applyAlignment="0" applyProtection="0"/>
    <xf numFmtId="43" fontId="61" fillId="0" borderId="0"/>
    <xf numFmtId="0" fontId="40" fillId="25" borderId="24" applyNumberFormat="0" applyFont="0" applyAlignment="0" applyProtection="0"/>
    <xf numFmtId="0" fontId="41" fillId="25" borderId="24" applyNumberFormat="0" applyFont="0" applyAlignment="0" applyProtection="0"/>
    <xf numFmtId="0" fontId="62" fillId="20" borderId="25" applyNumberFormat="0" applyAlignment="0" applyProtection="0"/>
    <xf numFmtId="0" fontId="62" fillId="20" borderId="25" applyNumberForma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6" fillId="0" borderId="6" applyNumberFormat="0" applyFill="0" applyAlignment="0" applyProtection="0"/>
    <xf numFmtId="0" fontId="57" fillId="0" borderId="7" applyNumberFormat="0" applyFill="0" applyAlignment="0" applyProtection="0"/>
    <xf numFmtId="0" fontId="58" fillId="0" borderId="0" applyNumberFormat="0" applyFill="0" applyBorder="0" applyAlignment="0" applyProtection="0"/>
    <xf numFmtId="0" fontId="69" fillId="0" borderId="26" applyNumberFormat="0" applyFill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28" borderId="14" applyNumberFormat="0" applyFont="0" applyAlignment="0" applyProtection="0"/>
    <xf numFmtId="0" fontId="16" fillId="28" borderId="14" applyNumberFormat="0" applyFont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46" fillId="20" borderId="21" applyNumberFormat="0" applyAlignment="0" applyProtection="0"/>
    <xf numFmtId="0" fontId="50" fillId="7" borderId="21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28" borderId="14" applyNumberFormat="0" applyFont="0" applyAlignment="0" applyProtection="0"/>
    <xf numFmtId="0" fontId="16" fillId="28" borderId="14" applyNumberFormat="0" applyFont="0" applyAlignment="0" applyProtection="0"/>
    <xf numFmtId="0" fontId="40" fillId="25" borderId="24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62" fillId="20" borderId="25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69" fillId="0" borderId="26" applyNumberFormat="0" applyFill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43" fontId="41" fillId="0" borderId="0">
      <alignment horizontal="left"/>
    </xf>
    <xf numFmtId="43" fontId="80" fillId="0" borderId="0" applyFont="0" applyFill="0" applyBorder="0" applyAlignment="0" applyProtection="0"/>
    <xf numFmtId="0" fontId="16" fillId="0" borderId="0"/>
    <xf numFmtId="0" fontId="16" fillId="29" borderId="0">
      <alignment horizontal="center"/>
    </xf>
    <xf numFmtId="43" fontId="41" fillId="0" borderId="0" applyNumberFormat="0" applyFill="0" applyBorder="0" applyProtection="0">
      <alignment horizontal="right"/>
    </xf>
    <xf numFmtId="164" fontId="16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41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72" fontId="16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16" fillId="0" borderId="0"/>
    <xf numFmtId="0" fontId="41" fillId="0" borderId="0" applyNumberFormat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0" fontId="16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00" fillId="0" borderId="0" applyNumberFormat="0" applyFont="0" applyFill="0" applyBorder="0" applyAlignment="0" applyProtection="0"/>
    <xf numFmtId="0" fontId="41" fillId="0" borderId="0"/>
    <xf numFmtId="0" fontId="101" fillId="0" borderId="0" applyNumberFormat="0" applyFont="0" applyFill="0" applyBorder="0" applyAlignment="0" applyProtection="0"/>
    <xf numFmtId="186" fontId="101" fillId="0" borderId="0"/>
    <xf numFmtId="186" fontId="40" fillId="0" borderId="0"/>
    <xf numFmtId="0" fontId="102" fillId="0" borderId="0" applyNumberFormat="0" applyFont="0" applyFill="0" applyBorder="0" applyAlignment="0" applyProtection="0"/>
    <xf numFmtId="0" fontId="103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186" fontId="41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41" fillId="0" borderId="0"/>
    <xf numFmtId="0" fontId="41" fillId="0" borderId="0" applyNumberFormat="0" applyFont="0" applyFill="0" applyBorder="0" applyAlignment="0" applyProtection="0"/>
    <xf numFmtId="0" fontId="40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166" fontId="41" fillId="0" borderId="0" applyFont="0" applyFill="0" applyBorder="0" applyAlignment="0" applyProtection="0"/>
    <xf numFmtId="0" fontId="41" fillId="0" borderId="0"/>
    <xf numFmtId="186" fontId="41" fillId="0" borderId="0"/>
    <xf numFmtId="0" fontId="14" fillId="0" borderId="0"/>
    <xf numFmtId="43" fontId="14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04" fillId="0" borderId="0" applyNumberFormat="0" applyFont="0" applyFill="0" applyBorder="0" applyAlignment="0" applyProtection="0"/>
    <xf numFmtId="0" fontId="105" fillId="0" borderId="0" applyNumberFormat="0" applyFont="0" applyFill="0" applyBorder="0" applyAlignment="0" applyProtection="0"/>
    <xf numFmtId="19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6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07" fillId="0" borderId="0"/>
    <xf numFmtId="0" fontId="107" fillId="0" borderId="0" applyNumberFormat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90" fontId="40" fillId="0" borderId="0"/>
    <xf numFmtId="43" fontId="41" fillId="0" borderId="0">
      <alignment horizontal="left"/>
    </xf>
    <xf numFmtId="0" fontId="46" fillId="20" borderId="32" applyNumberFormat="0" applyAlignment="0" applyProtection="0"/>
    <xf numFmtId="0" fontId="46" fillId="20" borderId="32" applyNumberFormat="0" applyAlignment="0" applyProtection="0"/>
    <xf numFmtId="0" fontId="50" fillId="7" borderId="32" applyNumberFormat="0" applyAlignment="0" applyProtection="0"/>
    <xf numFmtId="43" fontId="41" fillId="0" borderId="0" applyNumberFormat="0" applyFill="0" applyBorder="0" applyProtection="0">
      <alignment horizontal="right"/>
    </xf>
    <xf numFmtId="0" fontId="55" fillId="0" borderId="27">
      <alignment horizontal="left" vertical="center"/>
    </xf>
    <xf numFmtId="0" fontId="58" fillId="0" borderId="33" applyNumberFormat="0" applyFill="0" applyAlignment="0" applyProtection="0"/>
    <xf numFmtId="0" fontId="50" fillId="7" borderId="32" applyNumberFormat="0" applyAlignment="0" applyProtection="0"/>
    <xf numFmtId="43" fontId="61" fillId="0" borderId="0"/>
    <xf numFmtId="0" fontId="40" fillId="25" borderId="34" applyNumberFormat="0" applyFont="0" applyAlignment="0" applyProtection="0"/>
    <xf numFmtId="0" fontId="41" fillId="25" borderId="34" applyNumberFormat="0" applyFont="0" applyAlignment="0" applyProtection="0"/>
    <xf numFmtId="0" fontId="62" fillId="20" borderId="35" applyNumberFormat="0" applyAlignment="0" applyProtection="0"/>
    <xf numFmtId="0" fontId="64" fillId="0" borderId="36">
      <alignment horizontal="center"/>
    </xf>
    <xf numFmtId="0" fontId="62" fillId="20" borderId="35" applyNumberFormat="0" applyAlignment="0" applyProtection="0"/>
    <xf numFmtId="0" fontId="58" fillId="0" borderId="33" applyNumberFormat="0" applyFill="0" applyAlignment="0" applyProtection="0"/>
    <xf numFmtId="0" fontId="69" fillId="0" borderId="37" applyNumberFormat="0" applyFill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46" fillId="20" borderId="32" applyNumberFormat="0" applyAlignment="0" applyProtection="0"/>
    <xf numFmtId="0" fontId="50" fillId="7" borderId="32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0" fontId="40" fillId="25" borderId="34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2" fillId="20" borderId="3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58" fillId="0" borderId="33" applyNumberFormat="0" applyFill="0" applyAlignment="0" applyProtection="0"/>
    <xf numFmtId="0" fontId="69" fillId="0" borderId="37" applyNumberFormat="0" applyFill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41" fillId="0" borderId="0">
      <alignment horizontal="left"/>
    </xf>
    <xf numFmtId="0" fontId="10" fillId="0" borderId="0"/>
    <xf numFmtId="0" fontId="10" fillId="29" borderId="0">
      <alignment horizontal="center"/>
    </xf>
    <xf numFmtId="43" fontId="41" fillId="0" borderId="0" applyNumberFormat="0" applyFill="0" applyBorder="0" applyProtection="0">
      <alignment horizontal="right"/>
    </xf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3" fontId="86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43" fontId="41" fillId="0" borderId="0">
      <alignment horizontal="left"/>
    </xf>
    <xf numFmtId="43" fontId="41" fillId="0" borderId="0" applyNumberFormat="0" applyFill="0" applyBorder="0" applyProtection="0">
      <alignment horizontal="right"/>
    </xf>
    <xf numFmtId="0" fontId="58" fillId="0" borderId="33" applyNumberFormat="0" applyFill="0" applyAlignment="0" applyProtection="0"/>
    <xf numFmtId="43" fontId="61" fillId="0" borderId="0"/>
    <xf numFmtId="0" fontId="64" fillId="0" borderId="36">
      <alignment horizontal="center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58" fillId="0" borderId="33" applyNumberFormat="0" applyFill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58" fillId="0" borderId="33" applyNumberFormat="0" applyFill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41" fillId="0" borderId="0">
      <alignment horizontal="left"/>
    </xf>
    <xf numFmtId="0" fontId="10" fillId="0" borderId="0"/>
    <xf numFmtId="0" fontId="10" fillId="29" borderId="0">
      <alignment horizontal="center"/>
    </xf>
    <xf numFmtId="43" fontId="41" fillId="0" borderId="0" applyNumberFormat="0" applyFill="0" applyBorder="0" applyProtection="0">
      <alignment horizontal="right"/>
    </xf>
    <xf numFmtId="164" fontId="41" fillId="0" borderId="0" applyNumberFormat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43" fontId="7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8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25" borderId="34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8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41" fillId="0" borderId="0" applyNumberFormat="0" applyFont="0" applyFill="0" applyBorder="0" applyAlignment="0" applyProtection="0"/>
    <xf numFmtId="0" fontId="10" fillId="0" borderId="0"/>
    <xf numFmtId="43" fontId="41" fillId="0" borderId="0" applyNumberFormat="0" applyFont="0" applyFill="0" applyBorder="0" applyAlignment="0" applyProtection="0"/>
    <xf numFmtId="0" fontId="10" fillId="0" borderId="0"/>
    <xf numFmtId="43" fontId="41" fillId="0" borderId="0">
      <alignment horizontal="left"/>
    </xf>
    <xf numFmtId="0" fontId="46" fillId="20" borderId="38" applyNumberFormat="0" applyAlignment="0" applyProtection="0"/>
    <xf numFmtId="0" fontId="46" fillId="20" borderId="38" applyNumberFormat="0" applyAlignment="0" applyProtection="0"/>
    <xf numFmtId="0" fontId="50" fillId="7" borderId="38" applyNumberFormat="0" applyAlignment="0" applyProtection="0"/>
    <xf numFmtId="43" fontId="41" fillId="0" borderId="0" applyNumberFormat="0" applyFill="0" applyBorder="0" applyProtection="0">
      <alignment horizontal="right"/>
    </xf>
    <xf numFmtId="0" fontId="55" fillId="0" borderId="39">
      <alignment horizontal="left" vertical="center"/>
    </xf>
    <xf numFmtId="0" fontId="50" fillId="7" borderId="38" applyNumberFormat="0" applyAlignment="0" applyProtection="0"/>
    <xf numFmtId="43" fontId="61" fillId="0" borderId="0"/>
    <xf numFmtId="0" fontId="40" fillId="25" borderId="34" applyNumberFormat="0" applyFont="0" applyAlignment="0" applyProtection="0"/>
    <xf numFmtId="0" fontId="41" fillId="25" borderId="34" applyNumberFormat="0" applyFont="0" applyAlignment="0" applyProtection="0"/>
    <xf numFmtId="0" fontId="62" fillId="20" borderId="35" applyNumberFormat="0" applyAlignment="0" applyProtection="0"/>
    <xf numFmtId="0" fontId="62" fillId="20" borderId="35" applyNumberForma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69" fillId="0" borderId="37" applyNumberFormat="0" applyFill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46" fillId="20" borderId="38" applyNumberFormat="0" applyAlignment="0" applyProtection="0"/>
    <xf numFmtId="0" fontId="50" fillId="7" borderId="38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8" borderId="14" applyNumberFormat="0" applyFont="0" applyAlignment="0" applyProtection="0"/>
    <xf numFmtId="0" fontId="10" fillId="28" borderId="14" applyNumberFormat="0" applyFont="0" applyAlignment="0" applyProtection="0"/>
    <xf numFmtId="0" fontId="40" fillId="25" borderId="34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2" fillId="20" borderId="35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41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69" fillId="0" borderId="37" applyNumberFormat="0" applyFill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41" fillId="0" borderId="0">
      <alignment horizontal="left"/>
    </xf>
    <xf numFmtId="43" fontId="80" fillId="0" borderId="0" applyFont="0" applyFill="0" applyBorder="0" applyAlignment="0" applyProtection="0"/>
    <xf numFmtId="0" fontId="10" fillId="0" borderId="0"/>
    <xf numFmtId="0" fontId="10" fillId="29" borderId="0">
      <alignment horizontal="center"/>
    </xf>
    <xf numFmtId="43" fontId="41" fillId="0" borderId="0" applyNumberFormat="0" applyFill="0" applyBorder="0" applyProtection="0">
      <alignment horizontal="right"/>
    </xf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1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43" fontId="41" fillId="0" borderId="0" applyNumberFormat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10" fillId="0" borderId="0"/>
    <xf numFmtId="164" fontId="41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41" fillId="0" borderId="0" applyNumberFormat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1" fillId="0" borderId="0"/>
    <xf numFmtId="0" fontId="41" fillId="0" borderId="0" applyNumberFormat="0" applyFont="0" applyFill="0" applyBorder="0" applyAlignment="0" applyProtection="0"/>
    <xf numFmtId="0" fontId="111" fillId="0" borderId="0" applyNumberFormat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2" fillId="0" borderId="0" applyNumberFormat="0" applyFont="0" applyFill="0" applyBorder="0" applyAlignment="0" applyProtection="0"/>
    <xf numFmtId="0" fontId="8" fillId="0" borderId="0"/>
    <xf numFmtId="164" fontId="41" fillId="0" borderId="0" applyNumberFormat="0" applyFont="0" applyFill="0" applyBorder="0" applyAlignment="0" applyProtection="0"/>
    <xf numFmtId="43" fontId="8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113" fillId="0" borderId="0" applyNumberFormat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6" fontId="41" fillId="0" borderId="0"/>
    <xf numFmtId="43" fontId="6" fillId="0" borderId="0" applyFont="0" applyFill="0" applyBorder="0" applyAlignment="0" applyProtection="0"/>
    <xf numFmtId="0" fontId="114" fillId="0" borderId="0" applyNumberFormat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15" fillId="0" borderId="0" applyNumberFormat="0" applyFont="0" applyFill="0" applyBorder="0" applyAlignment="0" applyProtection="0"/>
    <xf numFmtId="9" fontId="41" fillId="0" borderId="0" applyNumberFormat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1" fillId="0" borderId="0" applyNumberFormat="0" applyFont="0" applyFill="0" applyBorder="0" applyAlignment="0" applyProtection="0"/>
    <xf numFmtId="186" fontId="4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0">
    <xf numFmtId="0" fontId="0" fillId="0" borderId="0" xfId="0"/>
    <xf numFmtId="0" fontId="116" fillId="0" borderId="0" xfId="2546" applyFont="1" applyFill="1" applyAlignment="1">
      <alignment horizontal="center" vertical="center"/>
    </xf>
    <xf numFmtId="3" fontId="116" fillId="0" borderId="18" xfId="2546" applyNumberFormat="1" applyFont="1" applyFill="1" applyBorder="1" applyAlignment="1">
      <alignment horizontal="center" vertical="center"/>
    </xf>
    <xf numFmtId="189" fontId="116" fillId="0" borderId="0" xfId="2546" applyNumberFormat="1" applyFont="1" applyFill="1" applyAlignment="1">
      <alignment horizontal="center" vertical="center"/>
    </xf>
    <xf numFmtId="10" fontId="116" fillId="30" borderId="0" xfId="2549" applyNumberFormat="1" applyFont="1" applyFill="1" applyAlignment="1">
      <alignment horizontal="center" vertical="center"/>
    </xf>
    <xf numFmtId="10" fontId="116" fillId="0" borderId="0" xfId="2549" applyNumberFormat="1" applyFont="1" applyFill="1" applyAlignment="1">
      <alignment horizontal="center" vertical="center"/>
    </xf>
    <xf numFmtId="3" fontId="116" fillId="0" borderId="18" xfId="2549" applyNumberFormat="1" applyFont="1" applyFill="1" applyBorder="1" applyAlignment="1">
      <alignment horizontal="center" vertical="center"/>
    </xf>
    <xf numFmtId="188" fontId="116" fillId="0" borderId="0" xfId="2549" applyNumberFormat="1" applyFont="1" applyFill="1" applyBorder="1" applyAlignment="1">
      <alignment horizontal="center" vertical="center"/>
    </xf>
    <xf numFmtId="4" fontId="116" fillId="0" borderId="0" xfId="2546" applyNumberFormat="1" applyFont="1" applyFill="1" applyBorder="1" applyAlignment="1">
      <alignment horizontal="center" vertical="center"/>
    </xf>
    <xf numFmtId="10" fontId="116" fillId="0" borderId="18" xfId="2549" applyNumberFormat="1" applyFont="1" applyFill="1" applyBorder="1" applyAlignment="1">
      <alignment horizontal="center" vertical="center"/>
    </xf>
    <xf numFmtId="4" fontId="116" fillId="0" borderId="0" xfId="2549" applyNumberFormat="1" applyFont="1" applyFill="1" applyBorder="1" applyAlignment="1">
      <alignment horizontal="center" vertical="center"/>
    </xf>
    <xf numFmtId="189" fontId="116" fillId="0" borderId="0" xfId="2546" applyNumberFormat="1" applyFont="1" applyFill="1" applyBorder="1" applyAlignment="1">
      <alignment horizontal="center" vertical="center"/>
    </xf>
    <xf numFmtId="3" fontId="116" fillId="0" borderId="0" xfId="2546" applyNumberFormat="1" applyFont="1" applyFill="1" applyBorder="1" applyAlignment="1">
      <alignment horizontal="center" vertical="center"/>
    </xf>
    <xf numFmtId="10" fontId="116" fillId="0" borderId="0" xfId="2549" applyNumberFormat="1" applyFont="1" applyFill="1" applyBorder="1" applyAlignment="1">
      <alignment horizontal="center" vertical="center"/>
    </xf>
    <xf numFmtId="9" fontId="116" fillId="0" borderId="0" xfId="2549" applyFont="1" applyFill="1" applyBorder="1" applyAlignment="1">
      <alignment horizontal="center" vertical="center"/>
    </xf>
    <xf numFmtId="14" fontId="116" fillId="0" borderId="0" xfId="2546" applyNumberFormat="1" applyFont="1" applyFill="1" applyBorder="1" applyAlignment="1">
      <alignment horizontal="center" vertical="center"/>
    </xf>
    <xf numFmtId="0" fontId="117" fillId="0" borderId="0" xfId="2546" applyFont="1" applyFill="1" applyBorder="1" applyAlignment="1">
      <alignment horizontal="center" vertical="center"/>
    </xf>
    <xf numFmtId="0" fontId="116" fillId="0" borderId="36" xfId="2546" applyFont="1" applyFill="1" applyBorder="1" applyAlignment="1">
      <alignment horizontal="center" vertical="center"/>
    </xf>
    <xf numFmtId="10" fontId="116" fillId="0" borderId="36" xfId="2549" applyNumberFormat="1" applyFont="1" applyFill="1" applyBorder="1" applyAlignment="1">
      <alignment horizontal="center" vertical="center"/>
    </xf>
    <xf numFmtId="4" fontId="116" fillId="0" borderId="36" xfId="2546" applyNumberFormat="1" applyFont="1" applyFill="1" applyBorder="1" applyAlignment="1">
      <alignment horizontal="center" vertical="center"/>
    </xf>
    <xf numFmtId="0" fontId="116" fillId="0" borderId="0" xfId="2546" applyFont="1" applyFill="1" applyBorder="1" applyAlignment="1">
      <alignment horizontal="center" vertical="center"/>
    </xf>
    <xf numFmtId="10" fontId="109" fillId="31" borderId="49" xfId="2549" applyNumberFormat="1" applyFont="1" applyFill="1" applyBorder="1" applyAlignment="1">
      <alignment horizontal="center" vertical="center"/>
    </xf>
    <xf numFmtId="4" fontId="109" fillId="0" borderId="0" xfId="2546" applyNumberFormat="1" applyFont="1" applyFill="1" applyBorder="1" applyAlignment="1">
      <alignment vertical="center"/>
    </xf>
    <xf numFmtId="0" fontId="109" fillId="0" borderId="0" xfId="2546" applyFont="1" applyFill="1" applyAlignment="1">
      <alignment horizontal="center" vertical="center"/>
    </xf>
    <xf numFmtId="0" fontId="116" fillId="0" borderId="4" xfId="2546" applyFont="1" applyFill="1" applyBorder="1" applyAlignment="1">
      <alignment horizontal="center" vertical="center"/>
    </xf>
    <xf numFmtId="188" fontId="116" fillId="0" borderId="36" xfId="2546" applyNumberFormat="1" applyFont="1" applyFill="1" applyBorder="1" applyAlignment="1">
      <alignment horizontal="center" vertical="center"/>
    </xf>
    <xf numFmtId="0" fontId="110" fillId="33" borderId="46" xfId="2546" applyFont="1" applyFill="1" applyBorder="1" applyAlignment="1">
      <alignment horizontal="center" vertical="center" wrapText="1"/>
    </xf>
    <xf numFmtId="0" fontId="110" fillId="33" borderId="4" xfId="2546" applyFont="1" applyFill="1" applyBorder="1" applyAlignment="1">
      <alignment horizontal="center" vertical="center" wrapText="1"/>
    </xf>
    <xf numFmtId="0" fontId="110" fillId="33" borderId="48" xfId="2546" applyFont="1" applyFill="1" applyBorder="1" applyAlignment="1">
      <alignment horizontal="center" vertical="center" wrapText="1"/>
    </xf>
    <xf numFmtId="0" fontId="110" fillId="33" borderId="47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50" xfId="2546" applyFont="1" applyFill="1" applyBorder="1" applyAlignment="1">
      <alignment horizontal="center" vertical="center" wrapText="1"/>
    </xf>
    <xf numFmtId="0" fontId="110" fillId="33" borderId="28" xfId="2546" applyFont="1" applyFill="1" applyBorder="1" applyAlignment="1">
      <alignment horizontal="center" vertical="center" wrapText="1"/>
    </xf>
    <xf numFmtId="0" fontId="110" fillId="33" borderId="29" xfId="2546" applyFont="1" applyFill="1" applyBorder="1" applyAlignment="1">
      <alignment horizontal="center" vertical="center" wrapText="1"/>
    </xf>
    <xf numFmtId="0" fontId="116" fillId="0" borderId="0" xfId="2546" applyFont="1" applyFill="1" applyAlignment="1">
      <alignment horizontal="center" vertical="center" wrapText="1"/>
    </xf>
    <xf numFmtId="0" fontId="109" fillId="0" borderId="30" xfId="2546" applyFont="1" applyFill="1" applyBorder="1" applyAlignment="1">
      <alignment horizontal="center" vertical="center"/>
    </xf>
    <xf numFmtId="191" fontId="109" fillId="0" borderId="45" xfId="2546" applyNumberFormat="1" applyFont="1" applyFill="1" applyBorder="1" applyAlignment="1">
      <alignment horizontal="center" vertical="center"/>
    </xf>
    <xf numFmtId="10" fontId="109" fillId="31" borderId="40" xfId="2549" applyNumberFormat="1" applyFont="1" applyFill="1" applyBorder="1" applyAlignment="1">
      <alignment horizontal="center" vertical="center"/>
    </xf>
    <xf numFmtId="188" fontId="109" fillId="34" borderId="30" xfId="2549" applyNumberFormat="1" applyFont="1" applyFill="1" applyBorder="1" applyAlignment="1">
      <alignment horizontal="center" vertical="center"/>
    </xf>
    <xf numFmtId="0" fontId="109" fillId="0" borderId="44" xfId="2546" applyFont="1" applyFill="1" applyBorder="1" applyAlignment="1">
      <alignment horizontal="center" vertical="center"/>
    </xf>
    <xf numFmtId="0" fontId="109" fillId="0" borderId="52" xfId="2546" applyFont="1" applyFill="1" applyBorder="1" applyAlignment="1">
      <alignment horizontal="left" vertical="center"/>
    </xf>
    <xf numFmtId="10" fontId="109" fillId="31" borderId="51" xfId="2549" applyNumberFormat="1" applyFont="1" applyFill="1" applyBorder="1" applyAlignment="1">
      <alignment horizontal="center" vertical="center"/>
    </xf>
    <xf numFmtId="188" fontId="109" fillId="34" borderId="44" xfId="2549" applyNumberFormat="1" applyFont="1" applyFill="1" applyBorder="1" applyAlignment="1">
      <alignment horizontal="center" vertical="center"/>
    </xf>
    <xf numFmtId="43" fontId="116" fillId="0" borderId="0" xfId="2549" applyNumberFormat="1" applyFont="1" applyFill="1" applyBorder="1" applyAlignment="1">
      <alignment horizontal="center" vertical="center"/>
    </xf>
    <xf numFmtId="43" fontId="116" fillId="0" borderId="0" xfId="2546" applyNumberFormat="1" applyFont="1" applyFill="1" applyBorder="1" applyAlignment="1">
      <alignment horizontal="center" vertical="center"/>
    </xf>
    <xf numFmtId="43" fontId="116" fillId="0" borderId="17" xfId="2549" applyNumberFormat="1" applyFont="1" applyFill="1" applyBorder="1" applyAlignment="1">
      <alignment horizontal="center" vertical="center"/>
    </xf>
    <xf numFmtId="43" fontId="116" fillId="0" borderId="17" xfId="2551" applyFont="1" applyFill="1" applyBorder="1" applyAlignment="1">
      <alignment horizontal="center" vertical="center"/>
    </xf>
    <xf numFmtId="43" fontId="116" fillId="0" borderId="18" xfId="2551" applyFont="1" applyFill="1" applyBorder="1" applyAlignment="1">
      <alignment horizontal="center" vertical="center"/>
    </xf>
    <xf numFmtId="187" fontId="109" fillId="31" borderId="46" xfId="2546" applyNumberFormat="1" applyFont="1" applyFill="1" applyBorder="1" applyAlignment="1">
      <alignment horizontal="center" vertical="center"/>
    </xf>
    <xf numFmtId="187" fontId="109" fillId="31" borderId="47" xfId="2546" applyNumberFormat="1" applyFont="1" applyFill="1" applyBorder="1" applyAlignment="1">
      <alignment horizontal="center" vertical="center"/>
    </xf>
    <xf numFmtId="187" fontId="109" fillId="31" borderId="49" xfId="2546" applyNumberFormat="1" applyFont="1" applyFill="1" applyBorder="1" applyAlignment="1">
      <alignment horizontal="center" vertical="center"/>
    </xf>
    <xf numFmtId="187" fontId="109" fillId="31" borderId="48" xfId="2546" applyNumberFormat="1" applyFont="1" applyFill="1" applyBorder="1" applyAlignment="1">
      <alignment horizontal="center" vertical="center"/>
    </xf>
    <xf numFmtId="187" fontId="109" fillId="31" borderId="46" xfId="2549" applyNumberFormat="1" applyFont="1" applyFill="1" applyBorder="1" applyAlignment="1">
      <alignment horizontal="center" vertical="center"/>
    </xf>
    <xf numFmtId="187" fontId="109" fillId="31" borderId="50" xfId="2549" applyNumberFormat="1" applyFont="1" applyFill="1" applyBorder="1" applyAlignment="1">
      <alignment horizontal="center" vertical="center"/>
    </xf>
    <xf numFmtId="187" fontId="109" fillId="31" borderId="47" xfId="2551" applyNumberFormat="1" applyFont="1" applyFill="1" applyBorder="1" applyAlignment="1">
      <alignment horizontal="center" vertical="center"/>
    </xf>
    <xf numFmtId="187" fontId="109" fillId="31" borderId="47" xfId="2549" applyNumberFormat="1" applyFont="1" applyFill="1" applyBorder="1" applyAlignment="1">
      <alignment horizontal="center" vertical="center"/>
    </xf>
    <xf numFmtId="187" fontId="109" fillId="31" borderId="49" xfId="2549" applyNumberFormat="1" applyFont="1" applyFill="1" applyBorder="1" applyAlignment="1">
      <alignment horizontal="center" vertical="center"/>
    </xf>
    <xf numFmtId="187" fontId="109" fillId="31" borderId="48" xfId="2549" applyNumberFormat="1" applyFont="1" applyFill="1" applyBorder="1" applyAlignment="1">
      <alignment horizontal="center" vertical="center"/>
    </xf>
    <xf numFmtId="187" fontId="118" fillId="31" borderId="47" xfId="2546" applyNumberFormat="1" applyFont="1" applyFill="1" applyBorder="1" applyAlignment="1">
      <alignment horizontal="center" vertical="center"/>
    </xf>
    <xf numFmtId="187" fontId="109" fillId="31" borderId="50" xfId="2546" applyNumberFormat="1" applyFont="1" applyFill="1" applyBorder="1" applyAlignment="1">
      <alignment horizontal="center" vertical="center"/>
    </xf>
    <xf numFmtId="43" fontId="109" fillId="0" borderId="0" xfId="2551" applyFont="1" applyFill="1" applyBorder="1" applyAlignment="1">
      <alignment vertical="center"/>
    </xf>
    <xf numFmtId="187" fontId="116" fillId="0" borderId="36" xfId="2549" applyNumberFormat="1" applyFont="1" applyFill="1" applyBorder="1" applyAlignment="1">
      <alignment horizontal="center" vertical="center"/>
    </xf>
    <xf numFmtId="189" fontId="116" fillId="31" borderId="46" xfId="2551" applyNumberFormat="1" applyFont="1" applyFill="1" applyBorder="1" applyAlignment="1">
      <alignment horizontal="center" vertical="center"/>
    </xf>
    <xf numFmtId="187" fontId="116" fillId="31" borderId="47" xfId="2551" applyNumberFormat="1" applyFont="1" applyFill="1" applyBorder="1" applyAlignment="1">
      <alignment horizontal="center" vertical="center"/>
    </xf>
    <xf numFmtId="187" fontId="116" fillId="31" borderId="49" xfId="2551" applyNumberFormat="1" applyFont="1" applyFill="1" applyBorder="1" applyAlignment="1">
      <alignment horizontal="center" vertical="center"/>
    </xf>
    <xf numFmtId="187" fontId="116" fillId="31" borderId="48" xfId="2551" applyNumberFormat="1" applyFont="1" applyFill="1" applyBorder="1" applyAlignment="1">
      <alignment horizontal="center" vertical="center"/>
    </xf>
    <xf numFmtId="187" fontId="116" fillId="31" borderId="46" xfId="2551" applyNumberFormat="1" applyFont="1" applyFill="1" applyBorder="1" applyAlignment="1">
      <alignment horizontal="center" vertical="center"/>
    </xf>
    <xf numFmtId="187" fontId="116" fillId="31" borderId="47" xfId="2551" applyNumberFormat="1" applyFont="1" applyFill="1" applyBorder="1" applyAlignment="1">
      <alignment vertical="center"/>
    </xf>
    <xf numFmtId="187" fontId="116" fillId="31" borderId="50" xfId="2551" applyNumberFormat="1" applyFont="1" applyFill="1" applyBorder="1" applyAlignment="1">
      <alignment horizontal="center" vertical="center"/>
    </xf>
    <xf numFmtId="187" fontId="109" fillId="31" borderId="30" xfId="2551" applyNumberFormat="1" applyFont="1" applyFill="1" applyBorder="1" applyAlignment="1">
      <alignment horizontal="center" vertical="center"/>
    </xf>
    <xf numFmtId="187" fontId="109" fillId="31" borderId="40" xfId="2551" applyNumberFormat="1" applyFont="1" applyFill="1" applyBorder="1" applyAlignment="1">
      <alignment horizontal="center" vertical="center"/>
    </xf>
    <xf numFmtId="187" fontId="109" fillId="31" borderId="45" xfId="2551" applyNumberFormat="1" applyFont="1" applyFill="1" applyBorder="1" applyAlignment="1">
      <alignment horizontal="center" vertical="center"/>
    </xf>
    <xf numFmtId="187" fontId="109" fillId="31" borderId="44" xfId="2551" applyNumberFormat="1" applyFont="1" applyFill="1" applyBorder="1" applyAlignment="1">
      <alignment horizontal="center" vertical="center"/>
    </xf>
    <xf numFmtId="187" fontId="109" fillId="31" borderId="51" xfId="2551" applyNumberFormat="1" applyFont="1" applyFill="1" applyBorder="1" applyAlignment="1">
      <alignment horizontal="center" vertical="center"/>
    </xf>
    <xf numFmtId="187" fontId="109" fillId="31" borderId="43" xfId="2551" applyNumberFormat="1" applyFont="1" applyFill="1" applyBorder="1" applyAlignment="1">
      <alignment horizontal="center" vertical="center"/>
    </xf>
    <xf numFmtId="189" fontId="109" fillId="32" borderId="30" xfId="2551" applyNumberFormat="1" applyFont="1" applyFill="1" applyBorder="1" applyAlignment="1">
      <alignment horizontal="center" vertical="center"/>
    </xf>
    <xf numFmtId="187" fontId="109" fillId="32" borderId="41" xfId="2551" applyNumberFormat="1" applyFont="1" applyFill="1" applyBorder="1" applyAlignment="1">
      <alignment horizontal="center" vertical="center"/>
    </xf>
    <xf numFmtId="187" fontId="109" fillId="32" borderId="45" xfId="2551" applyNumberFormat="1" applyFont="1" applyFill="1" applyBorder="1" applyAlignment="1">
      <alignment horizontal="center" vertical="center"/>
    </xf>
    <xf numFmtId="187" fontId="109" fillId="31" borderId="42" xfId="2551" applyNumberFormat="1" applyFont="1" applyFill="1" applyBorder="1" applyAlignment="1">
      <alignment horizontal="center" vertical="center"/>
    </xf>
    <xf numFmtId="187" fontId="109" fillId="31" borderId="41" xfId="2551" applyNumberFormat="1" applyFont="1" applyFill="1" applyBorder="1" applyAlignment="1">
      <alignment horizontal="center" vertical="center"/>
    </xf>
    <xf numFmtId="187" fontId="109" fillId="34" borderId="42" xfId="2551" applyNumberFormat="1" applyFont="1" applyFill="1" applyBorder="1" applyAlignment="1">
      <alignment horizontal="center" vertical="center"/>
    </xf>
    <xf numFmtId="187" fontId="109" fillId="34" borderId="40" xfId="2551" applyNumberFormat="1" applyFont="1" applyFill="1" applyBorder="1" applyAlignment="1">
      <alignment horizontal="center" vertical="center"/>
    </xf>
    <xf numFmtId="187" fontId="109" fillId="38" borderId="30" xfId="2551" applyNumberFormat="1" applyFont="1" applyFill="1" applyBorder="1" applyAlignment="1">
      <alignment horizontal="center" vertical="center"/>
    </xf>
    <xf numFmtId="187" fontId="109" fillId="38" borderId="45" xfId="2551" applyNumberFormat="1" applyFont="1" applyFill="1" applyBorder="1" applyAlignment="1">
      <alignment horizontal="center" vertical="center"/>
    </xf>
    <xf numFmtId="187" fontId="109" fillId="34" borderId="30" xfId="2551" applyNumberFormat="1" applyFont="1" applyFill="1" applyBorder="1" applyAlignment="1">
      <alignment horizontal="center" vertical="center"/>
    </xf>
    <xf numFmtId="187" fontId="109" fillId="38" borderId="40" xfId="2551" applyNumberFormat="1" applyFont="1" applyFill="1" applyBorder="1" applyAlignment="1">
      <alignment horizontal="center" vertical="center"/>
    </xf>
    <xf numFmtId="187" fontId="109" fillId="0" borderId="0" xfId="2546" applyNumberFormat="1" applyFont="1" applyFill="1" applyAlignment="1">
      <alignment horizontal="center" vertical="center"/>
    </xf>
    <xf numFmtId="0" fontId="109" fillId="0" borderId="55" xfId="2546" applyFont="1" applyFill="1" applyBorder="1" applyAlignment="1">
      <alignment horizontal="left" vertical="center"/>
    </xf>
    <xf numFmtId="3" fontId="109" fillId="0" borderId="55" xfId="2546" applyNumberFormat="1" applyFont="1" applyFill="1" applyBorder="1" applyAlignment="1">
      <alignment horizontal="left" vertical="center"/>
    </xf>
    <xf numFmtId="0" fontId="108" fillId="0" borderId="55" xfId="2546" applyFont="1" applyFill="1" applyBorder="1" applyAlignment="1">
      <alignment horizontal="left" vertical="center"/>
    </xf>
    <xf numFmtId="189" fontId="109" fillId="32" borderId="44" xfId="2551" applyNumberFormat="1" applyFont="1" applyFill="1" applyBorder="1" applyAlignment="1">
      <alignment horizontal="center" vertical="center"/>
    </xf>
    <xf numFmtId="187" fontId="109" fillId="32" borderId="53" xfId="2551" applyNumberFormat="1" applyFont="1" applyFill="1" applyBorder="1" applyAlignment="1">
      <alignment horizontal="center" vertical="center"/>
    </xf>
    <xf numFmtId="187" fontId="109" fillId="32" borderId="43" xfId="2551" applyNumberFormat="1" applyFont="1" applyFill="1" applyBorder="1" applyAlignment="1">
      <alignment horizontal="center" vertical="center"/>
    </xf>
    <xf numFmtId="187" fontId="109" fillId="31" borderId="54" xfId="2551" applyNumberFormat="1" applyFont="1" applyFill="1" applyBorder="1" applyAlignment="1">
      <alignment horizontal="center" vertical="center"/>
    </xf>
    <xf numFmtId="187" fontId="109" fillId="31" borderId="53" xfId="2551" applyNumberFormat="1" applyFont="1" applyFill="1" applyBorder="1" applyAlignment="1">
      <alignment horizontal="center" vertical="center"/>
    </xf>
    <xf numFmtId="187" fontId="109" fillId="34" borderId="54" xfId="2551" applyNumberFormat="1" applyFont="1" applyFill="1" applyBorder="1" applyAlignment="1">
      <alignment horizontal="center" vertical="center"/>
    </xf>
    <xf numFmtId="187" fontId="109" fillId="34" borderId="51" xfId="2551" applyNumberFormat="1" applyFont="1" applyFill="1" applyBorder="1" applyAlignment="1">
      <alignment horizontal="center" vertical="center"/>
    </xf>
    <xf numFmtId="187" fontId="109" fillId="38" borderId="44" xfId="2551" applyNumberFormat="1" applyFont="1" applyFill="1" applyBorder="1" applyAlignment="1">
      <alignment horizontal="center" vertical="center"/>
    </xf>
    <xf numFmtId="187" fontId="109" fillId="38" borderId="43" xfId="2551" applyNumberFormat="1" applyFont="1" applyFill="1" applyBorder="1" applyAlignment="1">
      <alignment horizontal="center" vertical="center"/>
    </xf>
    <xf numFmtId="187" fontId="109" fillId="34" borderId="44" xfId="2551" applyNumberFormat="1" applyFont="1" applyFill="1" applyBorder="1" applyAlignment="1">
      <alignment horizontal="center" vertical="center"/>
    </xf>
    <xf numFmtId="187" fontId="109" fillId="38" borderId="51" xfId="2551" applyNumberFormat="1" applyFont="1" applyFill="1" applyBorder="1" applyAlignment="1">
      <alignment horizontal="center" vertical="center"/>
    </xf>
    <xf numFmtId="43" fontId="109" fillId="0" borderId="0" xfId="2551" applyFont="1" applyFill="1" applyAlignment="1">
      <alignment horizontal="center" vertical="center"/>
    </xf>
    <xf numFmtId="187" fontId="109" fillId="31" borderId="4" xfId="2546" applyNumberFormat="1" applyFont="1" applyFill="1" applyBorder="1" applyAlignment="1">
      <alignment horizontal="center" vertical="center"/>
    </xf>
    <xf numFmtId="187" fontId="109" fillId="38" borderId="55" xfId="2551" applyNumberFormat="1" applyFont="1" applyFill="1" applyBorder="1" applyAlignment="1">
      <alignment horizontal="center" vertical="center"/>
    </xf>
    <xf numFmtId="187" fontId="109" fillId="38" borderId="52" xfId="2551" applyNumberFormat="1" applyFont="1" applyFill="1" applyBorder="1" applyAlignment="1">
      <alignment horizontal="center" vertical="center"/>
    </xf>
    <xf numFmtId="189" fontId="116" fillId="0" borderId="17" xfId="2549" applyNumberFormat="1" applyFont="1" applyFill="1" applyBorder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50" xfId="2546" applyFont="1" applyFill="1" applyBorder="1" applyAlignment="1">
      <alignment horizontal="center" vertical="center" wrapText="1"/>
    </xf>
    <xf numFmtId="189" fontId="116" fillId="31" borderId="50" xfId="2551" applyNumberFormat="1" applyFont="1" applyFill="1" applyBorder="1" applyAlignment="1">
      <alignment horizontal="center" vertical="center"/>
    </xf>
    <xf numFmtId="189" fontId="109" fillId="32" borderId="42" xfId="2551" applyNumberFormat="1" applyFont="1" applyFill="1" applyBorder="1" applyAlignment="1">
      <alignment horizontal="center" vertical="center"/>
    </xf>
    <xf numFmtId="189" fontId="109" fillId="32" borderId="54" xfId="2551" applyNumberFormat="1" applyFont="1" applyFill="1" applyBorder="1" applyAlignment="1">
      <alignment horizontal="center" vertical="center"/>
    </xf>
    <xf numFmtId="0" fontId="110" fillId="33" borderId="17" xfId="2546" applyFont="1" applyFill="1" applyBorder="1" applyAlignment="1">
      <alignment horizontal="center" vertical="center" wrapText="1"/>
    </xf>
    <xf numFmtId="0" fontId="110" fillId="33" borderId="56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187" fontId="116" fillId="31" borderId="4" xfId="2551" applyNumberFormat="1" applyFont="1" applyFill="1" applyBorder="1" applyAlignment="1">
      <alignment horizontal="center" vertical="center"/>
    </xf>
    <xf numFmtId="187" fontId="116" fillId="31" borderId="17" xfId="2551" applyNumberFormat="1" applyFont="1" applyFill="1" applyBorder="1" applyAlignment="1">
      <alignment horizontal="center" vertical="center"/>
    </xf>
    <xf numFmtId="43" fontId="116" fillId="0" borderId="15" xfId="2551" applyFont="1" applyFill="1" applyBorder="1" applyAlignment="1">
      <alignment horizontal="center" vertical="center"/>
    </xf>
    <xf numFmtId="0" fontId="110" fillId="33" borderId="57" xfId="2546" applyFont="1" applyFill="1" applyBorder="1" applyAlignment="1">
      <alignment horizontal="center" vertical="center" wrapText="1"/>
    </xf>
    <xf numFmtId="187" fontId="109" fillId="38" borderId="58" xfId="2551" applyNumberFormat="1" applyFont="1" applyFill="1" applyBorder="1" applyAlignment="1">
      <alignment horizontal="center" vertical="center"/>
    </xf>
    <xf numFmtId="187" fontId="109" fillId="38" borderId="59" xfId="2551" applyNumberFormat="1" applyFont="1" applyFill="1" applyBorder="1" applyAlignment="1">
      <alignment horizontal="center" vertical="center"/>
    </xf>
    <xf numFmtId="0" fontId="110" fillId="33" borderId="60" xfId="2546" applyFont="1" applyFill="1" applyBorder="1" applyAlignment="1">
      <alignment horizontal="center" vertical="center" wrapText="1"/>
    </xf>
    <xf numFmtId="187" fontId="109" fillId="34" borderId="55" xfId="2551" applyNumberFormat="1" applyFont="1" applyFill="1" applyBorder="1" applyAlignment="1">
      <alignment horizontal="center" vertical="center"/>
    </xf>
    <xf numFmtId="187" fontId="109" fillId="34" borderId="52" xfId="2551" applyNumberFormat="1" applyFont="1" applyFill="1" applyBorder="1" applyAlignment="1">
      <alignment horizontal="center" vertical="center"/>
    </xf>
    <xf numFmtId="3" fontId="116" fillId="0" borderId="17" xfId="2549" applyNumberFormat="1" applyFont="1" applyFill="1" applyBorder="1" applyAlignment="1">
      <alignment horizontal="center" vertical="center"/>
    </xf>
    <xf numFmtId="187" fontId="109" fillId="34" borderId="45" xfId="2551" applyNumberFormat="1" applyFont="1" applyFill="1" applyBorder="1" applyAlignment="1">
      <alignment horizontal="center" vertical="center"/>
    </xf>
    <xf numFmtId="187" fontId="109" fillId="34" borderId="43" xfId="2551" applyNumberFormat="1" applyFont="1" applyFill="1" applyBorder="1" applyAlignment="1">
      <alignment horizontal="center" vertical="center"/>
    </xf>
    <xf numFmtId="10" fontId="116" fillId="27" borderId="15" xfId="2549" applyNumberFormat="1" applyFont="1" applyFill="1" applyBorder="1" applyAlignment="1">
      <alignment horizontal="center" vertical="center"/>
    </xf>
    <xf numFmtId="0" fontId="116" fillId="27" borderId="15" xfId="2546" applyFont="1" applyFill="1" applyBorder="1" applyAlignment="1">
      <alignment horizontal="center" vertical="center"/>
    </xf>
    <xf numFmtId="4" fontId="116" fillId="27" borderId="15" xfId="2546" applyNumberFormat="1" applyFont="1" applyFill="1" applyBorder="1" applyAlignment="1">
      <alignment horizontal="center" vertical="center"/>
    </xf>
    <xf numFmtId="187" fontId="109" fillId="27" borderId="15" xfId="2546" applyNumberFormat="1" applyFont="1" applyFill="1" applyBorder="1" applyAlignment="1">
      <alignment horizontal="center" vertical="center"/>
    </xf>
    <xf numFmtId="187" fontId="116" fillId="27" borderId="15" xfId="2551" applyNumberFormat="1" applyFont="1" applyFill="1" applyBorder="1" applyAlignment="1">
      <alignment horizontal="center" vertical="center"/>
    </xf>
    <xf numFmtId="0" fontId="110" fillId="27" borderId="15" xfId="2546" applyFont="1" applyFill="1" applyBorder="1" applyAlignment="1">
      <alignment horizontal="center" vertical="center" wrapText="1"/>
    </xf>
    <xf numFmtId="187" fontId="109" fillId="27" borderId="15" xfId="2551" applyNumberFormat="1" applyFont="1" applyFill="1" applyBorder="1" applyAlignment="1">
      <alignment horizontal="center" vertical="center"/>
    </xf>
    <xf numFmtId="0" fontId="109" fillId="27" borderId="15" xfId="2546" applyFont="1" applyFill="1" applyBorder="1" applyAlignment="1">
      <alignment horizontal="center" vertical="center"/>
    </xf>
    <xf numFmtId="0" fontId="110" fillId="39" borderId="49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19" fillId="0" borderId="30" xfId="2546" applyFont="1" applyFill="1" applyBorder="1" applyAlignment="1">
      <alignment horizontal="center" vertical="center"/>
    </xf>
    <xf numFmtId="0" fontId="119" fillId="0" borderId="55" xfId="2546" applyFont="1" applyFill="1" applyBorder="1" applyAlignment="1">
      <alignment horizontal="left" vertical="center"/>
    </xf>
    <xf numFmtId="191" fontId="119" fillId="0" borderId="45" xfId="2546" applyNumberFormat="1" applyFont="1" applyFill="1" applyBorder="1" applyAlignment="1">
      <alignment horizontal="center" vertical="center"/>
    </xf>
    <xf numFmtId="189" fontId="119" fillId="32" borderId="30" xfId="2551" applyNumberFormat="1" applyFont="1" applyFill="1" applyBorder="1" applyAlignment="1">
      <alignment horizontal="center" vertical="center"/>
    </xf>
    <xf numFmtId="189" fontId="119" fillId="32" borderId="42" xfId="2551" applyNumberFormat="1" applyFont="1" applyFill="1" applyBorder="1" applyAlignment="1">
      <alignment horizontal="center" vertical="center"/>
    </xf>
    <xf numFmtId="187" fontId="119" fillId="32" borderId="41" xfId="2551" applyNumberFormat="1" applyFont="1" applyFill="1" applyBorder="1" applyAlignment="1">
      <alignment horizontal="center" vertical="center"/>
    </xf>
    <xf numFmtId="187" fontId="119" fillId="32" borderId="45" xfId="2551" applyNumberFormat="1" applyFont="1" applyFill="1" applyBorder="1" applyAlignment="1">
      <alignment horizontal="center" vertical="center"/>
    </xf>
    <xf numFmtId="187" fontId="119" fillId="31" borderId="30" xfId="2551" applyNumberFormat="1" applyFont="1" applyFill="1" applyBorder="1" applyAlignment="1">
      <alignment horizontal="center" vertical="center"/>
    </xf>
    <xf numFmtId="187" fontId="119" fillId="31" borderId="42" xfId="2551" applyNumberFormat="1" applyFont="1" applyFill="1" applyBorder="1" applyAlignment="1">
      <alignment horizontal="center" vertical="center"/>
    </xf>
    <xf numFmtId="187" fontId="119" fillId="31" borderId="40" xfId="2551" applyNumberFormat="1" applyFont="1" applyFill="1" applyBorder="1" applyAlignment="1">
      <alignment horizontal="center" vertical="center"/>
    </xf>
    <xf numFmtId="187" fontId="119" fillId="31" borderId="41" xfId="2551" applyNumberFormat="1" applyFont="1" applyFill="1" applyBorder="1" applyAlignment="1">
      <alignment horizontal="center" vertical="center"/>
    </xf>
    <xf numFmtId="187" fontId="119" fillId="31" borderId="45" xfId="2551" applyNumberFormat="1" applyFont="1" applyFill="1" applyBorder="1" applyAlignment="1">
      <alignment horizontal="center" vertical="center"/>
    </xf>
    <xf numFmtId="188" fontId="119" fillId="34" borderId="30" xfId="2549" applyNumberFormat="1" applyFont="1" applyFill="1" applyBorder="1" applyAlignment="1">
      <alignment horizontal="center" vertical="center"/>
    </xf>
    <xf numFmtId="187" fontId="119" fillId="34" borderId="42" xfId="2551" applyNumberFormat="1" applyFont="1" applyFill="1" applyBorder="1" applyAlignment="1">
      <alignment horizontal="center" vertical="center"/>
    </xf>
    <xf numFmtId="187" fontId="119" fillId="34" borderId="40" xfId="2551" applyNumberFormat="1" applyFont="1" applyFill="1" applyBorder="1" applyAlignment="1">
      <alignment horizontal="center" vertical="center"/>
    </xf>
    <xf numFmtId="187" fontId="119" fillId="38" borderId="30" xfId="2551" applyNumberFormat="1" applyFont="1" applyFill="1" applyBorder="1" applyAlignment="1">
      <alignment horizontal="center" vertical="center"/>
    </xf>
    <xf numFmtId="187" fontId="119" fillId="38" borderId="40" xfId="2551" applyNumberFormat="1" applyFont="1" applyFill="1" applyBorder="1" applyAlignment="1">
      <alignment horizontal="center" vertical="center"/>
    </xf>
    <xf numFmtId="187" fontId="119" fillId="38" borderId="55" xfId="2551" applyNumberFormat="1" applyFont="1" applyFill="1" applyBorder="1" applyAlignment="1">
      <alignment horizontal="center" vertical="center"/>
    </xf>
    <xf numFmtId="187" fontId="119" fillId="38" borderId="45" xfId="2551" applyNumberFormat="1" applyFont="1" applyFill="1" applyBorder="1" applyAlignment="1">
      <alignment horizontal="center" vertical="center"/>
    </xf>
    <xf numFmtId="187" fontId="119" fillId="34" borderId="30" xfId="2551" applyNumberFormat="1" applyFont="1" applyFill="1" applyBorder="1" applyAlignment="1">
      <alignment horizontal="center" vertical="center"/>
    </xf>
    <xf numFmtId="187" fontId="119" fillId="38" borderId="58" xfId="2551" applyNumberFormat="1" applyFont="1" applyFill="1" applyBorder="1" applyAlignment="1">
      <alignment horizontal="center" vertical="center"/>
    </xf>
    <xf numFmtId="187" fontId="119" fillId="34" borderId="55" xfId="2551" applyNumberFormat="1" applyFont="1" applyFill="1" applyBorder="1" applyAlignment="1">
      <alignment horizontal="center" vertical="center"/>
    </xf>
    <xf numFmtId="187" fontId="119" fillId="34" borderId="45" xfId="2551" applyNumberFormat="1" applyFont="1" applyFill="1" applyBorder="1" applyAlignment="1">
      <alignment horizontal="center" vertical="center"/>
    </xf>
    <xf numFmtId="187" fontId="119" fillId="27" borderId="15" xfId="2551" applyNumberFormat="1" applyFont="1" applyFill="1" applyBorder="1" applyAlignment="1">
      <alignment horizontal="center" vertical="center"/>
    </xf>
    <xf numFmtId="0" fontId="119" fillId="0" borderId="0" xfId="2546" applyFont="1" applyFill="1" applyAlignment="1">
      <alignment horizontal="center" vertical="center"/>
    </xf>
    <xf numFmtId="189" fontId="119" fillId="0" borderId="55" xfId="2546" applyNumberFormat="1" applyFont="1" applyFill="1" applyBorder="1" applyAlignment="1">
      <alignment horizontal="left" vertical="center"/>
    </xf>
    <xf numFmtId="187" fontId="119" fillId="31" borderId="40" xfId="2551" quotePrefix="1" applyNumberFormat="1" applyFont="1" applyFill="1" applyBorder="1" applyAlignment="1">
      <alignment horizontal="center" vertical="center"/>
    </xf>
    <xf numFmtId="192" fontId="119" fillId="0" borderId="0" xfId="2546" applyNumberFormat="1" applyFont="1" applyFill="1" applyAlignment="1">
      <alignment horizontal="center" vertical="center"/>
    </xf>
    <xf numFmtId="192" fontId="109" fillId="0" borderId="0" xfId="2546" applyNumberFormat="1" applyFont="1" applyFill="1" applyAlignment="1">
      <alignment horizontal="center" vertical="center"/>
    </xf>
    <xf numFmtId="0" fontId="119" fillId="0" borderId="61" xfId="2546" applyFont="1" applyFill="1" applyBorder="1" applyAlignment="1">
      <alignment horizontal="center" vertical="center"/>
    </xf>
    <xf numFmtId="166" fontId="119" fillId="0" borderId="62" xfId="125" applyFont="1" applyFill="1" applyBorder="1" applyAlignment="1">
      <alignment horizontal="center" vertical="center"/>
    </xf>
    <xf numFmtId="0" fontId="119" fillId="0" borderId="58" xfId="2546" applyFont="1" applyFill="1" applyBorder="1" applyAlignment="1">
      <alignment horizontal="center" vertical="center"/>
    </xf>
    <xf numFmtId="166" fontId="119" fillId="0" borderId="63" xfId="125" applyFont="1" applyFill="1" applyBorder="1" applyAlignment="1">
      <alignment horizontal="center" vertical="center"/>
    </xf>
    <xf numFmtId="0" fontId="119" fillId="0" borderId="59" xfId="2546" applyFont="1" applyFill="1" applyBorder="1" applyAlignment="1">
      <alignment horizontal="center" vertical="center"/>
    </xf>
    <xf numFmtId="166" fontId="119" fillId="0" borderId="64" xfId="125" applyFont="1" applyFill="1" applyBorder="1" applyAlignment="1">
      <alignment horizontal="center" vertical="center"/>
    </xf>
    <xf numFmtId="166" fontId="119" fillId="0" borderId="31" xfId="125" applyFont="1" applyFill="1" applyBorder="1" applyAlignment="1">
      <alignment horizontal="center" vertical="center"/>
    </xf>
    <xf numFmtId="166" fontId="119" fillId="0" borderId="40" xfId="125" applyFont="1" applyFill="1" applyBorder="1" applyAlignment="1">
      <alignment horizontal="center" vertical="center"/>
    </xf>
    <xf numFmtId="166" fontId="119" fillId="0" borderId="51" xfId="125" applyFont="1" applyFill="1" applyBorder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65" xfId="2546" applyFont="1" applyFill="1" applyBorder="1" applyAlignment="1">
      <alignment horizontal="center" vertical="center" wrapText="1"/>
    </xf>
    <xf numFmtId="189" fontId="116" fillId="0" borderId="4" xfId="2546" applyNumberFormat="1" applyFont="1" applyFill="1" applyBorder="1" applyAlignment="1">
      <alignment horizontal="center" vertical="center"/>
    </xf>
    <xf numFmtId="43" fontId="116" fillId="27" borderId="0" xfId="2549" applyNumberFormat="1" applyFont="1" applyFill="1" applyBorder="1" applyAlignment="1">
      <alignment horizontal="center" vertical="center"/>
    </xf>
    <xf numFmtId="43" fontId="119" fillId="32" borderId="41" xfId="2551" applyNumberFormat="1" applyFont="1" applyFill="1" applyBorder="1" applyAlignment="1">
      <alignment horizontal="center" vertical="center"/>
    </xf>
    <xf numFmtId="10" fontId="116" fillId="0" borderId="0" xfId="2546" applyNumberFormat="1" applyFont="1" applyFill="1" applyAlignment="1">
      <alignment horizontal="center" vertical="center"/>
    </xf>
    <xf numFmtId="43" fontId="116" fillId="0" borderId="66" xfId="2551" applyFont="1" applyFill="1" applyBorder="1" applyAlignment="1">
      <alignment horizontal="center" vertical="center"/>
    </xf>
    <xf numFmtId="12" fontId="116" fillId="0" borderId="66" xfId="2551" applyNumberFormat="1" applyFont="1" applyFill="1" applyBorder="1" applyAlignment="1">
      <alignment horizontal="center" vertical="center"/>
    </xf>
    <xf numFmtId="10" fontId="116" fillId="0" borderId="66" xfId="2549" applyNumberFormat="1" applyFont="1" applyFill="1" applyBorder="1" applyAlignment="1">
      <alignment horizontal="center" vertical="center"/>
    </xf>
    <xf numFmtId="9" fontId="109" fillId="0" borderId="0" xfId="2546" applyNumberFormat="1" applyFont="1" applyFill="1" applyAlignment="1">
      <alignment horizontal="center" vertical="center"/>
    </xf>
    <xf numFmtId="10" fontId="109" fillId="0" borderId="0" xfId="2546" applyNumberFormat="1" applyFont="1" applyFill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50" xfId="2546" applyFont="1" applyFill="1" applyBorder="1" applyAlignment="1">
      <alignment horizontal="center" vertical="center" wrapText="1"/>
    </xf>
    <xf numFmtId="187" fontId="109" fillId="38" borderId="42" xfId="2551" applyNumberFormat="1" applyFont="1" applyFill="1" applyBorder="1" applyAlignment="1">
      <alignment horizontal="center" vertical="center"/>
    </xf>
    <xf numFmtId="187" fontId="109" fillId="38" borderId="54" xfId="2551" applyNumberFormat="1" applyFont="1" applyFill="1" applyBorder="1" applyAlignment="1">
      <alignment horizontal="center" vertical="center"/>
    </xf>
    <xf numFmtId="187" fontId="109" fillId="38" borderId="41" xfId="2551" applyNumberFormat="1" applyFont="1" applyFill="1" applyBorder="1" applyAlignment="1">
      <alignment horizontal="center" vertical="center"/>
    </xf>
    <xf numFmtId="187" fontId="109" fillId="38" borderId="53" xfId="2551" applyNumberFormat="1" applyFont="1" applyFill="1" applyBorder="1" applyAlignment="1">
      <alignment horizontal="center" vertical="center"/>
    </xf>
    <xf numFmtId="187" fontId="119" fillId="34" borderId="41" xfId="2551" applyNumberFormat="1" applyFont="1" applyFill="1" applyBorder="1" applyAlignment="1">
      <alignment horizontal="center" vertical="center"/>
    </xf>
    <xf numFmtId="187" fontId="119" fillId="0" borderId="0" xfId="2546" applyNumberFormat="1" applyFont="1" applyFill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10" fontId="116" fillId="31" borderId="47" xfId="2551" applyNumberFormat="1" applyFont="1" applyFill="1" applyBorder="1" applyAlignment="1">
      <alignment horizontal="center" vertical="center"/>
    </xf>
    <xf numFmtId="0" fontId="123" fillId="0" borderId="0" xfId="2546" applyFont="1" applyFill="1" applyAlignment="1">
      <alignment horizontal="center" vertical="center"/>
    </xf>
    <xf numFmtId="0" fontId="123" fillId="0" borderId="0" xfId="2546" applyFont="1" applyFill="1" applyBorder="1" applyAlignment="1">
      <alignment horizontal="center" vertical="center"/>
    </xf>
    <xf numFmtId="0" fontId="124" fillId="0" borderId="0" xfId="2546" applyFont="1" applyFill="1" applyAlignment="1">
      <alignment horizontal="center" vertical="center"/>
    </xf>
    <xf numFmtId="0" fontId="123" fillId="0" borderId="0" xfId="2546" applyFont="1" applyFill="1" applyAlignment="1">
      <alignment horizontal="center" vertical="center" wrapText="1"/>
    </xf>
    <xf numFmtId="187" fontId="125" fillId="0" borderId="0" xfId="2546" applyNumberFormat="1" applyFont="1" applyFill="1" applyAlignment="1">
      <alignment horizontal="center" vertical="center"/>
    </xf>
    <xf numFmtId="0" fontId="110" fillId="33" borderId="50" xfId="2546" applyFont="1" applyFill="1" applyBorder="1" applyAlignment="1">
      <alignment horizontal="center" vertical="center" wrapText="1"/>
    </xf>
    <xf numFmtId="187" fontId="119" fillId="31" borderId="67" xfId="2551" applyNumberFormat="1" applyFont="1" applyFill="1" applyBorder="1" applyAlignment="1">
      <alignment horizontal="center" vertical="center"/>
    </xf>
    <xf numFmtId="187" fontId="119" fillId="34" borderId="67" xfId="2551" applyNumberFormat="1" applyFont="1" applyFill="1" applyBorder="1" applyAlignment="1">
      <alignment horizontal="center" vertical="center"/>
    </xf>
    <xf numFmtId="187" fontId="119" fillId="38" borderId="67" xfId="2551" applyNumberFormat="1" applyFont="1" applyFill="1" applyBorder="1" applyAlignment="1">
      <alignment horizontal="center" vertical="center"/>
    </xf>
    <xf numFmtId="187" fontId="109" fillId="41" borderId="30" xfId="2551" applyNumberFormat="1" applyFont="1" applyFill="1" applyBorder="1" applyAlignment="1">
      <alignment horizontal="center" vertical="center"/>
    </xf>
    <xf numFmtId="0" fontId="116" fillId="0" borderId="20" xfId="2546" applyFont="1" applyFill="1" applyBorder="1" applyAlignment="1">
      <alignment horizontal="center" vertical="center"/>
    </xf>
    <xf numFmtId="187" fontId="109" fillId="34" borderId="67" xfId="2551" applyNumberFormat="1" applyFont="1" applyFill="1" applyBorder="1" applyAlignment="1">
      <alignment horizontal="center" vertical="center"/>
    </xf>
    <xf numFmtId="0" fontId="110" fillId="33" borderId="36" xfId="2546" applyFont="1" applyFill="1" applyBorder="1" applyAlignment="1">
      <alignment horizontal="center" vertical="center" wrapText="1"/>
    </xf>
    <xf numFmtId="4" fontId="109" fillId="0" borderId="0" xfId="2546" applyNumberFormat="1" applyFont="1" applyFill="1" applyAlignment="1">
      <alignment horizontal="center" vertical="center"/>
    </xf>
    <xf numFmtId="10" fontId="116" fillId="0" borderId="46" xfId="2549" applyNumberFormat="1" applyFont="1" applyFill="1" applyBorder="1" applyAlignment="1">
      <alignment horizontal="center" vertical="center"/>
    </xf>
    <xf numFmtId="10" fontId="116" fillId="0" borderId="47" xfId="2549" applyNumberFormat="1" applyFont="1" applyFill="1" applyBorder="1" applyAlignment="1">
      <alignment horizontal="center" vertical="center"/>
    </xf>
    <xf numFmtId="10" fontId="117" fillId="30" borderId="48" xfId="2549" applyNumberFormat="1" applyFont="1" applyFill="1" applyBorder="1" applyAlignment="1">
      <alignment horizontal="left" vertical="center"/>
    </xf>
    <xf numFmtId="4" fontId="116" fillId="0" borderId="20" xfId="2546" applyNumberFormat="1" applyFont="1" applyFill="1" applyBorder="1" applyAlignment="1">
      <alignment horizontal="center" vertical="center"/>
    </xf>
    <xf numFmtId="188" fontId="108" fillId="30" borderId="47" xfId="2549" applyNumberFormat="1" applyFont="1" applyFill="1" applyBorder="1" applyAlignment="1">
      <alignment horizontal="center" vertical="center"/>
    </xf>
    <xf numFmtId="187" fontId="108" fillId="30" borderId="48" xfId="2546" applyNumberFormat="1" applyFont="1" applyFill="1" applyBorder="1" applyAlignment="1">
      <alignment horizontal="left" vertical="center"/>
    </xf>
    <xf numFmtId="166" fontId="109" fillId="0" borderId="0" xfId="125" applyFont="1" applyFill="1" applyAlignment="1">
      <alignment horizontal="center" vertical="center"/>
    </xf>
    <xf numFmtId="9" fontId="109" fillId="0" borderId="0" xfId="521" applyFont="1" applyFill="1" applyAlignment="1">
      <alignment horizontal="center" vertical="center"/>
    </xf>
    <xf numFmtId="10" fontId="117" fillId="30" borderId="0" xfId="2549" applyNumberFormat="1" applyFont="1" applyFill="1" applyBorder="1" applyAlignment="1">
      <alignment horizontal="left" vertical="center"/>
    </xf>
    <xf numFmtId="187" fontId="108" fillId="30" borderId="0" xfId="2546" applyNumberFormat="1" applyFont="1" applyFill="1" applyBorder="1" applyAlignment="1">
      <alignment horizontal="left" vertical="center"/>
    </xf>
    <xf numFmtId="10" fontId="117" fillId="0" borderId="0" xfId="2549" applyNumberFormat="1" applyFont="1" applyFill="1" applyBorder="1" applyAlignment="1">
      <alignment horizontal="left" vertical="center"/>
    </xf>
    <xf numFmtId="187" fontId="108" fillId="0" borderId="0" xfId="2546" applyNumberFormat="1" applyFont="1" applyFill="1" applyBorder="1" applyAlignment="1">
      <alignment horizontal="left" vertical="center"/>
    </xf>
    <xf numFmtId="187" fontId="109" fillId="38" borderId="67" xfId="2551" applyNumberFormat="1" applyFont="1" applyFill="1" applyBorder="1" applyAlignment="1">
      <alignment horizontal="center" vertical="center"/>
    </xf>
    <xf numFmtId="187" fontId="116" fillId="31" borderId="69" xfId="2551" applyNumberFormat="1" applyFont="1" applyFill="1" applyBorder="1" applyAlignment="1">
      <alignment horizontal="center" vertical="center"/>
    </xf>
    <xf numFmtId="187" fontId="116" fillId="31" borderId="31" xfId="2551" applyNumberFormat="1" applyFont="1" applyFill="1" applyBorder="1" applyAlignment="1">
      <alignment horizontal="center" vertical="center"/>
    </xf>
    <xf numFmtId="187" fontId="116" fillId="31" borderId="70" xfId="2551" applyNumberFormat="1" applyFont="1" applyFill="1" applyBorder="1" applyAlignment="1">
      <alignment horizontal="center" vertical="center"/>
    </xf>
    <xf numFmtId="0" fontId="110" fillId="33" borderId="44" xfId="2546" applyFont="1" applyFill="1" applyBorder="1" applyAlignment="1">
      <alignment horizontal="center" vertical="center" wrapText="1"/>
    </xf>
    <xf numFmtId="0" fontId="110" fillId="33" borderId="51" xfId="2546" applyFont="1" applyFill="1" applyBorder="1" applyAlignment="1">
      <alignment horizontal="center" vertical="center" wrapText="1"/>
    </xf>
    <xf numFmtId="0" fontId="110" fillId="33" borderId="43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50" xfId="2546" applyFont="1" applyFill="1" applyBorder="1" applyAlignment="1">
      <alignment horizontal="center" vertical="center" wrapText="1"/>
    </xf>
    <xf numFmtId="9" fontId="116" fillId="0" borderId="0" xfId="2546" applyNumberFormat="1" applyFont="1" applyFill="1" applyBorder="1" applyAlignment="1">
      <alignment horizontal="center" vertical="center"/>
    </xf>
    <xf numFmtId="187" fontId="116" fillId="0" borderId="0" xfId="2546" applyNumberFormat="1" applyFont="1" applyFill="1" applyAlignment="1">
      <alignment horizontal="center" vertical="center"/>
    </xf>
    <xf numFmtId="187" fontId="116" fillId="31" borderId="16" xfId="2551" applyNumberFormat="1" applyFont="1" applyFill="1" applyBorder="1" applyAlignment="1">
      <alignment horizontal="center" vertical="center"/>
    </xf>
    <xf numFmtId="0" fontId="110" fillId="33" borderId="18" xfId="2546" applyFont="1" applyFill="1" applyBorder="1" applyAlignment="1">
      <alignment horizontal="center" vertical="center" wrapText="1"/>
    </xf>
    <xf numFmtId="187" fontId="116" fillId="31" borderId="48" xfId="2551" applyNumberFormat="1" applyFont="1" applyFill="1" applyBorder="1" applyAlignment="1">
      <alignment horizontal="center" vertical="center" wrapText="1"/>
    </xf>
    <xf numFmtId="9" fontId="116" fillId="0" borderId="0" xfId="2549" applyNumberFormat="1" applyFont="1" applyFill="1" applyBorder="1" applyAlignment="1">
      <alignment horizontal="center" vertical="center"/>
    </xf>
    <xf numFmtId="9" fontId="116" fillId="0" borderId="36" xfId="2549" applyNumberFormat="1" applyFont="1" applyFill="1" applyBorder="1" applyAlignment="1">
      <alignment horizontal="center" vertical="center"/>
    </xf>
    <xf numFmtId="9" fontId="109" fillId="31" borderId="47" xfId="2549" applyNumberFormat="1" applyFont="1" applyFill="1" applyBorder="1" applyAlignment="1">
      <alignment horizontal="center" vertical="center"/>
    </xf>
    <xf numFmtId="9" fontId="116" fillId="31" borderId="47" xfId="2551" applyNumberFormat="1" applyFont="1" applyFill="1" applyBorder="1" applyAlignment="1">
      <alignment vertical="center"/>
    </xf>
    <xf numFmtId="9" fontId="119" fillId="31" borderId="40" xfId="2549" applyNumberFormat="1" applyFont="1" applyFill="1" applyBorder="1" applyAlignment="1">
      <alignment horizontal="center" vertical="center"/>
    </xf>
    <xf numFmtId="9" fontId="109" fillId="31" borderId="40" xfId="2549" applyNumberFormat="1" applyFont="1" applyFill="1" applyBorder="1" applyAlignment="1">
      <alignment horizontal="center" vertical="center"/>
    </xf>
    <xf numFmtId="9" fontId="109" fillId="31" borderId="51" xfId="2549" applyNumberFormat="1" applyFont="1" applyFill="1" applyBorder="1" applyAlignment="1">
      <alignment horizontal="center" vertical="center"/>
    </xf>
    <xf numFmtId="3" fontId="116" fillId="0" borderId="17" xfId="2546" applyNumberFormat="1" applyFont="1" applyFill="1" applyBorder="1" applyAlignment="1">
      <alignment horizontal="center" vertical="center"/>
    </xf>
    <xf numFmtId="187" fontId="118" fillId="31" borderId="50" xfId="2546" applyNumberFormat="1" applyFont="1" applyFill="1" applyBorder="1" applyAlignment="1">
      <alignment horizontal="center" vertical="center"/>
    </xf>
    <xf numFmtId="187" fontId="109" fillId="34" borderId="41" xfId="2551" applyNumberFormat="1" applyFont="1" applyFill="1" applyBorder="1" applyAlignment="1">
      <alignment horizontal="center" vertical="center"/>
    </xf>
    <xf numFmtId="187" fontId="109" fillId="34" borderId="53" xfId="2551" applyNumberFormat="1" applyFont="1" applyFill="1" applyBorder="1" applyAlignment="1">
      <alignment horizontal="center" vertical="center"/>
    </xf>
    <xf numFmtId="9" fontId="116" fillId="31" borderId="46" xfId="2549" applyNumberFormat="1" applyFont="1" applyFill="1" applyBorder="1" applyAlignment="1">
      <alignment horizontal="center" vertical="center"/>
    </xf>
    <xf numFmtId="0" fontId="110" fillId="33" borderId="50" xfId="2546" applyFont="1" applyFill="1" applyBorder="1" applyAlignment="1">
      <alignment horizontal="center" vertical="center" wrapText="1"/>
    </xf>
    <xf numFmtId="0" fontId="110" fillId="33" borderId="49" xfId="2546" applyFont="1" applyFill="1" applyBorder="1" applyAlignment="1">
      <alignment horizontal="center" vertical="center" wrapText="1"/>
    </xf>
    <xf numFmtId="0" fontId="129" fillId="0" borderId="0" xfId="2546" applyFont="1" applyFill="1" applyAlignment="1">
      <alignment horizontal="center" vertical="center"/>
    </xf>
    <xf numFmtId="0" fontId="128" fillId="36" borderId="28" xfId="2546" applyFont="1" applyFill="1" applyBorder="1" applyAlignment="1">
      <alignment horizontal="center" vertical="center"/>
    </xf>
    <xf numFmtId="0" fontId="128" fillId="37" borderId="28" xfId="2546" applyFont="1" applyFill="1" applyBorder="1" applyAlignment="1">
      <alignment horizontal="center" vertical="center"/>
    </xf>
    <xf numFmtId="0" fontId="128" fillId="37" borderId="46" xfId="2546" applyFont="1" applyFill="1" applyBorder="1" applyAlignment="1">
      <alignment horizontal="center" vertical="center"/>
    </xf>
    <xf numFmtId="0" fontId="128" fillId="37" borderId="17" xfId="2546" applyFont="1" applyFill="1" applyBorder="1" applyAlignment="1">
      <alignment horizontal="center" vertical="center"/>
    </xf>
    <xf numFmtId="0" fontId="128" fillId="27" borderId="15" xfId="2546" applyFont="1" applyFill="1" applyBorder="1" applyAlignment="1">
      <alignment horizontal="center" vertical="center"/>
    </xf>
    <xf numFmtId="10" fontId="116" fillId="0" borderId="20" xfId="2549" applyNumberFormat="1" applyFont="1" applyFill="1" applyBorder="1" applyAlignment="1">
      <alignment horizontal="center" vertical="center"/>
    </xf>
    <xf numFmtId="9" fontId="116" fillId="0" borderId="20" xfId="2549" applyNumberFormat="1" applyFont="1" applyFill="1" applyBorder="1" applyAlignment="1">
      <alignment horizontal="center" vertical="center"/>
    </xf>
    <xf numFmtId="187" fontId="116" fillId="0" borderId="20" xfId="2549" applyNumberFormat="1" applyFont="1" applyFill="1" applyBorder="1" applyAlignment="1">
      <alignment horizontal="center" vertical="center"/>
    </xf>
    <xf numFmtId="43" fontId="116" fillId="0" borderId="20" xfId="2551" applyFont="1" applyFill="1" applyBorder="1" applyAlignment="1">
      <alignment horizontal="center" vertical="center"/>
    </xf>
    <xf numFmtId="188" fontId="116" fillId="0" borderId="20" xfId="2546" applyNumberFormat="1" applyFont="1" applyFill="1" applyBorder="1" applyAlignment="1">
      <alignment horizontal="center" vertical="center"/>
    </xf>
    <xf numFmtId="4" fontId="116" fillId="0" borderId="15" xfId="2546" applyNumberFormat="1" applyFont="1" applyFill="1" applyBorder="1" applyAlignment="1">
      <alignment horizontal="center" vertical="center"/>
    </xf>
    <xf numFmtId="194" fontId="116" fillId="31" borderId="47" xfId="2551" applyNumberFormat="1" applyFont="1" applyFill="1" applyBorder="1" applyAlignment="1">
      <alignment horizontal="center" vertical="center"/>
    </xf>
    <xf numFmtId="43" fontId="109" fillId="0" borderId="0" xfId="2546" applyNumberFormat="1" applyFont="1" applyFill="1" applyAlignment="1">
      <alignment horizontal="center" vertical="center"/>
    </xf>
    <xf numFmtId="0" fontId="116" fillId="0" borderId="0" xfId="2546" applyFont="1" applyFill="1" applyAlignment="1">
      <alignment vertical="center"/>
    </xf>
    <xf numFmtId="0" fontId="116" fillId="0" borderId="0" xfId="2546" applyFont="1" applyFill="1" applyBorder="1" applyAlignment="1">
      <alignment vertical="center"/>
    </xf>
    <xf numFmtId="0" fontId="109" fillId="0" borderId="0" xfId="2546" applyFont="1" applyFill="1" applyAlignment="1">
      <alignment vertical="center"/>
    </xf>
    <xf numFmtId="0" fontId="129" fillId="0" borderId="0" xfId="2546" applyFont="1" applyFill="1" applyAlignment="1">
      <alignment vertical="center"/>
    </xf>
    <xf numFmtId="187" fontId="116" fillId="0" borderId="0" xfId="2546" applyNumberFormat="1" applyFont="1" applyFill="1" applyAlignment="1">
      <alignment vertical="center"/>
    </xf>
    <xf numFmtId="187" fontId="125" fillId="0" borderId="0" xfId="2546" applyNumberFormat="1" applyFont="1" applyFill="1" applyAlignment="1">
      <alignment vertical="center"/>
    </xf>
    <xf numFmtId="3" fontId="116" fillId="0" borderId="20" xfId="2546" applyNumberFormat="1" applyFont="1" applyFill="1" applyBorder="1" applyAlignment="1">
      <alignment horizontal="center" vertical="center"/>
    </xf>
    <xf numFmtId="0" fontId="87" fillId="0" borderId="0" xfId="2560" applyFont="1" applyAlignment="1">
      <alignment horizontal="center" vertical="center"/>
    </xf>
    <xf numFmtId="0" fontId="87" fillId="0" borderId="0" xfId="2560" applyFont="1" applyFill="1" applyAlignment="1">
      <alignment horizontal="center" vertical="center"/>
    </xf>
    <xf numFmtId="0" fontId="87" fillId="0" borderId="0" xfId="2560" applyFont="1" applyBorder="1" applyAlignment="1">
      <alignment horizontal="center" vertical="center"/>
    </xf>
    <xf numFmtId="0" fontId="130" fillId="0" borderId="0" xfId="2560" applyFont="1" applyBorder="1" applyAlignment="1">
      <alignment horizontal="center" vertical="center"/>
    </xf>
    <xf numFmtId="196" fontId="131" fillId="0" borderId="0" xfId="2560" applyNumberFormat="1" applyFont="1" applyBorder="1" applyAlignment="1">
      <alignment horizontal="center" vertical="center"/>
    </xf>
    <xf numFmtId="194" fontId="87" fillId="0" borderId="0" xfId="521" applyNumberFormat="1" applyFont="1" applyBorder="1" applyAlignment="1">
      <alignment horizontal="center" vertical="center"/>
    </xf>
    <xf numFmtId="196" fontId="130" fillId="0" borderId="0" xfId="2560" applyNumberFormat="1" applyFont="1" applyBorder="1" applyAlignment="1">
      <alignment horizontal="center" vertical="center"/>
    </xf>
    <xf numFmtId="3" fontId="87" fillId="0" borderId="0" xfId="2560" applyNumberFormat="1" applyFont="1" applyAlignment="1">
      <alignment horizontal="center" vertical="center"/>
    </xf>
    <xf numFmtId="0" fontId="87" fillId="0" borderId="0" xfId="2560" applyFont="1" applyAlignment="1">
      <alignment horizontal="left" vertical="center"/>
    </xf>
    <xf numFmtId="0" fontId="87" fillId="0" borderId="0" xfId="2560" applyFont="1" applyFill="1" applyAlignment="1">
      <alignment horizontal="left" vertical="center"/>
    </xf>
    <xf numFmtId="0" fontId="87" fillId="0" borderId="0" xfId="2560" applyFont="1" applyFill="1" applyBorder="1" applyAlignment="1">
      <alignment horizontal="left" vertical="center"/>
    </xf>
    <xf numFmtId="176" fontId="87" fillId="0" borderId="0" xfId="2560" applyNumberFormat="1" applyFont="1" applyAlignment="1">
      <alignment horizontal="left" vertical="center"/>
    </xf>
    <xf numFmtId="166" fontId="87" fillId="0" borderId="0" xfId="125" applyFont="1" applyAlignment="1">
      <alignment horizontal="left" vertical="center"/>
    </xf>
    <xf numFmtId="3" fontId="87" fillId="0" borderId="0" xfId="2560" applyNumberFormat="1" applyFont="1" applyAlignment="1">
      <alignment horizontal="left" vertical="center"/>
    </xf>
    <xf numFmtId="0" fontId="2" fillId="0" borderId="0" xfId="2560"/>
    <xf numFmtId="0" fontId="2" fillId="0" borderId="0" xfId="2560" applyFill="1"/>
    <xf numFmtId="187" fontId="109" fillId="31" borderId="67" xfId="2551" applyNumberFormat="1" applyFont="1" applyFill="1" applyBorder="1" applyAlignment="1">
      <alignment horizontal="center" vertical="center"/>
    </xf>
    <xf numFmtId="1" fontId="109" fillId="0" borderId="0" xfId="2546" applyNumberFormat="1" applyFont="1" applyFill="1" applyAlignment="1">
      <alignment horizontal="center" vertical="center"/>
    </xf>
    <xf numFmtId="9" fontId="0" fillId="0" borderId="0" xfId="0" applyNumberFormat="1"/>
    <xf numFmtId="187" fontId="109" fillId="30" borderId="36" xfId="2549" applyNumberFormat="1" applyFont="1" applyFill="1" applyBorder="1" applyAlignment="1">
      <alignment horizontal="center" vertical="center"/>
    </xf>
    <xf numFmtId="43" fontId="109" fillId="0" borderId="36" xfId="2551" applyFont="1" applyFill="1" applyBorder="1" applyAlignment="1">
      <alignment horizontal="center" vertical="center"/>
    </xf>
    <xf numFmtId="176" fontId="134" fillId="0" borderId="0" xfId="0" applyNumberFormat="1" applyFont="1"/>
    <xf numFmtId="187" fontId="109" fillId="30" borderId="67" xfId="2551" applyNumberFormat="1" applyFont="1" applyFill="1" applyBorder="1" applyAlignment="1">
      <alignment horizontal="center" vertical="center"/>
    </xf>
    <xf numFmtId="10" fontId="0" fillId="0" borderId="0" xfId="0" applyNumberFormat="1"/>
    <xf numFmtId="176" fontId="0" fillId="0" borderId="0" xfId="0" applyNumberFormat="1"/>
    <xf numFmtId="0" fontId="120" fillId="0" borderId="0" xfId="0" applyFont="1" applyBorder="1"/>
    <xf numFmtId="176" fontId="135" fillId="0" borderId="0" xfId="0" applyNumberFormat="1" applyFont="1" applyBorder="1"/>
    <xf numFmtId="176" fontId="0" fillId="0" borderId="67" xfId="0" applyNumberFormat="1" applyBorder="1"/>
    <xf numFmtId="176" fontId="136" fillId="0" borderId="67" xfId="0" applyNumberFormat="1" applyFont="1" applyBorder="1"/>
    <xf numFmtId="191" fontId="109" fillId="0" borderId="55" xfId="2561" applyNumberFormat="1" applyFont="1" applyFill="1" applyBorder="1" applyAlignment="1">
      <alignment horizontal="center" vertical="center"/>
    </xf>
    <xf numFmtId="191" fontId="119" fillId="0" borderId="55" xfId="2561" applyNumberFormat="1" applyFont="1" applyFill="1" applyBorder="1" applyAlignment="1">
      <alignment horizontal="center" vertical="center"/>
    </xf>
    <xf numFmtId="166" fontId="134" fillId="0" borderId="0" xfId="0" applyNumberFormat="1" applyFont="1"/>
    <xf numFmtId="0" fontId="0" fillId="40" borderId="0" xfId="0" applyFill="1" applyAlignment="1">
      <alignment horizontal="left" vertical="center"/>
    </xf>
    <xf numFmtId="0" fontId="0" fillId="40" borderId="0" xfId="0" applyFill="1" applyAlignment="1">
      <alignment horizontal="center" vertical="center"/>
    </xf>
    <xf numFmtId="10" fontId="0" fillId="0" borderId="0" xfId="0" applyNumberFormat="1" applyAlignment="1">
      <alignment horizontal="left"/>
    </xf>
    <xf numFmtId="176" fontId="137" fillId="43" borderId="73" xfId="1523" applyNumberFormat="1" applyFont="1" applyFill="1" applyBorder="1" applyAlignment="1">
      <alignment horizontal="center" vertical="center" wrapText="1"/>
    </xf>
    <xf numFmtId="0" fontId="138" fillId="44" borderId="73" xfId="0" applyFont="1" applyFill="1" applyBorder="1" applyAlignment="1">
      <alignment horizontal="left" vertical="top" wrapText="1"/>
    </xf>
    <xf numFmtId="0" fontId="136" fillId="0" borderId="0" xfId="0" applyFont="1"/>
    <xf numFmtId="176" fontId="137" fillId="45" borderId="73" xfId="1523" applyNumberFormat="1" applyFont="1" applyFill="1" applyBorder="1" applyAlignment="1">
      <alignment horizontal="center" vertical="top" wrapText="1"/>
    </xf>
    <xf numFmtId="186" fontId="139" fillId="46" borderId="74" xfId="0" applyNumberFormat="1" applyFont="1" applyFill="1" applyBorder="1" applyAlignment="1">
      <alignment horizontal="center" vertical="top" wrapText="1"/>
    </xf>
    <xf numFmtId="3" fontId="136" fillId="0" borderId="0" xfId="0" applyNumberFormat="1" applyFont="1"/>
    <xf numFmtId="0" fontId="138" fillId="47" borderId="73" xfId="0" applyFont="1" applyFill="1" applyBorder="1" applyAlignment="1">
      <alignment horizontal="left" vertical="top" wrapText="1"/>
    </xf>
    <xf numFmtId="3" fontId="140" fillId="46" borderId="0" xfId="0" applyNumberFormat="1" applyFont="1" applyFill="1" applyAlignment="1">
      <alignment vertical="center" wrapText="1"/>
    </xf>
    <xf numFmtId="0" fontId="140" fillId="46" borderId="0" xfId="0" applyFont="1" applyFill="1" applyAlignment="1">
      <alignment vertical="center" wrapText="1"/>
    </xf>
    <xf numFmtId="3" fontId="137" fillId="45" borderId="75" xfId="0" applyNumberFormat="1" applyFont="1" applyFill="1" applyBorder="1" applyAlignment="1">
      <alignment horizontal="right" vertical="top" wrapText="1" indent="2"/>
    </xf>
    <xf numFmtId="0" fontId="137" fillId="45" borderId="75" xfId="0" applyFont="1" applyFill="1" applyBorder="1" applyAlignment="1">
      <alignment vertical="top" wrapText="1"/>
    </xf>
    <xf numFmtId="3" fontId="137" fillId="43" borderId="75" xfId="0" applyNumberFormat="1" applyFont="1" applyFill="1" applyBorder="1" applyAlignment="1">
      <alignment horizontal="right" vertical="top" wrapText="1" indent="2"/>
    </xf>
    <xf numFmtId="0" fontId="137" fillId="43" borderId="75" xfId="0" applyFont="1" applyFill="1" applyBorder="1" applyAlignment="1">
      <alignment vertical="top" wrapText="1"/>
    </xf>
    <xf numFmtId="3" fontId="141" fillId="46" borderId="73" xfId="0" applyNumberFormat="1" applyFont="1" applyFill="1" applyBorder="1" applyAlignment="1">
      <alignment horizontal="center" vertical="top" wrapText="1"/>
    </xf>
    <xf numFmtId="0" fontId="141" fillId="46" borderId="75" xfId="0" applyFont="1" applyFill="1" applyBorder="1" applyAlignment="1">
      <alignment horizontal="left" vertical="top" wrapText="1"/>
    </xf>
    <xf numFmtId="3" fontId="142" fillId="47" borderId="73" xfId="0" applyNumberFormat="1" applyFont="1" applyFill="1" applyBorder="1" applyAlignment="1">
      <alignment horizontal="center" vertical="top" wrapText="1"/>
    </xf>
    <xf numFmtId="0" fontId="137" fillId="47" borderId="75" xfId="0" applyFont="1" applyFill="1" applyBorder="1" applyAlignment="1">
      <alignment horizontal="left" vertical="top" wrapText="1"/>
    </xf>
    <xf numFmtId="3" fontId="137" fillId="45" borderId="73" xfId="0" applyNumberFormat="1" applyFont="1" applyFill="1" applyBorder="1" applyAlignment="1">
      <alignment vertical="top" wrapText="1"/>
    </xf>
    <xf numFmtId="3" fontId="137" fillId="47" borderId="73" xfId="0" applyNumberFormat="1" applyFont="1" applyFill="1" applyBorder="1" applyAlignment="1">
      <alignment horizontal="center" vertical="top" wrapText="1"/>
    </xf>
    <xf numFmtId="3" fontId="137" fillId="43" borderId="73" xfId="0" applyNumberFormat="1" applyFont="1" applyFill="1" applyBorder="1" applyAlignment="1">
      <alignment vertical="top" wrapText="1"/>
    </xf>
    <xf numFmtId="3" fontId="137" fillId="43" borderId="73" xfId="0" applyNumberFormat="1" applyFont="1" applyFill="1" applyBorder="1" applyAlignment="1">
      <alignment horizontal="left" vertical="top" wrapText="1"/>
    </xf>
    <xf numFmtId="3" fontId="142" fillId="44" borderId="73" xfId="0" applyNumberFormat="1" applyFont="1" applyFill="1" applyBorder="1" applyAlignment="1">
      <alignment horizontal="center" vertical="top" wrapText="1"/>
    </xf>
    <xf numFmtId="3" fontId="137" fillId="44" borderId="73" xfId="0" applyNumberFormat="1" applyFont="1" applyFill="1" applyBorder="1" applyAlignment="1">
      <alignment horizontal="center" vertical="top" wrapText="1"/>
    </xf>
    <xf numFmtId="0" fontId="137" fillId="44" borderId="75" xfId="0" applyFont="1" applyFill="1" applyBorder="1" applyAlignment="1">
      <alignment horizontal="left" vertical="top" wrapText="1"/>
    </xf>
    <xf numFmtId="3" fontId="137" fillId="45" borderId="73" xfId="0" applyNumberFormat="1" applyFont="1" applyFill="1" applyBorder="1" applyAlignment="1">
      <alignment horizontal="left" vertical="top" wrapText="1"/>
    </xf>
    <xf numFmtId="3" fontId="142" fillId="43" borderId="73" xfId="0" applyNumberFormat="1" applyFont="1" applyFill="1" applyBorder="1" applyAlignment="1">
      <alignment horizontal="center" vertical="top" wrapText="1"/>
    </xf>
    <xf numFmtId="3" fontId="137" fillId="43" borderId="73" xfId="0" applyNumberFormat="1" applyFont="1" applyFill="1" applyBorder="1" applyAlignment="1">
      <alignment horizontal="center" vertical="top" wrapText="1"/>
    </xf>
    <xf numFmtId="0" fontId="137" fillId="43" borderId="75" xfId="0" applyFont="1" applyFill="1" applyBorder="1" applyAlignment="1">
      <alignment horizontal="left" vertical="top" wrapText="1" indent="2"/>
    </xf>
    <xf numFmtId="3" fontId="142" fillId="45" borderId="73" xfId="0" applyNumberFormat="1" applyFont="1" applyFill="1" applyBorder="1" applyAlignment="1">
      <alignment horizontal="center" vertical="top" wrapText="1"/>
    </xf>
    <xf numFmtId="3" fontId="137" fillId="45" borderId="73" xfId="0" applyNumberFormat="1" applyFont="1" applyFill="1" applyBorder="1" applyAlignment="1">
      <alignment horizontal="center" vertical="top" wrapText="1"/>
    </xf>
    <xf numFmtId="0" fontId="137" fillId="45" borderId="75" xfId="0" applyFont="1" applyFill="1" applyBorder="1" applyAlignment="1">
      <alignment horizontal="left" vertical="top" wrapText="1" indent="2"/>
    </xf>
    <xf numFmtId="0" fontId="142" fillId="44" borderId="75" xfId="0" applyFont="1" applyFill="1" applyBorder="1" applyAlignment="1">
      <alignment horizontal="left" vertical="top" wrapText="1"/>
    </xf>
    <xf numFmtId="0" fontId="139" fillId="46" borderId="74" xfId="0" applyFont="1" applyFill="1" applyBorder="1" applyAlignment="1">
      <alignment horizontal="center" vertical="top" wrapText="1"/>
    </xf>
    <xf numFmtId="186" fontId="139" fillId="46" borderId="75" xfId="2554" applyFont="1" applyFill="1" applyBorder="1" applyAlignment="1">
      <alignment horizontal="left" vertical="top" wrapText="1"/>
    </xf>
    <xf numFmtId="3" fontId="0" fillId="0" borderId="0" xfId="0" applyNumberFormat="1"/>
    <xf numFmtId="0" fontId="0" fillId="30" borderId="0" xfId="0" applyFill="1" applyAlignment="1">
      <alignment horizontal="center" vertical="center"/>
    </xf>
    <xf numFmtId="0" fontId="133" fillId="48" borderId="68" xfId="2560" applyFont="1" applyFill="1" applyBorder="1" applyAlignment="1">
      <alignment horizontal="center" vertical="center"/>
    </xf>
    <xf numFmtId="0" fontId="144" fillId="0" borderId="0" xfId="2562" applyFont="1"/>
    <xf numFmtId="0" fontId="145" fillId="0" borderId="23" xfId="2562" applyFont="1" applyBorder="1" applyAlignment="1">
      <alignment horizontal="center"/>
    </xf>
    <xf numFmtId="0" fontId="127" fillId="0" borderId="23" xfId="2562" applyFont="1" applyBorder="1" applyAlignment="1">
      <alignment horizontal="center"/>
    </xf>
    <xf numFmtId="9" fontId="145" fillId="27" borderId="23" xfId="2563" applyFont="1" applyFill="1" applyBorder="1" applyAlignment="1">
      <alignment horizontal="center"/>
    </xf>
    <xf numFmtId="9" fontId="146" fillId="0" borderId="0" xfId="2564" applyNumberFormat="1" applyFont="1" applyAlignment="1">
      <alignment horizontal="center"/>
    </xf>
    <xf numFmtId="0" fontId="144" fillId="27" borderId="0" xfId="2562" applyFont="1" applyFill="1"/>
    <xf numFmtId="43" fontId="144" fillId="27" borderId="0" xfId="2562" applyNumberFormat="1" applyFont="1" applyFill="1"/>
    <xf numFmtId="0" fontId="145" fillId="49" borderId="23" xfId="2562" applyFont="1" applyFill="1" applyBorder="1" applyAlignment="1">
      <alignment horizontal="center"/>
    </xf>
    <xf numFmtId="3" fontId="147" fillId="0" borderId="0" xfId="2564" applyNumberFormat="1" applyFont="1" applyAlignment="1">
      <alignment horizontal="center"/>
    </xf>
    <xf numFmtId="3" fontId="145" fillId="27" borderId="23" xfId="2562" applyNumberFormat="1" applyFont="1" applyFill="1" applyBorder="1" applyAlignment="1">
      <alignment horizontal="center"/>
    </xf>
    <xf numFmtId="3" fontId="146" fillId="0" borderId="0" xfId="2564" applyNumberFormat="1" applyFont="1" applyAlignment="1">
      <alignment horizontal="center"/>
    </xf>
    <xf numFmtId="3" fontId="144" fillId="0" borderId="0" xfId="2562" applyNumberFormat="1" applyFont="1" applyFill="1" applyBorder="1"/>
    <xf numFmtId="3" fontId="144" fillId="0" borderId="0" xfId="2562" applyNumberFormat="1" applyFont="1"/>
    <xf numFmtId="43" fontId="144" fillId="27" borderId="0" xfId="2564" applyFont="1" applyFill="1"/>
    <xf numFmtId="0" fontId="145" fillId="30" borderId="23" xfId="2562" applyFont="1" applyFill="1" applyBorder="1" applyAlignment="1">
      <alignment horizontal="center"/>
    </xf>
    <xf numFmtId="3" fontId="145" fillId="30" borderId="23" xfId="2562" applyNumberFormat="1" applyFont="1" applyFill="1" applyBorder="1" applyAlignment="1">
      <alignment horizontal="center"/>
    </xf>
    <xf numFmtId="3" fontId="145" fillId="0" borderId="0" xfId="2562" applyNumberFormat="1" applyFont="1" applyFill="1" applyBorder="1" applyAlignment="1">
      <alignment horizontal="center"/>
    </xf>
    <xf numFmtId="3" fontId="145" fillId="0" borderId="23" xfId="2562" applyNumberFormat="1" applyFont="1" applyBorder="1" applyAlignment="1">
      <alignment horizontal="center"/>
    </xf>
    <xf numFmtId="0" fontId="145" fillId="27" borderId="23" xfId="2562" applyFont="1" applyFill="1" applyBorder="1" applyAlignment="1">
      <alignment horizontal="center"/>
    </xf>
    <xf numFmtId="43" fontId="144" fillId="27" borderId="0" xfId="2562" applyNumberFormat="1" applyFont="1" applyFill="1" applyBorder="1"/>
    <xf numFmtId="43" fontId="144" fillId="27" borderId="0" xfId="2564" applyFont="1" applyFill="1" applyBorder="1"/>
    <xf numFmtId="43" fontId="145" fillId="27" borderId="0" xfId="2562" applyNumberFormat="1" applyFont="1" applyFill="1"/>
    <xf numFmtId="0" fontId="144" fillId="27" borderId="0" xfId="2562" applyFont="1" applyFill="1" applyBorder="1"/>
    <xf numFmtId="0" fontId="149" fillId="0" borderId="0" xfId="2562" applyFont="1" applyBorder="1" applyAlignment="1"/>
    <xf numFmtId="10" fontId="146" fillId="0" borderId="0" xfId="2563" applyNumberFormat="1" applyFont="1" applyAlignment="1">
      <alignment horizontal="center"/>
    </xf>
    <xf numFmtId="0" fontId="126" fillId="0" borderId="77" xfId="2562" applyFont="1" applyBorder="1" applyAlignment="1">
      <alignment horizontal="center"/>
    </xf>
    <xf numFmtId="0" fontId="149" fillId="0" borderId="77" xfId="2562" applyFont="1" applyBorder="1" applyAlignment="1"/>
    <xf numFmtId="0" fontId="150" fillId="0" borderId="0" xfId="2562" applyFont="1" applyAlignment="1">
      <alignment horizontal="center" vertical="center"/>
    </xf>
    <xf numFmtId="43" fontId="150" fillId="0" borderId="0" xfId="2564" applyFont="1" applyAlignment="1">
      <alignment horizontal="center" vertical="center"/>
    </xf>
    <xf numFmtId="0" fontId="145" fillId="0" borderId="0" xfId="2562" applyFont="1" applyAlignment="1">
      <alignment horizontal="right"/>
    </xf>
    <xf numFmtId="3" fontId="127" fillId="0" borderId="23" xfId="2564" applyNumberFormat="1" applyFont="1" applyBorder="1" applyAlignment="1">
      <alignment horizontal="center"/>
    </xf>
    <xf numFmtId="3" fontId="127" fillId="0" borderId="79" xfId="2564" applyNumberFormat="1" applyFont="1" applyBorder="1" applyAlignment="1">
      <alignment horizontal="center"/>
    </xf>
    <xf numFmtId="16" fontId="127" fillId="0" borderId="23" xfId="2562" applyNumberFormat="1" applyFont="1" applyBorder="1" applyAlignment="1">
      <alignment horizontal="center"/>
    </xf>
    <xf numFmtId="0" fontId="145" fillId="0" borderId="0" xfId="2562" applyFont="1" applyAlignment="1">
      <alignment horizontal="center"/>
    </xf>
    <xf numFmtId="4" fontId="145" fillId="0" borderId="0" xfId="2562" applyNumberFormat="1" applyFont="1" applyAlignment="1">
      <alignment horizontal="center"/>
    </xf>
    <xf numFmtId="17" fontId="150" fillId="0" borderId="0" xfId="2562" applyNumberFormat="1" applyFont="1"/>
    <xf numFmtId="3" fontId="146" fillId="27" borderId="81" xfId="2564" applyNumberFormat="1" applyFont="1" applyFill="1" applyBorder="1" applyAlignment="1">
      <alignment horizontal="center"/>
    </xf>
    <xf numFmtId="3" fontId="146" fillId="27" borderId="55" xfId="2564" applyNumberFormat="1" applyFont="1" applyFill="1" applyBorder="1" applyAlignment="1">
      <alignment horizontal="center"/>
    </xf>
    <xf numFmtId="3" fontId="146" fillId="27" borderId="63" xfId="2564" applyNumberFormat="1" applyFont="1" applyFill="1" applyBorder="1" applyAlignment="1">
      <alignment horizontal="center"/>
    </xf>
    <xf numFmtId="4" fontId="146" fillId="27" borderId="41" xfId="2564" applyNumberFormat="1" applyFont="1" applyFill="1" applyBorder="1" applyAlignment="1">
      <alignment horizontal="center"/>
    </xf>
    <xf numFmtId="4" fontId="146" fillId="27" borderId="55" xfId="2564" applyNumberFormat="1" applyFont="1" applyFill="1" applyBorder="1" applyAlignment="1">
      <alignment horizontal="center"/>
    </xf>
    <xf numFmtId="4" fontId="146" fillId="27" borderId="82" xfId="2564" applyNumberFormat="1" applyFont="1" applyFill="1" applyBorder="1" applyAlignment="1">
      <alignment horizontal="center"/>
    </xf>
    <xf numFmtId="4" fontId="146" fillId="27" borderId="81" xfId="2564" applyNumberFormat="1" applyFont="1" applyFill="1" applyBorder="1" applyAlignment="1">
      <alignment horizontal="right"/>
    </xf>
    <xf numFmtId="4" fontId="146" fillId="27" borderId="55" xfId="2564" applyNumberFormat="1" applyFont="1" applyFill="1" applyBorder="1" applyAlignment="1">
      <alignment horizontal="right"/>
    </xf>
    <xf numFmtId="4" fontId="146" fillId="27" borderId="82" xfId="2564" applyNumberFormat="1" applyFont="1" applyFill="1" applyBorder="1" applyAlignment="1">
      <alignment horizontal="right"/>
    </xf>
    <xf numFmtId="3" fontId="146" fillId="27" borderId="82" xfId="2564" applyNumberFormat="1" applyFont="1" applyFill="1" applyBorder="1" applyAlignment="1">
      <alignment horizontal="center"/>
    </xf>
    <xf numFmtId="4" fontId="146" fillId="27" borderId="81" xfId="2564" applyNumberFormat="1" applyFont="1" applyFill="1" applyBorder="1" applyAlignment="1">
      <alignment horizontal="center"/>
    </xf>
    <xf numFmtId="166" fontId="144" fillId="27" borderId="0" xfId="518" applyFont="1" applyFill="1"/>
    <xf numFmtId="43" fontId="144" fillId="0" borderId="0" xfId="2564" applyFont="1"/>
    <xf numFmtId="166" fontId="144" fillId="0" borderId="0" xfId="518" applyFont="1"/>
    <xf numFmtId="176" fontId="144" fillId="0" borderId="0" xfId="518" applyNumberFormat="1" applyFont="1"/>
    <xf numFmtId="176" fontId="144" fillId="0" borderId="0" xfId="2564" applyNumberFormat="1" applyFont="1"/>
    <xf numFmtId="3" fontId="146" fillId="27" borderId="83" xfId="2564" applyNumberFormat="1" applyFont="1" applyFill="1" applyBorder="1" applyAlignment="1">
      <alignment horizontal="center"/>
    </xf>
    <xf numFmtId="3" fontId="146" fillId="27" borderId="84" xfId="2564" applyNumberFormat="1" applyFont="1" applyFill="1" applyBorder="1" applyAlignment="1">
      <alignment horizontal="center"/>
    </xf>
    <xf numFmtId="3" fontId="146" fillId="27" borderId="85" xfId="2564" applyNumberFormat="1" applyFont="1" applyFill="1" applyBorder="1" applyAlignment="1">
      <alignment horizontal="center"/>
    </xf>
    <xf numFmtId="4" fontId="146" fillId="27" borderId="86" xfId="2564" applyNumberFormat="1" applyFont="1" applyFill="1" applyBorder="1" applyAlignment="1">
      <alignment horizontal="center"/>
    </xf>
    <xf numFmtId="4" fontId="146" fillId="27" borderId="84" xfId="2564" applyNumberFormat="1" applyFont="1" applyFill="1" applyBorder="1" applyAlignment="1">
      <alignment horizontal="center"/>
    </xf>
    <xf numFmtId="4" fontId="146" fillId="27" borderId="87" xfId="2564" applyNumberFormat="1" applyFont="1" applyFill="1" applyBorder="1" applyAlignment="1">
      <alignment horizontal="center"/>
    </xf>
    <xf numFmtId="4" fontId="146" fillId="27" borderId="83" xfId="2564" applyNumberFormat="1" applyFont="1" applyFill="1" applyBorder="1" applyAlignment="1">
      <alignment horizontal="right"/>
    </xf>
    <xf numFmtId="4" fontId="146" fillId="27" borderId="84" xfId="2564" applyNumberFormat="1" applyFont="1" applyFill="1" applyBorder="1" applyAlignment="1">
      <alignment horizontal="right"/>
    </xf>
    <xf numFmtId="4" fontId="146" fillId="27" borderId="87" xfId="2564" applyNumberFormat="1" applyFont="1" applyFill="1" applyBorder="1" applyAlignment="1">
      <alignment horizontal="right"/>
    </xf>
    <xf numFmtId="3" fontId="146" fillId="27" borderId="87" xfId="2564" applyNumberFormat="1" applyFont="1" applyFill="1" applyBorder="1" applyAlignment="1">
      <alignment horizontal="center"/>
    </xf>
    <xf numFmtId="3" fontId="146" fillId="27" borderId="88" xfId="2564" applyNumberFormat="1" applyFont="1" applyFill="1" applyBorder="1" applyAlignment="1">
      <alignment horizontal="center"/>
    </xf>
    <xf numFmtId="3" fontId="146" fillId="27" borderId="89" xfId="2564" applyNumberFormat="1" applyFont="1" applyFill="1" applyBorder="1" applyAlignment="1">
      <alignment horizontal="center"/>
    </xf>
    <xf numFmtId="3" fontId="146" fillId="27" borderId="90" xfId="2564" applyNumberFormat="1" applyFont="1" applyFill="1" applyBorder="1" applyAlignment="1">
      <alignment horizontal="center"/>
    </xf>
    <xf numFmtId="4" fontId="146" fillId="0" borderId="91" xfId="2564" applyNumberFormat="1" applyFont="1" applyBorder="1" applyAlignment="1">
      <alignment horizontal="center"/>
    </xf>
    <xf numFmtId="4" fontId="146" fillId="0" borderId="89" xfId="2564" applyNumberFormat="1" applyFont="1" applyBorder="1" applyAlignment="1">
      <alignment horizontal="center"/>
    </xf>
    <xf numFmtId="4" fontId="146" fillId="0" borderId="92" xfId="2564" applyNumberFormat="1" applyFont="1" applyBorder="1" applyAlignment="1">
      <alignment horizontal="center"/>
    </xf>
    <xf numFmtId="4" fontId="146" fillId="0" borderId="88" xfId="2564" applyNumberFormat="1" applyFont="1" applyBorder="1" applyAlignment="1">
      <alignment horizontal="center"/>
    </xf>
    <xf numFmtId="3" fontId="146" fillId="0" borderId="88" xfId="2564" applyNumberFormat="1" applyFont="1" applyBorder="1" applyAlignment="1">
      <alignment horizontal="center"/>
    </xf>
    <xf numFmtId="3" fontId="146" fillId="0" borderId="89" xfId="2564" applyNumberFormat="1" applyFont="1" applyBorder="1" applyAlignment="1">
      <alignment horizontal="center"/>
    </xf>
    <xf numFmtId="3" fontId="146" fillId="0" borderId="92" xfId="2564" applyNumberFormat="1" applyFont="1" applyBorder="1" applyAlignment="1">
      <alignment horizontal="center"/>
    </xf>
    <xf numFmtId="17" fontId="145" fillId="0" borderId="0" xfId="2562" applyNumberFormat="1" applyFont="1" applyAlignment="1">
      <alignment horizontal="right"/>
    </xf>
    <xf numFmtId="3" fontId="152" fillId="0" borderId="0" xfId="2564" applyNumberFormat="1" applyFont="1" applyAlignment="1">
      <alignment horizontal="center"/>
    </xf>
    <xf numFmtId="3" fontId="153" fillId="0" borderId="0" xfId="2564" applyNumberFormat="1" applyFont="1" applyAlignment="1">
      <alignment horizontal="center"/>
    </xf>
    <xf numFmtId="3" fontId="153" fillId="0" borderId="0" xfId="2564" applyNumberFormat="1" applyFont="1" applyAlignment="1">
      <alignment horizontal="right"/>
    </xf>
    <xf numFmtId="4" fontId="144" fillId="0" borderId="0" xfId="2562" applyNumberFormat="1" applyFont="1" applyAlignment="1">
      <alignment horizontal="center"/>
    </xf>
    <xf numFmtId="43" fontId="145" fillId="0" borderId="0" xfId="2564" applyFont="1" applyAlignment="1"/>
    <xf numFmtId="43" fontId="153" fillId="0" borderId="0" xfId="2564" applyFont="1" applyAlignment="1">
      <alignment horizontal="center"/>
    </xf>
    <xf numFmtId="43" fontId="152" fillId="0" borderId="0" xfId="2564" applyFont="1" applyAlignment="1">
      <alignment horizontal="center"/>
    </xf>
    <xf numFmtId="43" fontId="145" fillId="0" borderId="0" xfId="2564" applyFont="1"/>
    <xf numFmtId="43" fontId="145" fillId="27" borderId="0" xfId="2564" applyFont="1" applyFill="1" applyAlignment="1">
      <alignment horizontal="right"/>
    </xf>
    <xf numFmtId="43" fontId="151" fillId="50" borderId="0" xfId="2564" applyFont="1" applyFill="1" applyAlignment="1"/>
    <xf numFmtId="43" fontId="151" fillId="50" borderId="0" xfId="2564" applyFont="1" applyFill="1" applyAlignment="1">
      <alignment horizontal="center"/>
    </xf>
    <xf numFmtId="43" fontId="154" fillId="0" borderId="0" xfId="2564" applyFont="1" applyAlignment="1">
      <alignment horizontal="center"/>
    </xf>
    <xf numFmtId="17" fontId="144" fillId="0" borderId="0" xfId="2562" applyNumberFormat="1" applyFont="1"/>
    <xf numFmtId="17" fontId="145" fillId="0" borderId="0" xfId="2562" applyNumberFormat="1" applyFont="1"/>
    <xf numFmtId="43" fontId="144" fillId="0" borderId="0" xfId="2562" applyNumberFormat="1" applyFont="1"/>
    <xf numFmtId="3" fontId="153" fillId="27" borderId="0" xfId="2564" applyNumberFormat="1" applyFont="1" applyFill="1" applyAlignment="1">
      <alignment horizontal="center"/>
    </xf>
    <xf numFmtId="3" fontId="153" fillId="51" borderId="93" xfId="2564" applyNumberFormat="1" applyFont="1" applyFill="1" applyBorder="1" applyAlignment="1">
      <alignment horizontal="center"/>
    </xf>
    <xf numFmtId="3" fontId="153" fillId="27" borderId="0" xfId="2564" applyNumberFormat="1" applyFont="1" applyFill="1" applyBorder="1" applyAlignment="1">
      <alignment horizontal="center"/>
    </xf>
    <xf numFmtId="17" fontId="144" fillId="0" borderId="23" xfId="2562" applyNumberFormat="1" applyFont="1" applyBorder="1"/>
    <xf numFmtId="3" fontId="155" fillId="0" borderId="23" xfId="2564" applyNumberFormat="1" applyFont="1" applyBorder="1" applyAlignment="1">
      <alignment horizontal="center"/>
    </xf>
    <xf numFmtId="3" fontId="153" fillId="0" borderId="23" xfId="2564" applyNumberFormat="1" applyFont="1" applyBorder="1" applyAlignment="1">
      <alignment horizontal="center"/>
    </xf>
    <xf numFmtId="3" fontId="153" fillId="0" borderId="0" xfId="2564" applyNumberFormat="1" applyFont="1" applyAlignment="1">
      <alignment horizontal="left"/>
    </xf>
    <xf numFmtId="3" fontId="153" fillId="27" borderId="0" xfId="2564" applyNumberFormat="1" applyFont="1" applyFill="1" applyAlignment="1">
      <alignment horizontal="left"/>
    </xf>
    <xf numFmtId="4" fontId="146" fillId="0" borderId="0" xfId="2564" applyNumberFormat="1" applyFont="1"/>
    <xf numFmtId="4" fontId="146" fillId="0" borderId="0" xfId="2564" applyNumberFormat="1" applyFont="1" applyBorder="1"/>
    <xf numFmtId="43" fontId="126" fillId="27" borderId="0" xfId="2564" applyFont="1" applyFill="1" applyBorder="1" applyAlignment="1"/>
    <xf numFmtId="166" fontId="156" fillId="27" borderId="0" xfId="518" applyFont="1" applyFill="1" applyBorder="1" applyAlignment="1"/>
    <xf numFmtId="166" fontId="144" fillId="27" borderId="0" xfId="2562" applyNumberFormat="1" applyFont="1" applyFill="1" applyBorder="1"/>
    <xf numFmtId="43" fontId="144" fillId="27" borderId="0" xfId="2564" applyFont="1" applyFill="1" applyBorder="1" applyAlignment="1">
      <alignment horizontal="left"/>
    </xf>
    <xf numFmtId="17" fontId="145" fillId="27" borderId="0" xfId="2562" applyNumberFormat="1" applyFont="1" applyFill="1" applyBorder="1" applyAlignment="1">
      <alignment horizontal="right"/>
    </xf>
    <xf numFmtId="0" fontId="145" fillId="27" borderId="0" xfId="2562" applyFont="1" applyFill="1" applyBorder="1" applyAlignment="1">
      <alignment horizontal="right"/>
    </xf>
    <xf numFmtId="0" fontId="144" fillId="27" borderId="0" xfId="2562" applyFont="1" applyFill="1" applyBorder="1" applyAlignment="1">
      <alignment horizontal="right"/>
    </xf>
    <xf numFmtId="176" fontId="145" fillId="27" borderId="0" xfId="2562" applyNumberFormat="1" applyFont="1" applyFill="1" applyBorder="1"/>
    <xf numFmtId="176" fontId="145" fillId="27" borderId="0" xfId="518" applyNumberFormat="1" applyFont="1" applyFill="1" applyBorder="1"/>
    <xf numFmtId="4" fontId="144" fillId="0" borderId="0" xfId="2562" applyNumberFormat="1" applyFont="1"/>
    <xf numFmtId="0" fontId="144" fillId="0" borderId="0" xfId="2562" applyFont="1" applyAlignment="1">
      <alignment horizontal="left"/>
    </xf>
    <xf numFmtId="4" fontId="144" fillId="27" borderId="0" xfId="2562" applyNumberFormat="1" applyFont="1" applyFill="1"/>
    <xf numFmtId="43" fontId="145" fillId="27" borderId="0" xfId="2564" applyFont="1" applyFill="1" applyBorder="1" applyAlignment="1">
      <alignment horizontal="right"/>
    </xf>
    <xf numFmtId="176" fontId="144" fillId="27" borderId="0" xfId="2562" applyNumberFormat="1" applyFont="1" applyFill="1" applyBorder="1"/>
    <xf numFmtId="9" fontId="144" fillId="27" borderId="0" xfId="2563" applyFont="1" applyFill="1" applyBorder="1"/>
    <xf numFmtId="43" fontId="144" fillId="27" borderId="0" xfId="2564" applyFont="1" applyFill="1" applyBorder="1" applyAlignment="1"/>
    <xf numFmtId="176" fontId="144" fillId="27" borderId="0" xfId="518" applyNumberFormat="1" applyFont="1" applyFill="1" applyBorder="1" applyAlignment="1"/>
    <xf numFmtId="43" fontId="145" fillId="27" borderId="0" xfId="2564" applyFont="1" applyFill="1" applyBorder="1"/>
    <xf numFmtId="176" fontId="145" fillId="27" borderId="0" xfId="2564" applyNumberFormat="1" applyFont="1" applyFill="1" applyBorder="1"/>
    <xf numFmtId="0" fontId="144" fillId="27" borderId="0" xfId="2562" applyFont="1" applyFill="1" applyAlignment="1">
      <alignment horizontal="left"/>
    </xf>
    <xf numFmtId="3" fontId="146" fillId="0" borderId="0" xfId="2564" applyNumberFormat="1" applyFont="1" applyAlignment="1">
      <alignment horizontal="right"/>
    </xf>
    <xf numFmtId="3" fontId="153" fillId="30" borderId="0" xfId="2564" applyNumberFormat="1" applyFont="1" applyFill="1" applyAlignment="1">
      <alignment horizontal="left"/>
    </xf>
    <xf numFmtId="17" fontId="144" fillId="0" borderId="0" xfId="2562" applyNumberFormat="1" applyFont="1" applyBorder="1"/>
    <xf numFmtId="3" fontId="155" fillId="0" borderId="0" xfId="2564" applyNumberFormat="1" applyFont="1" applyBorder="1" applyAlignment="1">
      <alignment horizontal="center"/>
    </xf>
    <xf numFmtId="3" fontId="153" fillId="0" borderId="0" xfId="2564" applyNumberFormat="1" applyFont="1" applyBorder="1" applyAlignment="1">
      <alignment horizontal="center"/>
    </xf>
    <xf numFmtId="3" fontId="146" fillId="0" borderId="0" xfId="2564" applyNumberFormat="1" applyFont="1" applyBorder="1" applyAlignment="1">
      <alignment horizontal="center"/>
    </xf>
    <xf numFmtId="4" fontId="145" fillId="0" borderId="0" xfId="2562" applyNumberFormat="1" applyFont="1"/>
    <xf numFmtId="3" fontId="109" fillId="0" borderId="0" xfId="2546" applyNumberFormat="1" applyFont="1" applyFill="1" applyAlignment="1">
      <alignment horizontal="center" vertical="center"/>
    </xf>
    <xf numFmtId="187" fontId="109" fillId="31" borderId="69" xfId="2551" applyNumberFormat="1" applyFont="1" applyFill="1" applyBorder="1" applyAlignment="1">
      <alignment horizontal="center" vertical="center"/>
    </xf>
    <xf numFmtId="187" fontId="109" fillId="31" borderId="31" xfId="2551" applyNumberFormat="1" applyFont="1" applyFill="1" applyBorder="1" applyAlignment="1">
      <alignment horizontal="center" vertical="center"/>
    </xf>
    <xf numFmtId="187" fontId="109" fillId="31" borderId="70" xfId="2551" applyNumberFormat="1" applyFont="1" applyFill="1" applyBorder="1" applyAlignment="1">
      <alignment horizontal="center" vertical="center"/>
    </xf>
    <xf numFmtId="187" fontId="109" fillId="31" borderId="94" xfId="2551" applyNumberFormat="1" applyFont="1" applyFill="1" applyBorder="1" applyAlignment="1">
      <alignment horizontal="center" vertical="center"/>
    </xf>
    <xf numFmtId="187" fontId="109" fillId="31" borderId="95" xfId="2551" applyNumberFormat="1" applyFont="1" applyFill="1" applyBorder="1" applyAlignment="1">
      <alignment horizontal="center" vertical="center"/>
    </xf>
    <xf numFmtId="187" fontId="116" fillId="31" borderId="46" xfId="521" applyNumberFormat="1" applyFont="1" applyFill="1" applyBorder="1" applyAlignment="1">
      <alignment horizontal="center" vertical="center"/>
    </xf>
    <xf numFmtId="187" fontId="116" fillId="31" borderId="47" xfId="521" applyNumberFormat="1" applyFont="1" applyFill="1" applyBorder="1" applyAlignment="1">
      <alignment horizontal="center" vertical="center"/>
    </xf>
    <xf numFmtId="187" fontId="116" fillId="31" borderId="48" xfId="521" applyNumberFormat="1" applyFont="1" applyFill="1" applyBorder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10" fontId="119" fillId="31" borderId="67" xfId="2549" applyNumberFormat="1" applyFont="1" applyFill="1" applyBorder="1" applyAlignment="1">
      <alignment horizontal="center" vertical="center"/>
    </xf>
    <xf numFmtId="187" fontId="119" fillId="31" borderId="67" xfId="2551" quotePrefix="1" applyNumberFormat="1" applyFont="1" applyFill="1" applyBorder="1" applyAlignment="1">
      <alignment horizontal="center" vertical="center"/>
    </xf>
    <xf numFmtId="187" fontId="109" fillId="31" borderId="55" xfId="2551" applyNumberFormat="1" applyFont="1" applyFill="1" applyBorder="1" applyAlignment="1">
      <alignment horizontal="center" vertical="center"/>
    </xf>
    <xf numFmtId="187" fontId="109" fillId="31" borderId="52" xfId="2551" applyNumberFormat="1" applyFont="1" applyFill="1" applyBorder="1" applyAlignment="1">
      <alignment horizontal="center" vertical="center"/>
    </xf>
    <xf numFmtId="43" fontId="0" fillId="0" borderId="0" xfId="0" applyNumberFormat="1"/>
    <xf numFmtId="192" fontId="116" fillId="31" borderId="31" xfId="2551" applyNumberFormat="1" applyFont="1" applyFill="1" applyBorder="1" applyAlignment="1">
      <alignment horizontal="center" vertical="center"/>
    </xf>
    <xf numFmtId="192" fontId="109" fillId="38" borderId="67" xfId="2551" applyNumberFormat="1" applyFont="1" applyFill="1" applyBorder="1" applyAlignment="1">
      <alignment horizontal="center" vertical="center"/>
    </xf>
    <xf numFmtId="176" fontId="87" fillId="0" borderId="96" xfId="125" applyNumberFormat="1" applyFont="1" applyBorder="1" applyAlignment="1">
      <alignment horizontal="right" vertical="center"/>
    </xf>
    <xf numFmtId="176" fontId="87" fillId="0" borderId="71" xfId="125" applyNumberFormat="1" applyFont="1" applyBorder="1" applyAlignment="1">
      <alignment horizontal="right" vertical="center"/>
    </xf>
    <xf numFmtId="10" fontId="87" fillId="0" borderId="71" xfId="521" applyNumberFormat="1" applyFont="1" applyBorder="1" applyAlignment="1">
      <alignment horizontal="right" vertical="center"/>
    </xf>
    <xf numFmtId="2" fontId="87" fillId="0" borderId="72" xfId="521" applyNumberFormat="1" applyFont="1" applyBorder="1" applyAlignment="1">
      <alignment horizontal="right" vertical="center"/>
    </xf>
    <xf numFmtId="199" fontId="109" fillId="0" borderId="0" xfId="2546" applyNumberFormat="1" applyFont="1" applyFill="1" applyAlignment="1">
      <alignment horizontal="center" vertical="center"/>
    </xf>
    <xf numFmtId="197" fontId="87" fillId="0" borderId="36" xfId="2560" applyNumberFormat="1" applyFont="1" applyFill="1" applyBorder="1" applyAlignment="1">
      <alignment horizontal="center" vertical="center"/>
    </xf>
    <xf numFmtId="0" fontId="87" fillId="0" borderId="36" xfId="2560" applyFont="1" applyFill="1" applyBorder="1" applyAlignment="1">
      <alignment horizontal="center" vertical="center"/>
    </xf>
    <xf numFmtId="4" fontId="87" fillId="0" borderId="0" xfId="2560" applyNumberFormat="1" applyFont="1" applyFill="1" applyBorder="1" applyAlignment="1">
      <alignment horizontal="center" vertical="center"/>
    </xf>
    <xf numFmtId="2" fontId="87" fillId="0" borderId="0" xfId="521" applyNumberFormat="1" applyFont="1" applyBorder="1" applyAlignment="1">
      <alignment horizontal="right" vertical="center"/>
    </xf>
    <xf numFmtId="0" fontId="117" fillId="31" borderId="46" xfId="2546" applyFont="1" applyFill="1" applyBorder="1" applyAlignment="1">
      <alignment horizontal="center" vertical="center"/>
    </xf>
    <xf numFmtId="0" fontId="117" fillId="31" borderId="4" xfId="2546" applyFont="1" applyFill="1" applyBorder="1" applyAlignment="1">
      <alignment horizontal="center" vertical="center"/>
    </xf>
    <xf numFmtId="0" fontId="117" fillId="31" borderId="48" xfId="2546" applyFont="1" applyFill="1" applyBorder="1" applyAlignment="1">
      <alignment horizontal="center" vertical="center"/>
    </xf>
    <xf numFmtId="0" fontId="110" fillId="33" borderId="49" xfId="2546" applyFont="1" applyFill="1" applyBorder="1" applyAlignment="1">
      <alignment horizontal="center" vertical="center" wrapText="1"/>
    </xf>
    <xf numFmtId="0" fontId="110" fillId="33" borderId="50" xfId="2546" applyFont="1" applyFill="1" applyBorder="1" applyAlignment="1">
      <alignment horizontal="center" vertical="center" wrapText="1"/>
    </xf>
    <xf numFmtId="0" fontId="127" fillId="0" borderId="17" xfId="2546" applyFont="1" applyFill="1" applyBorder="1" applyAlignment="1">
      <alignment horizontal="center" vertical="center"/>
    </xf>
    <xf numFmtId="0" fontId="127" fillId="0" borderId="4" xfId="2546" applyFont="1" applyFill="1" applyBorder="1" applyAlignment="1">
      <alignment horizontal="center" vertical="center"/>
    </xf>
    <xf numFmtId="0" fontId="127" fillId="0" borderId="16" xfId="2546" applyFont="1" applyFill="1" applyBorder="1" applyAlignment="1">
      <alignment horizontal="center" vertical="center"/>
    </xf>
    <xf numFmtId="0" fontId="127" fillId="34" borderId="17" xfId="2546" applyFont="1" applyFill="1" applyBorder="1" applyAlignment="1">
      <alignment horizontal="center" vertical="center"/>
    </xf>
    <xf numFmtId="0" fontId="127" fillId="34" borderId="4" xfId="2546" applyFont="1" applyFill="1" applyBorder="1" applyAlignment="1">
      <alignment horizontal="center" vertical="center"/>
    </xf>
    <xf numFmtId="0" fontId="127" fillId="34" borderId="16" xfId="2546" applyFont="1" applyFill="1" applyBorder="1" applyAlignment="1">
      <alignment horizontal="center" vertical="center"/>
    </xf>
    <xf numFmtId="10" fontId="127" fillId="31" borderId="17" xfId="2549" applyNumberFormat="1" applyFont="1" applyFill="1" applyBorder="1" applyAlignment="1">
      <alignment horizontal="center" vertical="center"/>
    </xf>
    <xf numFmtId="10" fontId="127" fillId="31" borderId="4" xfId="2549" applyNumberFormat="1" applyFont="1" applyFill="1" applyBorder="1" applyAlignment="1">
      <alignment horizontal="center" vertical="center"/>
    </xf>
    <xf numFmtId="10" fontId="127" fillId="31" borderId="16" xfId="2549" applyNumberFormat="1" applyFont="1" applyFill="1" applyBorder="1" applyAlignment="1">
      <alignment horizontal="center" vertical="center"/>
    </xf>
    <xf numFmtId="0" fontId="110" fillId="33" borderId="17" xfId="2546" applyFont="1" applyFill="1" applyBorder="1" applyAlignment="1">
      <alignment horizontal="center" vertical="center"/>
    </xf>
    <xf numFmtId="0" fontId="110" fillId="33" borderId="4" xfId="2546" applyFont="1" applyFill="1" applyBorder="1" applyAlignment="1">
      <alignment horizontal="center" vertical="center"/>
    </xf>
    <xf numFmtId="0" fontId="110" fillId="33" borderId="16" xfId="2546" applyFont="1" applyFill="1" applyBorder="1" applyAlignment="1">
      <alignment horizontal="center" vertical="center"/>
    </xf>
    <xf numFmtId="0" fontId="110" fillId="37" borderId="17" xfId="2546" applyFont="1" applyFill="1" applyBorder="1" applyAlignment="1">
      <alignment horizontal="center" vertical="center"/>
    </xf>
    <xf numFmtId="0" fontId="110" fillId="37" borderId="4" xfId="2546" applyFont="1" applyFill="1" applyBorder="1" applyAlignment="1">
      <alignment horizontal="center" vertical="center"/>
    </xf>
    <xf numFmtId="0" fontId="110" fillId="33" borderId="4" xfId="2546" applyFont="1" applyFill="1" applyBorder="1" applyAlignment="1">
      <alignment horizontal="center" vertical="center" wrapText="1"/>
    </xf>
    <xf numFmtId="0" fontId="110" fillId="33" borderId="16" xfId="2546" applyFont="1" applyFill="1" applyBorder="1" applyAlignment="1">
      <alignment horizontal="center" vertical="center" wrapText="1"/>
    </xf>
    <xf numFmtId="188" fontId="127" fillId="41" borderId="17" xfId="2546" applyNumberFormat="1" applyFont="1" applyFill="1" applyBorder="1" applyAlignment="1">
      <alignment horizontal="center" vertical="center"/>
    </xf>
    <xf numFmtId="188" fontId="127" fillId="41" borderId="4" xfId="2546" applyNumberFormat="1" applyFont="1" applyFill="1" applyBorder="1" applyAlignment="1">
      <alignment horizontal="center" vertical="center"/>
    </xf>
    <xf numFmtId="188" fontId="127" fillId="41" borderId="16" xfId="2546" applyNumberFormat="1" applyFont="1" applyFill="1" applyBorder="1" applyAlignment="1">
      <alignment horizontal="center" vertical="center"/>
    </xf>
    <xf numFmtId="166" fontId="127" fillId="41" borderId="17" xfId="125" applyFont="1" applyFill="1" applyBorder="1" applyAlignment="1">
      <alignment horizontal="center" vertical="center"/>
    </xf>
    <xf numFmtId="166" fontId="127" fillId="41" borderId="16" xfId="125" applyFont="1" applyFill="1" applyBorder="1" applyAlignment="1">
      <alignment horizontal="center" vertical="center"/>
    </xf>
    <xf numFmtId="4" fontId="126" fillId="41" borderId="17" xfId="2546" applyNumberFormat="1" applyFont="1" applyFill="1" applyBorder="1" applyAlignment="1">
      <alignment horizontal="center" vertical="center"/>
    </xf>
    <xf numFmtId="4" fontId="126" fillId="41" borderId="4" xfId="2546" applyNumberFormat="1" applyFont="1" applyFill="1" applyBorder="1" applyAlignment="1">
      <alignment horizontal="center" vertical="center"/>
    </xf>
    <xf numFmtId="4" fontId="126" fillId="41" borderId="16" xfId="2546" applyNumberFormat="1" applyFont="1" applyFill="1" applyBorder="1" applyAlignment="1">
      <alignment horizontal="center" vertical="center"/>
    </xf>
    <xf numFmtId="186" fontId="143" fillId="46" borderId="76" xfId="2554" applyFont="1" applyFill="1" applyBorder="1" applyAlignment="1">
      <alignment horizontal="left" vertical="center" wrapText="1"/>
    </xf>
    <xf numFmtId="186" fontId="143" fillId="46" borderId="74" xfId="2554" applyFont="1" applyFill="1" applyBorder="1" applyAlignment="1">
      <alignment horizontal="left" vertical="center" wrapText="1"/>
    </xf>
    <xf numFmtId="0" fontId="41" fillId="0" borderId="30" xfId="2560" applyFont="1" applyBorder="1" applyAlignment="1">
      <alignment horizontal="center" vertical="center"/>
    </xf>
    <xf numFmtId="0" fontId="41" fillId="0" borderId="67" xfId="2560" applyFont="1" applyBorder="1" applyAlignment="1">
      <alignment horizontal="center" vertical="center"/>
    </xf>
    <xf numFmtId="196" fontId="41" fillId="0" borderId="67" xfId="2560" applyNumberFormat="1" applyFont="1" applyBorder="1" applyAlignment="1">
      <alignment horizontal="center" vertical="center"/>
    </xf>
    <xf numFmtId="196" fontId="41" fillId="0" borderId="45" xfId="2560" applyNumberFormat="1" applyFont="1" applyBorder="1" applyAlignment="1">
      <alignment horizontal="center" vertical="center"/>
    </xf>
    <xf numFmtId="0" fontId="132" fillId="42" borderId="44" xfId="2560" applyFont="1" applyFill="1" applyBorder="1" applyAlignment="1">
      <alignment horizontal="center" vertical="center"/>
    </xf>
    <xf numFmtId="0" fontId="132" fillId="42" borderId="51" xfId="2560" applyFont="1" applyFill="1" applyBorder="1" applyAlignment="1">
      <alignment horizontal="center" vertical="center"/>
    </xf>
    <xf numFmtId="196" fontId="132" fillId="42" borderId="51" xfId="2560" applyNumberFormat="1" applyFont="1" applyFill="1" applyBorder="1" applyAlignment="1">
      <alignment horizontal="center" vertical="center"/>
    </xf>
    <xf numFmtId="196" fontId="132" fillId="42" borderId="43" xfId="2560" applyNumberFormat="1" applyFont="1" applyFill="1" applyBorder="1" applyAlignment="1">
      <alignment horizontal="center" vertical="center"/>
    </xf>
    <xf numFmtId="0" fontId="130" fillId="40" borderId="69" xfId="2560" applyFont="1" applyFill="1" applyBorder="1" applyAlignment="1">
      <alignment horizontal="center" vertical="center"/>
    </xf>
    <xf numFmtId="0" fontId="130" fillId="40" borderId="31" xfId="2560" applyFont="1" applyFill="1" applyBorder="1" applyAlignment="1">
      <alignment horizontal="center" vertical="center"/>
    </xf>
    <xf numFmtId="0" fontId="130" fillId="40" borderId="70" xfId="2560" applyFont="1" applyFill="1" applyBorder="1" applyAlignment="1">
      <alignment horizontal="center" vertical="center"/>
    </xf>
    <xf numFmtId="3" fontId="41" fillId="0" borderId="67" xfId="2560" applyNumberFormat="1" applyFont="1" applyBorder="1" applyAlignment="1">
      <alignment horizontal="center" vertical="center"/>
    </xf>
    <xf numFmtId="3" fontId="41" fillId="0" borderId="45" xfId="2560" applyNumberFormat="1" applyFont="1" applyBorder="1" applyAlignment="1">
      <alignment horizontal="center" vertical="center"/>
    </xf>
    <xf numFmtId="196" fontId="41" fillId="0" borderId="41" xfId="2560" applyNumberFormat="1" applyFont="1" applyBorder="1" applyAlignment="1">
      <alignment horizontal="center" vertical="center"/>
    </xf>
    <xf numFmtId="196" fontId="41" fillId="0" borderId="55" xfId="2560" applyNumberFormat="1" applyFont="1" applyBorder="1" applyAlignment="1">
      <alignment horizontal="center" vertical="center"/>
    </xf>
    <xf numFmtId="196" fontId="41" fillId="0" borderId="42" xfId="2560" applyNumberFormat="1" applyFont="1" applyBorder="1" applyAlignment="1">
      <alignment horizontal="center" vertical="center"/>
    </xf>
    <xf numFmtId="0" fontId="87" fillId="0" borderId="30" xfId="2560" applyFont="1" applyFill="1" applyBorder="1" applyAlignment="1">
      <alignment horizontal="left" vertical="center"/>
    </xf>
    <xf numFmtId="0" fontId="87" fillId="0" borderId="67" xfId="2560" applyFont="1" applyFill="1" applyBorder="1" applyAlignment="1">
      <alignment horizontal="left" vertical="center"/>
    </xf>
    <xf numFmtId="188" fontId="87" fillId="0" borderId="67" xfId="2560" applyNumberFormat="1" applyFont="1" applyFill="1" applyBorder="1" applyAlignment="1">
      <alignment horizontal="center" vertical="center"/>
    </xf>
    <xf numFmtId="188" fontId="87" fillId="0" borderId="45" xfId="2560" applyNumberFormat="1" applyFont="1" applyFill="1" applyBorder="1" applyAlignment="1">
      <alignment horizontal="center" vertical="center"/>
    </xf>
    <xf numFmtId="0" fontId="87" fillId="0" borderId="44" xfId="2560" applyFont="1" applyFill="1" applyBorder="1" applyAlignment="1">
      <alignment horizontal="left" vertical="center"/>
    </xf>
    <xf numFmtId="0" fontId="87" fillId="0" borderId="51" xfId="2560" applyFont="1" applyFill="1" applyBorder="1" applyAlignment="1">
      <alignment horizontal="left" vertical="center"/>
    </xf>
    <xf numFmtId="4" fontId="87" fillId="0" borderId="51" xfId="2560" applyNumberFormat="1" applyFont="1" applyFill="1" applyBorder="1" applyAlignment="1">
      <alignment horizontal="center" vertical="center"/>
    </xf>
    <xf numFmtId="4" fontId="87" fillId="0" borderId="43" xfId="2560" applyNumberFormat="1" applyFont="1" applyFill="1" applyBorder="1" applyAlignment="1">
      <alignment horizontal="center" vertical="center"/>
    </xf>
    <xf numFmtId="0" fontId="133" fillId="48" borderId="46" xfId="2560" applyFont="1" applyFill="1" applyBorder="1" applyAlignment="1">
      <alignment horizontal="center" vertical="center"/>
    </xf>
    <xf numFmtId="0" fontId="133" fillId="48" borderId="47" xfId="2560" applyFont="1" applyFill="1" applyBorder="1" applyAlignment="1">
      <alignment horizontal="center" vertical="center"/>
    </xf>
    <xf numFmtId="0" fontId="133" fillId="48" borderId="48" xfId="2560" applyFont="1" applyFill="1" applyBorder="1" applyAlignment="1">
      <alignment horizontal="center" vertical="center"/>
    </xf>
    <xf numFmtId="3" fontId="87" fillId="0" borderId="67" xfId="2560" applyNumberFormat="1" applyFont="1" applyFill="1" applyBorder="1" applyAlignment="1">
      <alignment horizontal="center" vertical="center"/>
    </xf>
    <xf numFmtId="3" fontId="87" fillId="0" borderId="45" xfId="2560" applyNumberFormat="1" applyFont="1" applyFill="1" applyBorder="1" applyAlignment="1">
      <alignment horizontal="center" vertical="center"/>
    </xf>
    <xf numFmtId="0" fontId="133" fillId="48" borderId="17" xfId="2560" applyFont="1" applyFill="1" applyBorder="1" applyAlignment="1">
      <alignment horizontal="center" vertical="center"/>
    </xf>
    <xf numFmtId="0" fontId="133" fillId="48" borderId="4" xfId="2560" applyFont="1" applyFill="1" applyBorder="1" applyAlignment="1">
      <alignment horizontal="center" vertical="center"/>
    </xf>
    <xf numFmtId="0" fontId="133" fillId="48" borderId="16" xfId="2560" applyFont="1" applyFill="1" applyBorder="1" applyAlignment="1">
      <alignment horizontal="center" vertical="center"/>
    </xf>
    <xf numFmtId="10" fontId="87" fillId="0" borderId="67" xfId="2560" applyNumberFormat="1" applyFont="1" applyFill="1" applyBorder="1" applyAlignment="1">
      <alignment horizontal="center" vertical="center"/>
    </xf>
    <xf numFmtId="10" fontId="87" fillId="0" borderId="45" xfId="2560" applyNumberFormat="1" applyFont="1" applyFill="1" applyBorder="1" applyAlignment="1">
      <alignment horizontal="center" vertical="center"/>
    </xf>
    <xf numFmtId="191" fontId="87" fillId="0" borderId="67" xfId="2560" applyNumberFormat="1" applyFont="1" applyFill="1" applyBorder="1" applyAlignment="1">
      <alignment horizontal="center" vertical="center"/>
    </xf>
    <xf numFmtId="191" fontId="87" fillId="0" borderId="45" xfId="2560" applyNumberFormat="1" applyFont="1" applyFill="1" applyBorder="1" applyAlignment="1">
      <alignment horizontal="center" vertical="center"/>
    </xf>
    <xf numFmtId="0" fontId="128" fillId="33" borderId="17" xfId="2546" applyFont="1" applyFill="1" applyBorder="1" applyAlignment="1">
      <alignment horizontal="center" vertical="center"/>
    </xf>
    <xf numFmtId="0" fontId="128" fillId="33" borderId="4" xfId="2546" applyFont="1" applyFill="1" applyBorder="1" applyAlignment="1">
      <alignment horizontal="center" vertical="center"/>
    </xf>
    <xf numFmtId="0" fontId="128" fillId="33" borderId="16" xfId="2546" applyFont="1" applyFill="1" applyBorder="1" applyAlignment="1">
      <alignment horizontal="center" vertical="center"/>
    </xf>
    <xf numFmtId="0" fontId="128" fillId="33" borderId="46" xfId="2546" applyFont="1" applyFill="1" applyBorder="1" applyAlignment="1">
      <alignment horizontal="center" vertical="center"/>
    </xf>
    <xf numFmtId="0" fontId="128" fillId="33" borderId="47" xfId="2546" applyFont="1" applyFill="1" applyBorder="1" applyAlignment="1">
      <alignment horizontal="center" vertical="center"/>
    </xf>
    <xf numFmtId="0" fontId="128" fillId="33" borderId="48" xfId="2546" applyFont="1" applyFill="1" applyBorder="1" applyAlignment="1">
      <alignment horizontal="center" vertical="center"/>
    </xf>
    <xf numFmtId="0" fontId="128" fillId="33" borderId="17" xfId="2546" applyFont="1" applyFill="1" applyBorder="1" applyAlignment="1">
      <alignment horizontal="center" vertical="center" wrapText="1"/>
    </xf>
    <xf numFmtId="0" fontId="128" fillId="33" borderId="4" xfId="2546" applyFont="1" applyFill="1" applyBorder="1" applyAlignment="1">
      <alignment horizontal="center" vertical="center" wrapText="1"/>
    </xf>
    <xf numFmtId="0" fontId="128" fillId="33" borderId="16" xfId="2546" applyFont="1" applyFill="1" applyBorder="1" applyAlignment="1">
      <alignment horizontal="center" vertical="center" wrapText="1"/>
    </xf>
    <xf numFmtId="0" fontId="128" fillId="36" borderId="17" xfId="2546" applyFont="1" applyFill="1" applyBorder="1" applyAlignment="1">
      <alignment horizontal="center" vertical="center"/>
    </xf>
    <xf numFmtId="0" fontId="128" fillId="36" borderId="4" xfId="2546" applyFont="1" applyFill="1" applyBorder="1" applyAlignment="1">
      <alignment horizontal="center" vertical="center"/>
    </xf>
    <xf numFmtId="0" fontId="128" fillId="36" borderId="16" xfId="2546" applyFont="1" applyFill="1" applyBorder="1" applyAlignment="1">
      <alignment horizontal="center" vertical="center"/>
    </xf>
    <xf numFmtId="0" fontId="108" fillId="31" borderId="46" xfId="2546" applyFont="1" applyFill="1" applyBorder="1" applyAlignment="1">
      <alignment horizontal="center" vertical="center"/>
    </xf>
    <xf numFmtId="0" fontId="108" fillId="31" borderId="4" xfId="2546" applyFont="1" applyFill="1" applyBorder="1" applyAlignment="1">
      <alignment horizontal="center" vertical="center"/>
    </xf>
    <xf numFmtId="0" fontId="108" fillId="31" borderId="48" xfId="2546" applyFont="1" applyFill="1" applyBorder="1" applyAlignment="1">
      <alignment horizontal="center" vertical="center"/>
    </xf>
    <xf numFmtId="0" fontId="128" fillId="35" borderId="46" xfId="2546" applyFont="1" applyFill="1" applyBorder="1" applyAlignment="1">
      <alignment horizontal="center" vertical="center"/>
    </xf>
    <xf numFmtId="0" fontId="128" fillId="35" borderId="50" xfId="2546" applyFont="1" applyFill="1" applyBorder="1" applyAlignment="1">
      <alignment horizontal="center" vertical="center"/>
    </xf>
    <xf numFmtId="0" fontId="128" fillId="35" borderId="49" xfId="2546" applyFont="1" applyFill="1" applyBorder="1" applyAlignment="1">
      <alignment horizontal="center" vertical="center"/>
    </xf>
    <xf numFmtId="0" fontId="128" fillId="35" borderId="48" xfId="2546" applyFont="1" applyFill="1" applyBorder="1" applyAlignment="1">
      <alignment horizontal="center" vertical="center"/>
    </xf>
    <xf numFmtId="0" fontId="128" fillId="37" borderId="17" xfId="2546" applyFont="1" applyFill="1" applyBorder="1" applyAlignment="1">
      <alignment horizontal="center" vertical="center"/>
    </xf>
    <xf numFmtId="0" fontId="128" fillId="37" borderId="4" xfId="2546" applyFont="1" applyFill="1" applyBorder="1" applyAlignment="1">
      <alignment horizontal="center" vertical="center"/>
    </xf>
    <xf numFmtId="0" fontId="128" fillId="37" borderId="16" xfId="2546" applyFont="1" applyFill="1" applyBorder="1" applyAlignment="1">
      <alignment horizontal="center" vertical="center"/>
    </xf>
    <xf numFmtId="0" fontId="128" fillId="33" borderId="50" xfId="2546" applyFont="1" applyFill="1" applyBorder="1" applyAlignment="1">
      <alignment horizontal="center" vertical="center" wrapText="1"/>
    </xf>
    <xf numFmtId="0" fontId="139" fillId="46" borderId="76" xfId="0" applyFont="1" applyFill="1" applyBorder="1" applyAlignment="1">
      <alignment horizontal="left" vertical="top" wrapText="1"/>
    </xf>
    <xf numFmtId="0" fontId="139" fillId="46" borderId="74" xfId="0" applyFont="1" applyFill="1" applyBorder="1" applyAlignment="1">
      <alignment horizontal="left" vertical="top" wrapText="1"/>
    </xf>
    <xf numFmtId="3" fontId="148" fillId="50" borderId="0" xfId="2562" applyNumberFormat="1" applyFont="1" applyFill="1" applyAlignment="1">
      <alignment horizontal="center"/>
    </xf>
    <xf numFmtId="0" fontId="126" fillId="0" borderId="77" xfId="2562" applyFont="1" applyBorder="1" applyAlignment="1">
      <alignment horizontal="center"/>
    </xf>
    <xf numFmtId="0" fontId="126" fillId="0" borderId="0" xfId="2562" applyFont="1" applyBorder="1" applyAlignment="1">
      <alignment horizontal="center"/>
    </xf>
    <xf numFmtId="3" fontId="151" fillId="50" borderId="78" xfId="2564" applyNumberFormat="1" applyFont="1" applyFill="1" applyBorder="1" applyAlignment="1">
      <alignment horizontal="center" vertical="center"/>
    </xf>
    <xf numFmtId="3" fontId="151" fillId="50" borderId="39" xfId="2564" applyNumberFormat="1" applyFont="1" applyFill="1" applyBorder="1" applyAlignment="1">
      <alignment horizontal="center" vertical="center"/>
    </xf>
    <xf numFmtId="3" fontId="151" fillId="50" borderId="79" xfId="2564" applyNumberFormat="1" applyFont="1" applyFill="1" applyBorder="1" applyAlignment="1">
      <alignment horizontal="center" vertical="center"/>
    </xf>
    <xf numFmtId="4" fontId="151" fillId="50" borderId="78" xfId="2564" applyNumberFormat="1" applyFont="1" applyFill="1" applyBorder="1" applyAlignment="1">
      <alignment horizontal="center" vertical="center"/>
    </xf>
    <xf numFmtId="4" fontId="151" fillId="50" borderId="39" xfId="2564" applyNumberFormat="1" applyFont="1" applyFill="1" applyBorder="1" applyAlignment="1">
      <alignment horizontal="center" vertical="center"/>
    </xf>
    <xf numFmtId="4" fontId="151" fillId="50" borderId="80" xfId="2564" applyNumberFormat="1" applyFont="1" applyFill="1" applyBorder="1" applyAlignment="1">
      <alignment horizontal="center" vertical="center"/>
    </xf>
    <xf numFmtId="0" fontId="151" fillId="50" borderId="78" xfId="2562" applyFont="1" applyFill="1" applyBorder="1" applyAlignment="1">
      <alignment horizontal="center" vertical="center"/>
    </xf>
    <xf numFmtId="0" fontId="151" fillId="50" borderId="39" xfId="2562" applyFont="1" applyFill="1" applyBorder="1" applyAlignment="1">
      <alignment horizontal="center" vertical="center"/>
    </xf>
    <xf numFmtId="0" fontId="151" fillId="50" borderId="80" xfId="2562" applyFont="1" applyFill="1" applyBorder="1" applyAlignment="1">
      <alignment horizontal="center" vertical="center"/>
    </xf>
    <xf numFmtId="0" fontId="151" fillId="50" borderId="23" xfId="2562" applyFont="1" applyFill="1" applyBorder="1" applyAlignment="1">
      <alignment horizontal="center" vertical="center"/>
    </xf>
  </cellXfs>
  <cellStyles count="2565">
    <cellStyle name="0000" xfId="1" xr:uid="{00000000-0005-0000-0000-000000000000}"/>
    <cellStyle name="0000 2" xfId="308" xr:uid="{00000000-0005-0000-0000-000001000000}"/>
    <cellStyle name="0000 2 2" xfId="854" xr:uid="{00000000-0005-0000-0000-000002000000}"/>
    <cellStyle name="0000 2 2 2" xfId="1954" xr:uid="{00000000-0005-0000-0000-000003000000}"/>
    <cellStyle name="0000 2 3" xfId="1255" xr:uid="{00000000-0005-0000-0000-000004000000}"/>
    <cellStyle name="0000 2 3 2" xfId="2259" xr:uid="{00000000-0005-0000-0000-000005000000}"/>
    <cellStyle name="0000 2 4" xfId="1639" xr:uid="{00000000-0005-0000-0000-000006000000}"/>
    <cellStyle name="0000 3" xfId="751" xr:uid="{00000000-0005-0000-0000-000007000000}"/>
    <cellStyle name="0000 3 2" xfId="1858" xr:uid="{00000000-0005-0000-0000-000008000000}"/>
    <cellStyle name="0000 4" xfId="1112" xr:uid="{00000000-0005-0000-0000-000009000000}"/>
    <cellStyle name="0000 4 2" xfId="2152" xr:uid="{00000000-0005-0000-0000-00000A000000}"/>
    <cellStyle name="0000 5" xfId="1552" xr:uid="{00000000-0005-0000-0000-00000B000000}"/>
    <cellStyle name="000000" xfId="2" xr:uid="{00000000-0005-0000-0000-00000C000000}"/>
    <cellStyle name="000000 2" xfId="309" xr:uid="{00000000-0005-0000-0000-00000D000000}"/>
    <cellStyle name="20% - Accent1" xfId="3" xr:uid="{00000000-0005-0000-0000-00000E000000}"/>
    <cellStyle name="20% - Accent1 2" xfId="190" xr:uid="{00000000-0005-0000-0000-00000F000000}"/>
    <cellStyle name="20% - Accent2" xfId="4" xr:uid="{00000000-0005-0000-0000-000010000000}"/>
    <cellStyle name="20% - Accent2 2" xfId="191" xr:uid="{00000000-0005-0000-0000-000011000000}"/>
    <cellStyle name="20% - Accent3" xfId="5" xr:uid="{00000000-0005-0000-0000-000012000000}"/>
    <cellStyle name="20% - Accent3 2" xfId="192" xr:uid="{00000000-0005-0000-0000-000013000000}"/>
    <cellStyle name="20% - Accent4" xfId="6" xr:uid="{00000000-0005-0000-0000-000014000000}"/>
    <cellStyle name="20% - Accent4 2" xfId="193" xr:uid="{00000000-0005-0000-0000-000015000000}"/>
    <cellStyle name="20% - Accent5" xfId="7" xr:uid="{00000000-0005-0000-0000-000016000000}"/>
    <cellStyle name="20% - Accent5 2" xfId="194" xr:uid="{00000000-0005-0000-0000-000017000000}"/>
    <cellStyle name="20% - Accent6" xfId="8" xr:uid="{00000000-0005-0000-0000-000018000000}"/>
    <cellStyle name="20% - Accent6 2" xfId="195" xr:uid="{00000000-0005-0000-0000-000019000000}"/>
    <cellStyle name="20% - Ênfase1" xfId="9" builtinId="30" customBuiltin="1"/>
    <cellStyle name="20% - Ênfase1 2" xfId="196" xr:uid="{00000000-0005-0000-0000-00001B000000}"/>
    <cellStyle name="20% - Ênfase1 3" xfId="1113" xr:uid="{00000000-0005-0000-0000-00001C000000}"/>
    <cellStyle name="20% - Ênfase2" xfId="10" builtinId="34" customBuiltin="1"/>
    <cellStyle name="20% - Ênfase2 2" xfId="197" xr:uid="{00000000-0005-0000-0000-00001E000000}"/>
    <cellStyle name="20% - Ênfase2 3" xfId="1114" xr:uid="{00000000-0005-0000-0000-00001F000000}"/>
    <cellStyle name="20% - Ênfase3" xfId="11" builtinId="38" customBuiltin="1"/>
    <cellStyle name="20% - Ênfase3 2" xfId="198" xr:uid="{00000000-0005-0000-0000-000021000000}"/>
    <cellStyle name="20% - Ênfase3 3" xfId="1115" xr:uid="{00000000-0005-0000-0000-000022000000}"/>
    <cellStyle name="20% - Ênfase4" xfId="12" builtinId="42" customBuiltin="1"/>
    <cellStyle name="20% - Ênfase4 2" xfId="199" xr:uid="{00000000-0005-0000-0000-000024000000}"/>
    <cellStyle name="20% - Ênfase4 3" xfId="1116" xr:uid="{00000000-0005-0000-0000-000025000000}"/>
    <cellStyle name="20% - Ênfase5" xfId="13" builtinId="46" customBuiltin="1"/>
    <cellStyle name="20% - Ênfase5 2" xfId="200" xr:uid="{00000000-0005-0000-0000-000027000000}"/>
    <cellStyle name="20% - Ênfase5 3" xfId="1117" xr:uid="{00000000-0005-0000-0000-000028000000}"/>
    <cellStyle name="20% - Ênfase6" xfId="14" builtinId="50" customBuiltin="1"/>
    <cellStyle name="20% - Ênfase6 2" xfId="201" xr:uid="{00000000-0005-0000-0000-00002A000000}"/>
    <cellStyle name="20% - Ênfase6 3" xfId="1118" xr:uid="{00000000-0005-0000-0000-00002B000000}"/>
    <cellStyle name="40% - Accent1" xfId="15" xr:uid="{00000000-0005-0000-0000-00002C000000}"/>
    <cellStyle name="40% - Accent1 2" xfId="202" xr:uid="{00000000-0005-0000-0000-00002D000000}"/>
    <cellStyle name="40% - Accent2" xfId="16" xr:uid="{00000000-0005-0000-0000-00002E000000}"/>
    <cellStyle name="40% - Accent2 2" xfId="203" xr:uid="{00000000-0005-0000-0000-00002F000000}"/>
    <cellStyle name="40% - Accent3" xfId="17" xr:uid="{00000000-0005-0000-0000-000030000000}"/>
    <cellStyle name="40% - Accent3 2" xfId="204" xr:uid="{00000000-0005-0000-0000-000031000000}"/>
    <cellStyle name="40% - Accent4" xfId="18" xr:uid="{00000000-0005-0000-0000-000032000000}"/>
    <cellStyle name="40% - Accent4 2" xfId="205" xr:uid="{00000000-0005-0000-0000-000033000000}"/>
    <cellStyle name="40% - Accent5" xfId="19" xr:uid="{00000000-0005-0000-0000-000034000000}"/>
    <cellStyle name="40% - Accent5 2" xfId="206" xr:uid="{00000000-0005-0000-0000-000035000000}"/>
    <cellStyle name="40% - Accent6" xfId="20" xr:uid="{00000000-0005-0000-0000-000036000000}"/>
    <cellStyle name="40% - Accent6 2" xfId="207" xr:uid="{00000000-0005-0000-0000-000037000000}"/>
    <cellStyle name="40% - Ênfase1" xfId="21" builtinId="31" customBuiltin="1"/>
    <cellStyle name="40% - Ênfase1 2" xfId="208" xr:uid="{00000000-0005-0000-0000-000039000000}"/>
    <cellStyle name="40% - Ênfase1 3" xfId="1119" xr:uid="{00000000-0005-0000-0000-00003A000000}"/>
    <cellStyle name="40% - Ênfase2" xfId="22" builtinId="35" customBuiltin="1"/>
    <cellStyle name="40% - Ênfase2 2" xfId="209" xr:uid="{00000000-0005-0000-0000-00003C000000}"/>
    <cellStyle name="40% - Ênfase2 3" xfId="1120" xr:uid="{00000000-0005-0000-0000-00003D000000}"/>
    <cellStyle name="40% - Ênfase3" xfId="23" builtinId="39" customBuiltin="1"/>
    <cellStyle name="40% - Ênfase3 2" xfId="210" xr:uid="{00000000-0005-0000-0000-00003F000000}"/>
    <cellStyle name="40% - Ênfase3 3" xfId="1121" xr:uid="{00000000-0005-0000-0000-000040000000}"/>
    <cellStyle name="40% - Ênfase4" xfId="24" builtinId="43" customBuiltin="1"/>
    <cellStyle name="40% - Ênfase4 2" xfId="211" xr:uid="{00000000-0005-0000-0000-000042000000}"/>
    <cellStyle name="40% - Ênfase4 3" xfId="1122" xr:uid="{00000000-0005-0000-0000-000043000000}"/>
    <cellStyle name="40% - Ênfase5" xfId="25" builtinId="47" customBuiltin="1"/>
    <cellStyle name="40% - Ênfase5 2" xfId="212" xr:uid="{00000000-0005-0000-0000-000045000000}"/>
    <cellStyle name="40% - Ênfase5 3" xfId="1123" xr:uid="{00000000-0005-0000-0000-000046000000}"/>
    <cellStyle name="40% - Ênfase6" xfId="26" builtinId="51" customBuiltin="1"/>
    <cellStyle name="40% - Ênfase6 2" xfId="213" xr:uid="{00000000-0005-0000-0000-000048000000}"/>
    <cellStyle name="40% - Ênfase6 3" xfId="1124" xr:uid="{00000000-0005-0000-0000-000049000000}"/>
    <cellStyle name="60% - Accent1" xfId="27" xr:uid="{00000000-0005-0000-0000-00004A000000}"/>
    <cellStyle name="60% - Accent2" xfId="28" xr:uid="{00000000-0005-0000-0000-00004B000000}"/>
    <cellStyle name="60% - Accent3" xfId="29" xr:uid="{00000000-0005-0000-0000-00004C000000}"/>
    <cellStyle name="60% - Accent4" xfId="30" xr:uid="{00000000-0005-0000-0000-00004D000000}"/>
    <cellStyle name="60% - Accent5" xfId="31" xr:uid="{00000000-0005-0000-0000-00004E000000}"/>
    <cellStyle name="60% - Accent6" xfId="32" xr:uid="{00000000-0005-0000-0000-00004F000000}"/>
    <cellStyle name="60% - Ênfase1" xfId="33" builtinId="32" customBuiltin="1"/>
    <cellStyle name="60% - Ênfase1 2" xfId="214" xr:uid="{00000000-0005-0000-0000-000051000000}"/>
    <cellStyle name="60% - Ênfase1 3" xfId="1125" xr:uid="{00000000-0005-0000-0000-000052000000}"/>
    <cellStyle name="60% - Ênfase2" xfId="34" builtinId="36" customBuiltin="1"/>
    <cellStyle name="60% - Ênfase2 2" xfId="215" xr:uid="{00000000-0005-0000-0000-000054000000}"/>
    <cellStyle name="60% - Ênfase2 3" xfId="1126" xr:uid="{00000000-0005-0000-0000-000055000000}"/>
    <cellStyle name="60% - Ênfase3" xfId="35" builtinId="40" customBuiltin="1"/>
    <cellStyle name="60% - Ênfase3 2" xfId="216" xr:uid="{00000000-0005-0000-0000-000057000000}"/>
    <cellStyle name="60% - Ênfase3 3" xfId="1127" xr:uid="{00000000-0005-0000-0000-000058000000}"/>
    <cellStyle name="60% - Ênfase4" xfId="36" builtinId="44" customBuiltin="1"/>
    <cellStyle name="60% - Ênfase4 2" xfId="217" xr:uid="{00000000-0005-0000-0000-00005A000000}"/>
    <cellStyle name="60% - Ênfase4 3" xfId="1128" xr:uid="{00000000-0005-0000-0000-00005B000000}"/>
    <cellStyle name="60% - Ênfase5" xfId="37" builtinId="48" customBuiltin="1"/>
    <cellStyle name="60% - Ênfase5 2" xfId="218" xr:uid="{00000000-0005-0000-0000-00005D000000}"/>
    <cellStyle name="60% - Ênfase5 3" xfId="1129" xr:uid="{00000000-0005-0000-0000-00005E000000}"/>
    <cellStyle name="60% - Ênfase6" xfId="38" builtinId="52" customBuiltin="1"/>
    <cellStyle name="60% - Ênfase6 2" xfId="219" xr:uid="{00000000-0005-0000-0000-000060000000}"/>
    <cellStyle name="60% - Ênfase6 3" xfId="1130" xr:uid="{00000000-0005-0000-0000-000061000000}"/>
    <cellStyle name="Accent1" xfId="39" xr:uid="{00000000-0005-0000-0000-000062000000}"/>
    <cellStyle name="Accent2" xfId="40" xr:uid="{00000000-0005-0000-0000-000063000000}"/>
    <cellStyle name="Accent3" xfId="41" xr:uid="{00000000-0005-0000-0000-000064000000}"/>
    <cellStyle name="Accent4" xfId="42" xr:uid="{00000000-0005-0000-0000-000065000000}"/>
    <cellStyle name="Accent5" xfId="43" xr:uid="{00000000-0005-0000-0000-000066000000}"/>
    <cellStyle name="Accent6" xfId="44" xr:uid="{00000000-0005-0000-0000-000067000000}"/>
    <cellStyle name="Bad" xfId="45" xr:uid="{00000000-0005-0000-0000-000068000000}"/>
    <cellStyle name="blank" xfId="46" xr:uid="{00000000-0005-0000-0000-000069000000}"/>
    <cellStyle name="blank 2" xfId="986" xr:uid="{00000000-0005-0000-0000-00006A000000}"/>
    <cellStyle name="Bom" xfId="47" builtinId="26" customBuiltin="1"/>
    <cellStyle name="Bom 2" xfId="220" xr:uid="{00000000-0005-0000-0000-00006C000000}"/>
    <cellStyle name="Bom 3" xfId="1131" xr:uid="{00000000-0005-0000-0000-00006D000000}"/>
    <cellStyle name="Calculation" xfId="48" xr:uid="{00000000-0005-0000-0000-00006E000000}"/>
    <cellStyle name="Calculation 2" xfId="1132" xr:uid="{00000000-0005-0000-0000-00006F000000}"/>
    <cellStyle name="Calculation 2 2" xfId="2153" xr:uid="{00000000-0005-0000-0000-000070000000}"/>
    <cellStyle name="Calculation 3" xfId="1553" xr:uid="{00000000-0005-0000-0000-000071000000}"/>
    <cellStyle name="Cálculo" xfId="49" builtinId="22" customBuiltin="1"/>
    <cellStyle name="Cálculo 2" xfId="221" xr:uid="{00000000-0005-0000-0000-000073000000}"/>
    <cellStyle name="Cálculo 2 2" xfId="1205" xr:uid="{00000000-0005-0000-0000-000074000000}"/>
    <cellStyle name="Cálculo 2 2 2" xfId="2209" xr:uid="{00000000-0005-0000-0000-000075000000}"/>
    <cellStyle name="Cálculo 2 3" xfId="1591" xr:uid="{00000000-0005-0000-0000-000076000000}"/>
    <cellStyle name="Cálculo 3" xfId="1133" xr:uid="{00000000-0005-0000-0000-000077000000}"/>
    <cellStyle name="Cálculo 3 2" xfId="2154" xr:uid="{00000000-0005-0000-0000-000078000000}"/>
    <cellStyle name="Cálculo 4" xfId="1554" xr:uid="{00000000-0005-0000-0000-000079000000}"/>
    <cellStyle name="Cancel 3" xfId="310" xr:uid="{00000000-0005-0000-0000-00007A000000}"/>
    <cellStyle name="Célula de Verificação" xfId="50" builtinId="23" customBuiltin="1"/>
    <cellStyle name="Célula de Verificação 2" xfId="222" xr:uid="{00000000-0005-0000-0000-00007C000000}"/>
    <cellStyle name="Célula de Verificação 3" xfId="1134" xr:uid="{00000000-0005-0000-0000-00007D000000}"/>
    <cellStyle name="Célula Vinculada" xfId="51" builtinId="24" customBuiltin="1"/>
    <cellStyle name="Célula Vinculada 2" xfId="223" xr:uid="{00000000-0005-0000-0000-00007F000000}"/>
    <cellStyle name="Célula Vinculada 3" xfId="1135" xr:uid="{00000000-0005-0000-0000-000080000000}"/>
    <cellStyle name="Check Cell" xfId="52" xr:uid="{00000000-0005-0000-0000-000081000000}"/>
    <cellStyle name="Comma  - Style1" xfId="311" xr:uid="{00000000-0005-0000-0000-000082000000}"/>
    <cellStyle name="Comma  - Style2" xfId="312" xr:uid="{00000000-0005-0000-0000-000083000000}"/>
    <cellStyle name="Comma  - Style3" xfId="313" xr:uid="{00000000-0005-0000-0000-000084000000}"/>
    <cellStyle name="Comma  - Style4" xfId="314" xr:uid="{00000000-0005-0000-0000-000085000000}"/>
    <cellStyle name="Comma  - Style5" xfId="315" xr:uid="{00000000-0005-0000-0000-000086000000}"/>
    <cellStyle name="Comma  - Style6" xfId="316" xr:uid="{00000000-0005-0000-0000-000087000000}"/>
    <cellStyle name="Comma  - Style6 2" xfId="935" xr:uid="{00000000-0005-0000-0000-000088000000}"/>
    <cellStyle name="Comma  - Style6 2 2" xfId="2011" xr:uid="{00000000-0005-0000-0000-000089000000}"/>
    <cellStyle name="Comma  - Style6 3" xfId="1256" xr:uid="{00000000-0005-0000-0000-00008A000000}"/>
    <cellStyle name="Comma  - Style6 3 2" xfId="2260" xr:uid="{00000000-0005-0000-0000-00008B000000}"/>
    <cellStyle name="Comma  - Style7" xfId="317" xr:uid="{00000000-0005-0000-0000-00008C000000}"/>
    <cellStyle name="Comma  - Style8" xfId="318" xr:uid="{00000000-0005-0000-0000-00008D000000}"/>
    <cellStyle name="Currency 0" xfId="53" xr:uid="{00000000-0005-0000-0000-00008E000000}"/>
    <cellStyle name="Date" xfId="319" xr:uid="{00000000-0005-0000-0000-00008F000000}"/>
    <cellStyle name="Ênfase1" xfId="54" builtinId="29" customBuiltin="1"/>
    <cellStyle name="Ênfase1 2" xfId="224" xr:uid="{00000000-0005-0000-0000-000091000000}"/>
    <cellStyle name="Ênfase1 3" xfId="1136" xr:uid="{00000000-0005-0000-0000-000092000000}"/>
    <cellStyle name="Ênfase2" xfId="55" builtinId="33" customBuiltin="1"/>
    <cellStyle name="Ênfase2 2" xfId="225" xr:uid="{00000000-0005-0000-0000-000094000000}"/>
    <cellStyle name="Ênfase2 3" xfId="1137" xr:uid="{00000000-0005-0000-0000-000095000000}"/>
    <cellStyle name="Ênfase3" xfId="56" builtinId="37" customBuiltin="1"/>
    <cellStyle name="Ênfase3 2" xfId="226" xr:uid="{00000000-0005-0000-0000-000097000000}"/>
    <cellStyle name="Ênfase3 3" xfId="1138" xr:uid="{00000000-0005-0000-0000-000098000000}"/>
    <cellStyle name="Ênfase4" xfId="57" builtinId="41" customBuiltin="1"/>
    <cellStyle name="Ênfase4 2" xfId="227" xr:uid="{00000000-0005-0000-0000-00009A000000}"/>
    <cellStyle name="Ênfase4 3" xfId="1139" xr:uid="{00000000-0005-0000-0000-00009B000000}"/>
    <cellStyle name="Ênfase5" xfId="58" builtinId="45" customBuiltin="1"/>
    <cellStyle name="Ênfase5 2" xfId="228" xr:uid="{00000000-0005-0000-0000-00009D000000}"/>
    <cellStyle name="Ênfase5 3" xfId="1140" xr:uid="{00000000-0005-0000-0000-00009E000000}"/>
    <cellStyle name="Ênfase6" xfId="59" builtinId="49" customBuiltin="1"/>
    <cellStyle name="Ênfase6 2" xfId="229" xr:uid="{00000000-0005-0000-0000-0000A0000000}"/>
    <cellStyle name="Ênfase6 3" xfId="1141" xr:uid="{00000000-0005-0000-0000-0000A1000000}"/>
    <cellStyle name="Entrada" xfId="60" builtinId="20" customBuiltin="1"/>
    <cellStyle name="Entrada 2" xfId="230" xr:uid="{00000000-0005-0000-0000-0000A3000000}"/>
    <cellStyle name="Entrada 2 2" xfId="1206" xr:uid="{00000000-0005-0000-0000-0000A4000000}"/>
    <cellStyle name="Entrada 2 2 2" xfId="2210" xr:uid="{00000000-0005-0000-0000-0000A5000000}"/>
    <cellStyle name="Entrada 2 3" xfId="1592" xr:uid="{00000000-0005-0000-0000-0000A6000000}"/>
    <cellStyle name="Entrada 3" xfId="1142" xr:uid="{00000000-0005-0000-0000-0000A7000000}"/>
    <cellStyle name="Entrada 3 2" xfId="2155" xr:uid="{00000000-0005-0000-0000-0000A8000000}"/>
    <cellStyle name="Entrada 4" xfId="1555" xr:uid="{00000000-0005-0000-0000-0000A9000000}"/>
    <cellStyle name="Estilo 1" xfId="61" xr:uid="{00000000-0005-0000-0000-0000AA000000}"/>
    <cellStyle name="Estilo 2" xfId="320" xr:uid="{00000000-0005-0000-0000-0000AB000000}"/>
    <cellStyle name="Estilo 2 2" xfId="855" xr:uid="{00000000-0005-0000-0000-0000AC000000}"/>
    <cellStyle name="Estilo 2 2 2" xfId="1955" xr:uid="{00000000-0005-0000-0000-0000AD000000}"/>
    <cellStyle name="Estilo 2 3" xfId="1257" xr:uid="{00000000-0005-0000-0000-0000AE000000}"/>
    <cellStyle name="Estilo 2 3 2" xfId="2261" xr:uid="{00000000-0005-0000-0000-0000AF000000}"/>
    <cellStyle name="Estilo 2 4" xfId="1640" xr:uid="{00000000-0005-0000-0000-0000B0000000}"/>
    <cellStyle name="Estilo 3" xfId="321" xr:uid="{00000000-0005-0000-0000-0000B1000000}"/>
    <cellStyle name="Estilo 3 2" xfId="856" xr:uid="{00000000-0005-0000-0000-0000B2000000}"/>
    <cellStyle name="Estilo 3 2 2" xfId="1956" xr:uid="{00000000-0005-0000-0000-0000B3000000}"/>
    <cellStyle name="Estilo 3 3" xfId="1258" xr:uid="{00000000-0005-0000-0000-0000B4000000}"/>
    <cellStyle name="Estilo 3 3 2" xfId="2262" xr:uid="{00000000-0005-0000-0000-0000B5000000}"/>
    <cellStyle name="Estilo 3 4" xfId="1641" xr:uid="{00000000-0005-0000-0000-0000B6000000}"/>
    <cellStyle name="Euro" xfId="62" xr:uid="{00000000-0005-0000-0000-0000B7000000}"/>
    <cellStyle name="Euro 2" xfId="322" xr:uid="{00000000-0005-0000-0000-0000B8000000}"/>
    <cellStyle name="Euro 2 2" xfId="857" xr:uid="{00000000-0005-0000-0000-0000B9000000}"/>
    <cellStyle name="Explanatory Text" xfId="63" xr:uid="{00000000-0005-0000-0000-0000BA000000}"/>
    <cellStyle name="Fixed" xfId="323" xr:uid="{00000000-0005-0000-0000-0000BB000000}"/>
    <cellStyle name="Followed Hyperlink" xfId="64" xr:uid="{00000000-0005-0000-0000-0000BC000000}"/>
    <cellStyle name="Good" xfId="65" xr:uid="{00000000-0005-0000-0000-0000BD000000}"/>
    <cellStyle name="Grey" xfId="66" xr:uid="{00000000-0005-0000-0000-0000BE000000}"/>
    <cellStyle name="Header" xfId="67" xr:uid="{00000000-0005-0000-0000-0000BF000000}"/>
    <cellStyle name="Header 2" xfId="324" xr:uid="{00000000-0005-0000-0000-0000C0000000}"/>
    <cellStyle name="Header 2 2" xfId="858" xr:uid="{00000000-0005-0000-0000-0000C1000000}"/>
    <cellStyle name="Header 2 2 2" xfId="1957" xr:uid="{00000000-0005-0000-0000-0000C2000000}"/>
    <cellStyle name="Header 2 3" xfId="1259" xr:uid="{00000000-0005-0000-0000-0000C3000000}"/>
    <cellStyle name="Header 2 3 2" xfId="2263" xr:uid="{00000000-0005-0000-0000-0000C4000000}"/>
    <cellStyle name="Header 2 4" xfId="1642" xr:uid="{00000000-0005-0000-0000-0000C5000000}"/>
    <cellStyle name="Header 3" xfId="752" xr:uid="{00000000-0005-0000-0000-0000C6000000}"/>
    <cellStyle name="Header 3 2" xfId="1859" xr:uid="{00000000-0005-0000-0000-0000C7000000}"/>
    <cellStyle name="Header 4" xfId="1143" xr:uid="{00000000-0005-0000-0000-0000C8000000}"/>
    <cellStyle name="Header 4 2" xfId="2156" xr:uid="{00000000-0005-0000-0000-0000C9000000}"/>
    <cellStyle name="Header 5" xfId="1556" xr:uid="{00000000-0005-0000-0000-0000CA000000}"/>
    <cellStyle name="Header1" xfId="68" xr:uid="{00000000-0005-0000-0000-0000CB000000}"/>
    <cellStyle name="Header2" xfId="69" xr:uid="{00000000-0005-0000-0000-0000CC000000}"/>
    <cellStyle name="Header2 2" xfId="1144" xr:uid="{00000000-0005-0000-0000-0000CD000000}"/>
    <cellStyle name="Header2 2 2" xfId="2157" xr:uid="{00000000-0005-0000-0000-0000CE000000}"/>
    <cellStyle name="Header2 3" xfId="1557" xr:uid="{00000000-0005-0000-0000-0000CF000000}"/>
    <cellStyle name="Heading 1" xfId="70" xr:uid="{00000000-0005-0000-0000-0000D0000000}"/>
    <cellStyle name="Heading 2" xfId="71" xr:uid="{00000000-0005-0000-0000-0000D1000000}"/>
    <cellStyle name="Heading 3" xfId="72" xr:uid="{00000000-0005-0000-0000-0000D2000000}"/>
    <cellStyle name="Heading 3 2" xfId="753" xr:uid="{00000000-0005-0000-0000-0000D3000000}"/>
    <cellStyle name="Heading 3 2 2" xfId="1860" xr:uid="{00000000-0005-0000-0000-0000D4000000}"/>
    <cellStyle name="Heading 3 3" xfId="1558" xr:uid="{00000000-0005-0000-0000-0000D5000000}"/>
    <cellStyle name="Heading 4" xfId="73" xr:uid="{00000000-0005-0000-0000-0000D6000000}"/>
    <cellStyle name="Heading1" xfId="325" xr:uid="{00000000-0005-0000-0000-0000D7000000}"/>
    <cellStyle name="Heading2" xfId="326" xr:uid="{00000000-0005-0000-0000-0000D8000000}"/>
    <cellStyle name="Hiperlink 2" xfId="327" xr:uid="{00000000-0005-0000-0000-0000DA000000}"/>
    <cellStyle name="Hipervínculo" xfId="328" xr:uid="{00000000-0005-0000-0000-0000DB000000}"/>
    <cellStyle name="Hipervínculo visitado" xfId="329" xr:uid="{00000000-0005-0000-0000-0000DC000000}"/>
    <cellStyle name="Hyperlink 2" xfId="231" xr:uid="{00000000-0005-0000-0000-0000DD000000}"/>
    <cellStyle name="Hyperlink 2 2" xfId="330" xr:uid="{00000000-0005-0000-0000-0000DE000000}"/>
    <cellStyle name="Hyperlink 2_WPTET-Balanços-Dezembro-2011-Final" xfId="331" xr:uid="{00000000-0005-0000-0000-0000DF000000}"/>
    <cellStyle name="Hyperlink 3" xfId="232" xr:uid="{00000000-0005-0000-0000-0000E0000000}"/>
    <cellStyle name="Hyperlink 4" xfId="332" xr:uid="{00000000-0005-0000-0000-0000E1000000}"/>
    <cellStyle name="Hyperlink 5" xfId="523" xr:uid="{00000000-0005-0000-0000-0000E2000000}"/>
    <cellStyle name="Hyperlink 5 2" xfId="936" xr:uid="{00000000-0005-0000-0000-0000E3000000}"/>
    <cellStyle name="Hyperlink 6" xfId="640" xr:uid="{00000000-0005-0000-0000-0000E4000000}"/>
    <cellStyle name="Hyperlink 6 2" xfId="937" xr:uid="{00000000-0005-0000-0000-0000E5000000}"/>
    <cellStyle name="Hyperlink 7" xfId="641" xr:uid="{00000000-0005-0000-0000-0000E6000000}"/>
    <cellStyle name="Incorreto 2" xfId="233" xr:uid="{00000000-0005-0000-0000-0000E8000000}"/>
    <cellStyle name="Incorreto 3" xfId="1145" xr:uid="{00000000-0005-0000-0000-0000E9000000}"/>
    <cellStyle name="Input" xfId="75" xr:uid="{00000000-0005-0000-0000-0000EA000000}"/>
    <cellStyle name="Input [yellow]" xfId="76" xr:uid="{00000000-0005-0000-0000-0000EB000000}"/>
    <cellStyle name="Input [yellow] 2" xfId="1147" xr:uid="{00000000-0005-0000-0000-0000EC000000}"/>
    <cellStyle name="Input 2" xfId="1146" xr:uid="{00000000-0005-0000-0000-0000ED000000}"/>
    <cellStyle name="Input 2 2" xfId="2158" xr:uid="{00000000-0005-0000-0000-0000EE000000}"/>
    <cellStyle name="Input 3" xfId="1559" xr:uid="{00000000-0005-0000-0000-0000EF000000}"/>
    <cellStyle name="Linked Cell" xfId="77" xr:uid="{00000000-0005-0000-0000-0000F0000000}"/>
    <cellStyle name="MAND_x000a_CHECK.COMMAND_x000e_RENAME.COMMAND_x0008_SHOW.BAR_x000b_DELETE.MENU_x000e_DELETE.COMMAND_x000e_GET.CHA" xfId="333" xr:uid="{00000000-0005-0000-0000-0000F1000000}"/>
    <cellStyle name="MAND_x000a_CHECK.COMMAND_x000e_RENAME.COMMAND_x0008_SHOW.BAR_x000b_DELETE.MENU_x000e_DELETE.COMMAND_x000e_GET.CHA 2" xfId="334" xr:uid="{00000000-0005-0000-0000-0000F2000000}"/>
    <cellStyle name="Moeda 10" xfId="234" xr:uid="{00000000-0005-0000-0000-0000F3000000}"/>
    <cellStyle name="Moeda 10 2" xfId="806" xr:uid="{00000000-0005-0000-0000-0000F4000000}"/>
    <cellStyle name="Moeda 10 2 2" xfId="1908" xr:uid="{00000000-0005-0000-0000-0000F5000000}"/>
    <cellStyle name="Moeda 10 3" xfId="1207" xr:uid="{00000000-0005-0000-0000-0000F6000000}"/>
    <cellStyle name="Moeda 10 3 2" xfId="2211" xr:uid="{00000000-0005-0000-0000-0000F7000000}"/>
    <cellStyle name="Moeda 10 4" xfId="1593" xr:uid="{00000000-0005-0000-0000-0000F8000000}"/>
    <cellStyle name="Moeda 11" xfId="235" xr:uid="{00000000-0005-0000-0000-0000F9000000}"/>
    <cellStyle name="Moeda 11 2" xfId="236" xr:uid="{00000000-0005-0000-0000-0000FA000000}"/>
    <cellStyle name="Moeda 11 2 2" xfId="808" xr:uid="{00000000-0005-0000-0000-0000FB000000}"/>
    <cellStyle name="Moeda 11 2 2 2" xfId="1910" xr:uid="{00000000-0005-0000-0000-0000FC000000}"/>
    <cellStyle name="Moeda 11 2 3" xfId="1209" xr:uid="{00000000-0005-0000-0000-0000FD000000}"/>
    <cellStyle name="Moeda 11 2 3 2" xfId="2213" xr:uid="{00000000-0005-0000-0000-0000FE000000}"/>
    <cellStyle name="Moeda 11 2 4" xfId="1595" xr:uid="{00000000-0005-0000-0000-0000FF000000}"/>
    <cellStyle name="Moeda 11 3" xfId="807" xr:uid="{00000000-0005-0000-0000-000000010000}"/>
    <cellStyle name="Moeda 11 3 2" xfId="1909" xr:uid="{00000000-0005-0000-0000-000001010000}"/>
    <cellStyle name="Moeda 11 4" xfId="1208" xr:uid="{00000000-0005-0000-0000-000002010000}"/>
    <cellStyle name="Moeda 11 4 2" xfId="2212" xr:uid="{00000000-0005-0000-0000-000003010000}"/>
    <cellStyle name="Moeda 11 5" xfId="1594" xr:uid="{00000000-0005-0000-0000-000004010000}"/>
    <cellStyle name="Moeda 12" xfId="237" xr:uid="{00000000-0005-0000-0000-000005010000}"/>
    <cellStyle name="Moeda 12 2" xfId="809" xr:uid="{00000000-0005-0000-0000-000006010000}"/>
    <cellStyle name="Moeda 12 2 2" xfId="1911" xr:uid="{00000000-0005-0000-0000-000007010000}"/>
    <cellStyle name="Moeda 12 3" xfId="1210" xr:uid="{00000000-0005-0000-0000-000008010000}"/>
    <cellStyle name="Moeda 12 3 2" xfId="2214" xr:uid="{00000000-0005-0000-0000-000009010000}"/>
    <cellStyle name="Moeda 12 4" xfId="1596" xr:uid="{00000000-0005-0000-0000-00000A010000}"/>
    <cellStyle name="Moeda 13" xfId="238" xr:uid="{00000000-0005-0000-0000-00000B010000}"/>
    <cellStyle name="Moeda 13 2" xfId="810" xr:uid="{00000000-0005-0000-0000-00000C010000}"/>
    <cellStyle name="Moeda 13 2 2" xfId="1912" xr:uid="{00000000-0005-0000-0000-00000D010000}"/>
    <cellStyle name="Moeda 13 3" xfId="1211" xr:uid="{00000000-0005-0000-0000-00000E010000}"/>
    <cellStyle name="Moeda 13 3 2" xfId="2215" xr:uid="{00000000-0005-0000-0000-00000F010000}"/>
    <cellStyle name="Moeda 13 4" xfId="1597" xr:uid="{00000000-0005-0000-0000-000010010000}"/>
    <cellStyle name="Moeda 14" xfId="301" xr:uid="{00000000-0005-0000-0000-000011010000}"/>
    <cellStyle name="Moeda 14 2" xfId="524" xr:uid="{00000000-0005-0000-0000-000012010000}"/>
    <cellStyle name="Moeda 14 2 2" xfId="987" xr:uid="{00000000-0005-0000-0000-000013010000}"/>
    <cellStyle name="Moeda 14 2 2 2" xfId="2045" xr:uid="{00000000-0005-0000-0000-000014010000}"/>
    <cellStyle name="Moeda 14 2 3" xfId="1332" xr:uid="{00000000-0005-0000-0000-000015010000}"/>
    <cellStyle name="Moeda 14 2 3 2" xfId="2334" xr:uid="{00000000-0005-0000-0000-000016010000}"/>
    <cellStyle name="Moeda 14 2 4" xfId="1704" xr:uid="{00000000-0005-0000-0000-000017010000}"/>
    <cellStyle name="Moeda 14 3" xfId="1085" xr:uid="{00000000-0005-0000-0000-000018010000}"/>
    <cellStyle name="Moeda 14 3 2" xfId="2139" xr:uid="{00000000-0005-0000-0000-000019010000}"/>
    <cellStyle name="Moeda 14 4" xfId="847" xr:uid="{00000000-0005-0000-0000-00001A010000}"/>
    <cellStyle name="Moeda 14 4 2" xfId="1948" xr:uid="{00000000-0005-0000-0000-00001B010000}"/>
    <cellStyle name="Moeda 14 5" xfId="1249" xr:uid="{00000000-0005-0000-0000-00001C010000}"/>
    <cellStyle name="Moeda 14 5 2" xfId="2253" xr:uid="{00000000-0005-0000-0000-00001D010000}"/>
    <cellStyle name="Moeda 14 6" xfId="1633" xr:uid="{00000000-0005-0000-0000-00001E010000}"/>
    <cellStyle name="Moeda 15" xfId="307" xr:uid="{00000000-0005-0000-0000-00001F010000}"/>
    <cellStyle name="Moeda 15 2" xfId="853" xr:uid="{00000000-0005-0000-0000-000020010000}"/>
    <cellStyle name="Moeda 15 2 2" xfId="1953" xr:uid="{00000000-0005-0000-0000-000021010000}"/>
    <cellStyle name="Moeda 15 3" xfId="1254" xr:uid="{00000000-0005-0000-0000-000022010000}"/>
    <cellStyle name="Moeda 15 3 2" xfId="2258" xr:uid="{00000000-0005-0000-0000-000023010000}"/>
    <cellStyle name="Moeda 15 4" xfId="1638" xr:uid="{00000000-0005-0000-0000-000024010000}"/>
    <cellStyle name="Moeda 16" xfId="335" xr:uid="{00000000-0005-0000-0000-000025010000}"/>
    <cellStyle name="Moeda 16 2" xfId="859" xr:uid="{00000000-0005-0000-0000-000026010000}"/>
    <cellStyle name="Moeda 16 3" xfId="1260" xr:uid="{00000000-0005-0000-0000-000027010000}"/>
    <cellStyle name="Moeda 16 3 2" xfId="2264" xr:uid="{00000000-0005-0000-0000-000028010000}"/>
    <cellStyle name="Moeda 16 4" xfId="1643" xr:uid="{00000000-0005-0000-0000-000029010000}"/>
    <cellStyle name="Moeda 17" xfId="336" xr:uid="{00000000-0005-0000-0000-00002A010000}"/>
    <cellStyle name="Moeda 18" xfId="337" xr:uid="{00000000-0005-0000-0000-00002B010000}"/>
    <cellStyle name="Moeda 19" xfId="338" xr:uid="{00000000-0005-0000-0000-00002C010000}"/>
    <cellStyle name="Moeda 19 2" xfId="860" xr:uid="{00000000-0005-0000-0000-00002D010000}"/>
    <cellStyle name="Moeda 19 2 2" xfId="1958" xr:uid="{00000000-0005-0000-0000-00002E010000}"/>
    <cellStyle name="Moeda 19 3" xfId="1261" xr:uid="{00000000-0005-0000-0000-00002F010000}"/>
    <cellStyle name="Moeda 19 3 2" xfId="2265" xr:uid="{00000000-0005-0000-0000-000030010000}"/>
    <cellStyle name="Moeda 19 4" xfId="1644" xr:uid="{00000000-0005-0000-0000-000031010000}"/>
    <cellStyle name="Moeda 2" xfId="136" xr:uid="{00000000-0005-0000-0000-000032010000}"/>
    <cellStyle name="Moeda 2 2" xfId="239" xr:uid="{00000000-0005-0000-0000-000033010000}"/>
    <cellStyle name="Moeda 2 3" xfId="339" xr:uid="{00000000-0005-0000-0000-000034010000}"/>
    <cellStyle name="Moeda 2 4" xfId="642" xr:uid="{00000000-0005-0000-0000-000035010000}"/>
    <cellStyle name="Moeda 2 4 2" xfId="938" xr:uid="{00000000-0005-0000-0000-000036010000}"/>
    <cellStyle name="Moeda 2 4 3" xfId="1431" xr:uid="{00000000-0005-0000-0000-000037010000}"/>
    <cellStyle name="Moeda 2 4 3 2" xfId="2432" xr:uid="{00000000-0005-0000-0000-000038010000}"/>
    <cellStyle name="Moeda 2 4 4" xfId="1800" xr:uid="{00000000-0005-0000-0000-000039010000}"/>
    <cellStyle name="Moeda 2 5" xfId="988" xr:uid="{00000000-0005-0000-0000-00003A010000}"/>
    <cellStyle name="Moeda 2 5 2" xfId="2046" xr:uid="{00000000-0005-0000-0000-00003B010000}"/>
    <cellStyle name="Moeda 20" xfId="340" xr:uid="{00000000-0005-0000-0000-00003C010000}"/>
    <cellStyle name="Moeda 20 2" xfId="911" xr:uid="{00000000-0005-0000-0000-00003D010000}"/>
    <cellStyle name="Moeda 20 2 2" xfId="2005" xr:uid="{00000000-0005-0000-0000-00003E010000}"/>
    <cellStyle name="Moeda 20 3" xfId="1262" xr:uid="{00000000-0005-0000-0000-00003F010000}"/>
    <cellStyle name="Moeda 20 3 2" xfId="2266" xr:uid="{00000000-0005-0000-0000-000040010000}"/>
    <cellStyle name="Moeda 20 4" xfId="1645" xr:uid="{00000000-0005-0000-0000-000041010000}"/>
    <cellStyle name="Moeda 21" xfId="341" xr:uid="{00000000-0005-0000-0000-000042010000}"/>
    <cellStyle name="Moeda 21 2" xfId="525" xr:uid="{00000000-0005-0000-0000-000043010000}"/>
    <cellStyle name="Moeda 21 2 2" xfId="989" xr:uid="{00000000-0005-0000-0000-000044010000}"/>
    <cellStyle name="Moeda 21 2 2 2" xfId="2047" xr:uid="{00000000-0005-0000-0000-000045010000}"/>
    <cellStyle name="Moeda 21 2 3" xfId="1333" xr:uid="{00000000-0005-0000-0000-000046010000}"/>
    <cellStyle name="Moeda 21 2 3 2" xfId="2335" xr:uid="{00000000-0005-0000-0000-000047010000}"/>
    <cellStyle name="Moeda 21 2 4" xfId="1705" xr:uid="{00000000-0005-0000-0000-000048010000}"/>
    <cellStyle name="Moeda 21 3" xfId="934" xr:uid="{00000000-0005-0000-0000-000049010000}"/>
    <cellStyle name="Moeda 21 3 2" xfId="2010" xr:uid="{00000000-0005-0000-0000-00004A010000}"/>
    <cellStyle name="Moeda 21 4" xfId="1263" xr:uid="{00000000-0005-0000-0000-00004B010000}"/>
    <cellStyle name="Moeda 21 4 2" xfId="2267" xr:uid="{00000000-0005-0000-0000-00004C010000}"/>
    <cellStyle name="Moeda 21 5" xfId="1646" xr:uid="{00000000-0005-0000-0000-00004D010000}"/>
    <cellStyle name="Moeda 22" xfId="342" xr:uid="{00000000-0005-0000-0000-00004E010000}"/>
    <cellStyle name="Moeda 22 2" xfId="643" xr:uid="{00000000-0005-0000-0000-00004F010000}"/>
    <cellStyle name="Moeda 22 3" xfId="939" xr:uid="{00000000-0005-0000-0000-000050010000}"/>
    <cellStyle name="Moeda 22 3 2" xfId="2012" xr:uid="{00000000-0005-0000-0000-000051010000}"/>
    <cellStyle name="Moeda 22 4" xfId="1264" xr:uid="{00000000-0005-0000-0000-000052010000}"/>
    <cellStyle name="Moeda 22 4 2" xfId="2268" xr:uid="{00000000-0005-0000-0000-000053010000}"/>
    <cellStyle name="Moeda 22 5" xfId="1647" xr:uid="{00000000-0005-0000-0000-000054010000}"/>
    <cellStyle name="Moeda 23" xfId="343" xr:uid="{00000000-0005-0000-0000-000055010000}"/>
    <cellStyle name="Moeda 23 2" xfId="644" xr:uid="{00000000-0005-0000-0000-000056010000}"/>
    <cellStyle name="Moeda 23 3" xfId="940" xr:uid="{00000000-0005-0000-0000-000057010000}"/>
    <cellStyle name="Moeda 23 3 2" xfId="2013" xr:uid="{00000000-0005-0000-0000-000058010000}"/>
    <cellStyle name="Moeda 23 4" xfId="1265" xr:uid="{00000000-0005-0000-0000-000059010000}"/>
    <cellStyle name="Moeda 23 4 2" xfId="2269" xr:uid="{00000000-0005-0000-0000-00005A010000}"/>
    <cellStyle name="Moeda 23 5" xfId="1648" xr:uid="{00000000-0005-0000-0000-00005B010000}"/>
    <cellStyle name="Moeda 24" xfId="344" xr:uid="{00000000-0005-0000-0000-00005C010000}"/>
    <cellStyle name="Moeda 24 2" xfId="941" xr:uid="{00000000-0005-0000-0000-00005D010000}"/>
    <cellStyle name="Moeda 24 3" xfId="1266" xr:uid="{00000000-0005-0000-0000-00005E010000}"/>
    <cellStyle name="Moeda 24 3 2" xfId="2270" xr:uid="{00000000-0005-0000-0000-00005F010000}"/>
    <cellStyle name="Moeda 24 4" xfId="1649" xr:uid="{00000000-0005-0000-0000-000060010000}"/>
    <cellStyle name="Moeda 25" xfId="526" xr:uid="{00000000-0005-0000-0000-000061010000}"/>
    <cellStyle name="Moeda 25 2" xfId="972" xr:uid="{00000000-0005-0000-0000-000062010000}"/>
    <cellStyle name="Moeda 25 2 2" xfId="2036" xr:uid="{00000000-0005-0000-0000-000063010000}"/>
    <cellStyle name="Moeda 25 3" xfId="1334" xr:uid="{00000000-0005-0000-0000-000064010000}"/>
    <cellStyle name="Moeda 25 3 2" xfId="2336" xr:uid="{00000000-0005-0000-0000-000065010000}"/>
    <cellStyle name="Moeda 25 4" xfId="1706" xr:uid="{00000000-0005-0000-0000-000066010000}"/>
    <cellStyle name="Moeda 26" xfId="527" xr:uid="{00000000-0005-0000-0000-000067010000}"/>
    <cellStyle name="Moeda 26 2" xfId="974" xr:uid="{00000000-0005-0000-0000-000068010000}"/>
    <cellStyle name="Moeda 26 2 2" xfId="2038" xr:uid="{00000000-0005-0000-0000-000069010000}"/>
    <cellStyle name="Moeda 26 3" xfId="1335" xr:uid="{00000000-0005-0000-0000-00006A010000}"/>
    <cellStyle name="Moeda 26 3 2" xfId="2337" xr:uid="{00000000-0005-0000-0000-00006B010000}"/>
    <cellStyle name="Moeda 26 4" xfId="1707" xr:uid="{00000000-0005-0000-0000-00006C010000}"/>
    <cellStyle name="Moeda 27" xfId="528" xr:uid="{00000000-0005-0000-0000-00006D010000}"/>
    <cellStyle name="Moeda 27 2" xfId="982" xr:uid="{00000000-0005-0000-0000-00006E010000}"/>
    <cellStyle name="Moeda 27 2 2" xfId="2041" xr:uid="{00000000-0005-0000-0000-00006F010000}"/>
    <cellStyle name="Moeda 27 3" xfId="1336" xr:uid="{00000000-0005-0000-0000-000070010000}"/>
    <cellStyle name="Moeda 27 3 2" xfId="2338" xr:uid="{00000000-0005-0000-0000-000071010000}"/>
    <cellStyle name="Moeda 27 4" xfId="1708" xr:uid="{00000000-0005-0000-0000-000072010000}"/>
    <cellStyle name="Moeda 28" xfId="529" xr:uid="{00000000-0005-0000-0000-000073010000}"/>
    <cellStyle name="Moeda 28 2" xfId="985" xr:uid="{00000000-0005-0000-0000-000074010000}"/>
    <cellStyle name="Moeda 28 2 2" xfId="2044" xr:uid="{00000000-0005-0000-0000-000075010000}"/>
    <cellStyle name="Moeda 28 3" xfId="1337" xr:uid="{00000000-0005-0000-0000-000076010000}"/>
    <cellStyle name="Moeda 28 3 2" xfId="2339" xr:uid="{00000000-0005-0000-0000-000077010000}"/>
    <cellStyle name="Moeda 28 4" xfId="1709" xr:uid="{00000000-0005-0000-0000-000078010000}"/>
    <cellStyle name="Moeda 29" xfId="530" xr:uid="{00000000-0005-0000-0000-000079010000}"/>
    <cellStyle name="Moeda 29 2" xfId="990" xr:uid="{00000000-0005-0000-0000-00007A010000}"/>
    <cellStyle name="Moeda 29 2 2" xfId="2048" xr:uid="{00000000-0005-0000-0000-00007B010000}"/>
    <cellStyle name="Moeda 29 3" xfId="1338" xr:uid="{00000000-0005-0000-0000-00007C010000}"/>
    <cellStyle name="Moeda 29 3 2" xfId="2340" xr:uid="{00000000-0005-0000-0000-00007D010000}"/>
    <cellStyle name="Moeda 29 4" xfId="1710" xr:uid="{00000000-0005-0000-0000-00007E010000}"/>
    <cellStyle name="Moeda 3" xfId="137" xr:uid="{00000000-0005-0000-0000-00007F010000}"/>
    <cellStyle name="Moeda 3 2" xfId="240" xr:uid="{00000000-0005-0000-0000-000080010000}"/>
    <cellStyle name="Moeda 3 3" xfId="2532" xr:uid="{00000000-0005-0000-0000-000081010000}"/>
    <cellStyle name="Moeda 30" xfId="531" xr:uid="{00000000-0005-0000-0000-000082010000}"/>
    <cellStyle name="Moeda 30 2" xfId="991" xr:uid="{00000000-0005-0000-0000-000083010000}"/>
    <cellStyle name="Moeda 30 2 2" xfId="2049" xr:uid="{00000000-0005-0000-0000-000084010000}"/>
    <cellStyle name="Moeda 30 3" xfId="1339" xr:uid="{00000000-0005-0000-0000-000085010000}"/>
    <cellStyle name="Moeda 30 3 2" xfId="2341" xr:uid="{00000000-0005-0000-0000-000086010000}"/>
    <cellStyle name="Moeda 30 4" xfId="1711" xr:uid="{00000000-0005-0000-0000-000087010000}"/>
    <cellStyle name="Moeda 31" xfId="532" xr:uid="{00000000-0005-0000-0000-000088010000}"/>
    <cellStyle name="Moeda 31 2" xfId="992" xr:uid="{00000000-0005-0000-0000-000089010000}"/>
    <cellStyle name="Moeda 31 2 2" xfId="2050" xr:uid="{00000000-0005-0000-0000-00008A010000}"/>
    <cellStyle name="Moeda 31 3" xfId="1340" xr:uid="{00000000-0005-0000-0000-00008B010000}"/>
    <cellStyle name="Moeda 31 3 2" xfId="2342" xr:uid="{00000000-0005-0000-0000-00008C010000}"/>
    <cellStyle name="Moeda 31 4" xfId="1712" xr:uid="{00000000-0005-0000-0000-00008D010000}"/>
    <cellStyle name="Moeda 32" xfId="533" xr:uid="{00000000-0005-0000-0000-00008E010000}"/>
    <cellStyle name="Moeda 32 2" xfId="993" xr:uid="{00000000-0005-0000-0000-00008F010000}"/>
    <cellStyle name="Moeda 32 2 2" xfId="2051" xr:uid="{00000000-0005-0000-0000-000090010000}"/>
    <cellStyle name="Moeda 32 3" xfId="1341" xr:uid="{00000000-0005-0000-0000-000091010000}"/>
    <cellStyle name="Moeda 32 3 2" xfId="2343" xr:uid="{00000000-0005-0000-0000-000092010000}"/>
    <cellStyle name="Moeda 32 4" xfId="1713" xr:uid="{00000000-0005-0000-0000-000093010000}"/>
    <cellStyle name="Moeda 33" xfId="633" xr:uid="{00000000-0005-0000-0000-000094010000}"/>
    <cellStyle name="Moeda 33 2" xfId="731" xr:uid="{00000000-0005-0000-0000-000095010000}"/>
    <cellStyle name="Moeda 33 2 2" xfId="1476" xr:uid="{00000000-0005-0000-0000-000096010000}"/>
    <cellStyle name="Moeda 33 2 2 2" xfId="2477" xr:uid="{00000000-0005-0000-0000-000097010000}"/>
    <cellStyle name="Moeda 33 2 3" xfId="1844" xr:uid="{00000000-0005-0000-0000-000098010000}"/>
    <cellStyle name="Moeda 33 3" xfId="736" xr:uid="{00000000-0005-0000-0000-000099010000}"/>
    <cellStyle name="Moeda 33 3 2" xfId="1499" xr:uid="{00000000-0005-0000-0000-00009A010000}"/>
    <cellStyle name="Moeda 33 3 2 2" xfId="2495" xr:uid="{00000000-0005-0000-0000-00009B010000}"/>
    <cellStyle name="Moeda 33 3 3" xfId="1481" xr:uid="{00000000-0005-0000-0000-00009C010000}"/>
    <cellStyle name="Moeda 33 3 3 2" xfId="2482" xr:uid="{00000000-0005-0000-0000-00009D010000}"/>
    <cellStyle name="Moeda 33 3 4" xfId="1849" xr:uid="{00000000-0005-0000-0000-00009E010000}"/>
    <cellStyle name="Moeda 33 4" xfId="743" xr:uid="{00000000-0005-0000-0000-00009F010000}"/>
    <cellStyle name="Moeda 33 4 2" xfId="1488" xr:uid="{00000000-0005-0000-0000-0000A0010000}"/>
    <cellStyle name="Moeda 33 4 2 2" xfId="2489" xr:uid="{00000000-0005-0000-0000-0000A1010000}"/>
    <cellStyle name="Moeda 33 4 3" xfId="1856" xr:uid="{00000000-0005-0000-0000-0000A2010000}"/>
    <cellStyle name="Moeda 33 5" xfId="994" xr:uid="{00000000-0005-0000-0000-0000A3010000}"/>
    <cellStyle name="Moeda 33 5 2" xfId="1498" xr:uid="{00000000-0005-0000-0000-0000A4010000}"/>
    <cellStyle name="Moeda 33 5 2 2" xfId="2494" xr:uid="{00000000-0005-0000-0000-0000A5010000}"/>
    <cellStyle name="Moeda 33 5 3" xfId="2052" xr:uid="{00000000-0005-0000-0000-0000A6010000}"/>
    <cellStyle name="Moeda 33 6" xfId="1424" xr:uid="{00000000-0005-0000-0000-0000A7010000}"/>
    <cellStyle name="Moeda 33 6 2" xfId="2426" xr:uid="{00000000-0005-0000-0000-0000A8010000}"/>
    <cellStyle name="Moeda 33 7" xfId="1795" xr:uid="{00000000-0005-0000-0000-0000A9010000}"/>
    <cellStyle name="Moeda 34" xfId="645" xr:uid="{00000000-0005-0000-0000-0000AA010000}"/>
    <cellStyle name="Moeda 34 2" xfId="732" xr:uid="{00000000-0005-0000-0000-0000AB010000}"/>
    <cellStyle name="Moeda 34 2 2" xfId="1477" xr:uid="{00000000-0005-0000-0000-0000AC010000}"/>
    <cellStyle name="Moeda 34 2 2 2" xfId="2478" xr:uid="{00000000-0005-0000-0000-0000AD010000}"/>
    <cellStyle name="Moeda 34 2 3" xfId="1845" xr:uid="{00000000-0005-0000-0000-0000AE010000}"/>
    <cellStyle name="Moeda 34 3" xfId="995" xr:uid="{00000000-0005-0000-0000-0000AF010000}"/>
    <cellStyle name="Moeda 34 3 2" xfId="2053" xr:uid="{00000000-0005-0000-0000-0000B0010000}"/>
    <cellStyle name="Moeda 35" xfId="646" xr:uid="{00000000-0005-0000-0000-0000B1010000}"/>
    <cellStyle name="Moeda 36" xfId="647" xr:uid="{00000000-0005-0000-0000-0000B2010000}"/>
    <cellStyle name="Moeda 37" xfId="648" xr:uid="{00000000-0005-0000-0000-0000B3010000}"/>
    <cellStyle name="Moeda 38" xfId="649" xr:uid="{00000000-0005-0000-0000-0000B4010000}"/>
    <cellStyle name="Moeda 39" xfId="650" xr:uid="{00000000-0005-0000-0000-0000B5010000}"/>
    <cellStyle name="Moeda 4" xfId="138" xr:uid="{00000000-0005-0000-0000-0000B6010000}"/>
    <cellStyle name="Moeda 4 2" xfId="345" xr:uid="{00000000-0005-0000-0000-0000B7010000}"/>
    <cellStyle name="Moeda 4 2 2" xfId="861" xr:uid="{00000000-0005-0000-0000-0000B8010000}"/>
    <cellStyle name="Moeda 4 2 2 2" xfId="1959" xr:uid="{00000000-0005-0000-0000-0000B9010000}"/>
    <cellStyle name="Moeda 4 2 3" xfId="1267" xr:uid="{00000000-0005-0000-0000-0000BA010000}"/>
    <cellStyle name="Moeda 4 2 3 2" xfId="2271" xr:uid="{00000000-0005-0000-0000-0000BB010000}"/>
    <cellStyle name="Moeda 4 2 4" xfId="1650" xr:uid="{00000000-0005-0000-0000-0000BC010000}"/>
    <cellStyle name="Moeda 4 3" xfId="534" xr:uid="{00000000-0005-0000-0000-0000BD010000}"/>
    <cellStyle name="Moeda 4 3 2" xfId="942" xr:uid="{00000000-0005-0000-0000-0000BE010000}"/>
    <cellStyle name="Moeda 4 3 2 2" xfId="2014" xr:uid="{00000000-0005-0000-0000-0000BF010000}"/>
    <cellStyle name="Moeda 4 3 3" xfId="1342" xr:uid="{00000000-0005-0000-0000-0000C0010000}"/>
    <cellStyle name="Moeda 4 3 3 2" xfId="2344" xr:uid="{00000000-0005-0000-0000-0000C1010000}"/>
    <cellStyle name="Moeda 4 3 4" xfId="1714" xr:uid="{00000000-0005-0000-0000-0000C2010000}"/>
    <cellStyle name="Moeda 40" xfId="651" xr:uid="{00000000-0005-0000-0000-0000C3010000}"/>
    <cellStyle name="Moeda 40 2" xfId="1432" xr:uid="{00000000-0005-0000-0000-0000C4010000}"/>
    <cellStyle name="Moeda 40 2 2" xfId="2433" xr:uid="{00000000-0005-0000-0000-0000C5010000}"/>
    <cellStyle name="Moeda 40 3" xfId="1801" xr:uid="{00000000-0005-0000-0000-0000C6010000}"/>
    <cellStyle name="Moeda 41" xfId="652" xr:uid="{00000000-0005-0000-0000-0000C7010000}"/>
    <cellStyle name="Moeda 41 2" xfId="1433" xr:uid="{00000000-0005-0000-0000-0000C8010000}"/>
    <cellStyle name="Moeda 41 2 2" xfId="2434" xr:uid="{00000000-0005-0000-0000-0000C9010000}"/>
    <cellStyle name="Moeda 41 3" xfId="1802" xr:uid="{00000000-0005-0000-0000-0000CA010000}"/>
    <cellStyle name="Moeda 42" xfId="653" xr:uid="{00000000-0005-0000-0000-0000CB010000}"/>
    <cellStyle name="Moeda 42 2" xfId="1434" xr:uid="{00000000-0005-0000-0000-0000CC010000}"/>
    <cellStyle name="Moeda 42 2 2" xfId="2435" xr:uid="{00000000-0005-0000-0000-0000CD010000}"/>
    <cellStyle name="Moeda 42 3" xfId="1803" xr:uid="{00000000-0005-0000-0000-0000CE010000}"/>
    <cellStyle name="Moeda 43" xfId="1428" xr:uid="{00000000-0005-0000-0000-0000CF010000}"/>
    <cellStyle name="Moeda 43 2" xfId="2430" xr:uid="{00000000-0005-0000-0000-0000D0010000}"/>
    <cellStyle name="Moeda 44" xfId="1513" xr:uid="{00000000-0005-0000-0000-0000D1010000}"/>
    <cellStyle name="Moeda 44 2" xfId="2504" xr:uid="{00000000-0005-0000-0000-0000D2010000}"/>
    <cellStyle name="Moeda 45" xfId="1543" xr:uid="{00000000-0005-0000-0000-0000D3010000}"/>
    <cellStyle name="Moeda 45 2" xfId="2520" xr:uid="{00000000-0005-0000-0000-0000D4010000}"/>
    <cellStyle name="Moeda 46" xfId="2529" xr:uid="{00000000-0005-0000-0000-0000D5010000}"/>
    <cellStyle name="Moeda 47" xfId="2538" xr:uid="{00000000-0005-0000-0000-0000D6010000}"/>
    <cellStyle name="Moeda 48" xfId="2548" xr:uid="{00000000-0005-0000-0000-0000D7010000}"/>
    <cellStyle name="Moeda 49" xfId="2550" xr:uid="{00000000-0005-0000-0000-0000D8010000}"/>
    <cellStyle name="Moeda 5" xfId="176" xr:uid="{00000000-0005-0000-0000-0000D9010000}"/>
    <cellStyle name="Moeda 5 2" xfId="241" xr:uid="{00000000-0005-0000-0000-0000DA010000}"/>
    <cellStyle name="Moeda 5 2 2" xfId="811" xr:uid="{00000000-0005-0000-0000-0000DB010000}"/>
    <cellStyle name="Moeda 5 2 2 2" xfId="1913" xr:uid="{00000000-0005-0000-0000-0000DC010000}"/>
    <cellStyle name="Moeda 5 2 3" xfId="1212" xr:uid="{00000000-0005-0000-0000-0000DD010000}"/>
    <cellStyle name="Moeda 5 2 3 2" xfId="2216" xr:uid="{00000000-0005-0000-0000-0000DE010000}"/>
    <cellStyle name="Moeda 5 2 4" xfId="1598" xr:uid="{00000000-0005-0000-0000-0000DF010000}"/>
    <cellStyle name="Moeda 5 3" xfId="242" xr:uid="{00000000-0005-0000-0000-0000E0010000}"/>
    <cellStyle name="Moeda 5 3 2" xfId="243" xr:uid="{00000000-0005-0000-0000-0000E1010000}"/>
    <cellStyle name="Moeda 5 3 2 2" xfId="813" xr:uid="{00000000-0005-0000-0000-0000E2010000}"/>
    <cellStyle name="Moeda 5 3 2 2 2" xfId="1915" xr:uid="{00000000-0005-0000-0000-0000E3010000}"/>
    <cellStyle name="Moeda 5 3 2 3" xfId="1214" xr:uid="{00000000-0005-0000-0000-0000E4010000}"/>
    <cellStyle name="Moeda 5 3 2 3 2" xfId="2218" xr:uid="{00000000-0005-0000-0000-0000E5010000}"/>
    <cellStyle name="Moeda 5 3 2 4" xfId="1600" xr:uid="{00000000-0005-0000-0000-0000E6010000}"/>
    <cellStyle name="Moeda 5 3 3" xfId="812" xr:uid="{00000000-0005-0000-0000-0000E7010000}"/>
    <cellStyle name="Moeda 5 3 3 2" xfId="1914" xr:uid="{00000000-0005-0000-0000-0000E8010000}"/>
    <cellStyle name="Moeda 5 3 4" xfId="1213" xr:uid="{00000000-0005-0000-0000-0000E9010000}"/>
    <cellStyle name="Moeda 5 3 4 2" xfId="2217" xr:uid="{00000000-0005-0000-0000-0000EA010000}"/>
    <cellStyle name="Moeda 5 3 5" xfId="1599" xr:uid="{00000000-0005-0000-0000-0000EB010000}"/>
    <cellStyle name="Moeda 5 4" xfId="793" xr:uid="{00000000-0005-0000-0000-0000EC010000}"/>
    <cellStyle name="Moeda 5 4 2" xfId="1897" xr:uid="{00000000-0005-0000-0000-0000ED010000}"/>
    <cellStyle name="Moeda 5 5" xfId="1194" xr:uid="{00000000-0005-0000-0000-0000EE010000}"/>
    <cellStyle name="Moeda 5 5 2" xfId="2198" xr:uid="{00000000-0005-0000-0000-0000EF010000}"/>
    <cellStyle name="Moeda 5 6" xfId="1582" xr:uid="{00000000-0005-0000-0000-0000F0010000}"/>
    <cellStyle name="Moeda 6" xfId="244" xr:uid="{00000000-0005-0000-0000-0000F1010000}"/>
    <cellStyle name="Moeda 6 2" xfId="814" xr:uid="{00000000-0005-0000-0000-0000F2010000}"/>
    <cellStyle name="Moeda 6 2 2" xfId="1916" xr:uid="{00000000-0005-0000-0000-0000F3010000}"/>
    <cellStyle name="Moeda 6 3" xfId="1215" xr:uid="{00000000-0005-0000-0000-0000F4010000}"/>
    <cellStyle name="Moeda 6 3 2" xfId="2219" xr:uid="{00000000-0005-0000-0000-0000F5010000}"/>
    <cellStyle name="Moeda 6 4" xfId="1601" xr:uid="{00000000-0005-0000-0000-0000F6010000}"/>
    <cellStyle name="Moeda 7" xfId="245" xr:uid="{00000000-0005-0000-0000-0000F7010000}"/>
    <cellStyle name="Moeda 7 2" xfId="815" xr:uid="{00000000-0005-0000-0000-0000F8010000}"/>
    <cellStyle name="Moeda 7 2 2" xfId="1917" xr:uid="{00000000-0005-0000-0000-0000F9010000}"/>
    <cellStyle name="Moeda 7 3" xfId="1216" xr:uid="{00000000-0005-0000-0000-0000FA010000}"/>
    <cellStyle name="Moeda 7 3 2" xfId="2220" xr:uid="{00000000-0005-0000-0000-0000FB010000}"/>
    <cellStyle name="Moeda 7 4" xfId="1602" xr:uid="{00000000-0005-0000-0000-0000FC010000}"/>
    <cellStyle name="Moeda 8" xfId="246" xr:uid="{00000000-0005-0000-0000-0000FD010000}"/>
    <cellStyle name="Moeda 8 2" xfId="816" xr:uid="{00000000-0005-0000-0000-0000FE010000}"/>
    <cellStyle name="Moeda 8 2 2" xfId="1918" xr:uid="{00000000-0005-0000-0000-0000FF010000}"/>
    <cellStyle name="Moeda 8 3" xfId="1217" xr:uid="{00000000-0005-0000-0000-000000020000}"/>
    <cellStyle name="Moeda 8 3 2" xfId="2221" xr:uid="{00000000-0005-0000-0000-000001020000}"/>
    <cellStyle name="Moeda 8 4" xfId="1603" xr:uid="{00000000-0005-0000-0000-000002020000}"/>
    <cellStyle name="Moeda 9" xfId="247" xr:uid="{00000000-0005-0000-0000-000003020000}"/>
    <cellStyle name="Moeda 9 2" xfId="817" xr:uid="{00000000-0005-0000-0000-000004020000}"/>
    <cellStyle name="Moeda 9 2 2" xfId="1919" xr:uid="{00000000-0005-0000-0000-000005020000}"/>
    <cellStyle name="Moeda 9 3" xfId="1218" xr:uid="{00000000-0005-0000-0000-000006020000}"/>
    <cellStyle name="Moeda 9 3 2" xfId="2222" xr:uid="{00000000-0005-0000-0000-000007020000}"/>
    <cellStyle name="Moeda 9 4" xfId="1604" xr:uid="{00000000-0005-0000-0000-000008020000}"/>
    <cellStyle name="Multiple" xfId="78" xr:uid="{00000000-0005-0000-0000-000009020000}"/>
    <cellStyle name="Neutra 2" xfId="248" xr:uid="{00000000-0005-0000-0000-00000B020000}"/>
    <cellStyle name="Neutra 3" xfId="1148" xr:uid="{00000000-0005-0000-0000-00000C020000}"/>
    <cellStyle name="Neutral" xfId="80" xr:uid="{00000000-0005-0000-0000-00000D020000}"/>
    <cellStyle name="Neutro" xfId="79" builtinId="28" customBuiltin="1"/>
    <cellStyle name="no dec" xfId="81" xr:uid="{00000000-0005-0000-0000-00000E020000}"/>
    <cellStyle name="Normal" xfId="0" builtinId="0"/>
    <cellStyle name="Normal - Style1" xfId="82" xr:uid="{00000000-0005-0000-0000-000010020000}"/>
    <cellStyle name="Normal - Style1 2" xfId="996" xr:uid="{00000000-0005-0000-0000-000011020000}"/>
    <cellStyle name="Normal - Style1 2 2" xfId="2054" xr:uid="{00000000-0005-0000-0000-000012020000}"/>
    <cellStyle name="Normal - Style1 3" xfId="754" xr:uid="{00000000-0005-0000-0000-000013020000}"/>
    <cellStyle name="Normal - Style1 3 2" xfId="1861" xr:uid="{00000000-0005-0000-0000-000014020000}"/>
    <cellStyle name="Normal - Style1 4" xfId="1149" xr:uid="{00000000-0005-0000-0000-000015020000}"/>
    <cellStyle name="Normal - Style1 4 2" xfId="2159" xr:uid="{00000000-0005-0000-0000-000016020000}"/>
    <cellStyle name="Normal - Style1 5" xfId="1560" xr:uid="{00000000-0005-0000-0000-000017020000}"/>
    <cellStyle name="Normal 10" xfId="139" xr:uid="{00000000-0005-0000-0000-000018020000}"/>
    <cellStyle name="Normal 10 2" xfId="346" xr:uid="{00000000-0005-0000-0000-000019020000}"/>
    <cellStyle name="Normal 10 2 2" xfId="862" xr:uid="{00000000-0005-0000-0000-00001A020000}"/>
    <cellStyle name="Normal 10 2 2 2" xfId="1960" xr:uid="{00000000-0005-0000-0000-00001B020000}"/>
    <cellStyle name="Normal 10 2 3" xfId="1268" xr:uid="{00000000-0005-0000-0000-00001C020000}"/>
    <cellStyle name="Normal 10 2 3 2" xfId="2272" xr:uid="{00000000-0005-0000-0000-00001D020000}"/>
    <cellStyle name="Normal 10 2 4" xfId="1651" xr:uid="{00000000-0005-0000-0000-00001E020000}"/>
    <cellStyle name="Normal 10 2 6" xfId="1521" xr:uid="{00000000-0005-0000-0000-00001F020000}"/>
    <cellStyle name="Normal 10 3" xfId="535" xr:uid="{00000000-0005-0000-0000-000020020000}"/>
    <cellStyle name="Normal 10 3 2" xfId="997" xr:uid="{00000000-0005-0000-0000-000021020000}"/>
    <cellStyle name="Normal 10 3 2 2" xfId="2055" xr:uid="{00000000-0005-0000-0000-000022020000}"/>
    <cellStyle name="Normal 10 3 3" xfId="1343" xr:uid="{00000000-0005-0000-0000-000023020000}"/>
    <cellStyle name="Normal 10 3 3 2" xfId="2345" xr:uid="{00000000-0005-0000-0000-000024020000}"/>
    <cellStyle name="Normal 10 3 4" xfId="1715" xr:uid="{00000000-0005-0000-0000-000025020000}"/>
    <cellStyle name="Normal 10 8" xfId="1502" xr:uid="{00000000-0005-0000-0000-000026020000}"/>
    <cellStyle name="Normal 100" xfId="347" xr:uid="{00000000-0005-0000-0000-000027020000}"/>
    <cellStyle name="Normal 100 2" xfId="1508" xr:uid="{00000000-0005-0000-0000-000028020000}"/>
    <cellStyle name="Normal 101" xfId="348" xr:uid="{00000000-0005-0000-0000-000029020000}"/>
    <cellStyle name="Normal 102" xfId="349" xr:uid="{00000000-0005-0000-0000-00002A020000}"/>
    <cellStyle name="Normal 103" xfId="350" xr:uid="{00000000-0005-0000-0000-00002B020000}"/>
    <cellStyle name="Normal 104" xfId="351" xr:uid="{00000000-0005-0000-0000-00002C020000}"/>
    <cellStyle name="Normal 105" xfId="352" xr:uid="{00000000-0005-0000-0000-00002D020000}"/>
    <cellStyle name="Normal 106" xfId="353" xr:uid="{00000000-0005-0000-0000-00002E020000}"/>
    <cellStyle name="Normal 107" xfId="354" xr:uid="{00000000-0005-0000-0000-00002F020000}"/>
    <cellStyle name="Normal 108" xfId="355" xr:uid="{00000000-0005-0000-0000-000030020000}"/>
    <cellStyle name="Normal 109" xfId="356" xr:uid="{00000000-0005-0000-0000-000031020000}"/>
    <cellStyle name="Normal 11" xfId="140" xr:uid="{00000000-0005-0000-0000-000032020000}"/>
    <cellStyle name="Normal 11 2" xfId="249" xr:uid="{00000000-0005-0000-0000-000033020000}"/>
    <cellStyle name="Normal 11 3" xfId="654" xr:uid="{00000000-0005-0000-0000-000034020000}"/>
    <cellStyle name="Normal 110" xfId="357" xr:uid="{00000000-0005-0000-0000-000035020000}"/>
    <cellStyle name="Normal 111" xfId="358" xr:uid="{00000000-0005-0000-0000-000036020000}"/>
    <cellStyle name="Normal 112" xfId="359" xr:uid="{00000000-0005-0000-0000-000037020000}"/>
    <cellStyle name="Normal 113" xfId="360" xr:uid="{00000000-0005-0000-0000-000038020000}"/>
    <cellStyle name="Normal 114" xfId="361" xr:uid="{00000000-0005-0000-0000-000039020000}"/>
    <cellStyle name="Normal 115" xfId="362" xr:uid="{00000000-0005-0000-0000-00003A020000}"/>
    <cellStyle name="Normal 116" xfId="363" xr:uid="{00000000-0005-0000-0000-00003B020000}"/>
    <cellStyle name="Normal 116 2" xfId="364" xr:uid="{00000000-0005-0000-0000-00003C020000}"/>
    <cellStyle name="Normal 116 2 2" xfId="864" xr:uid="{00000000-0005-0000-0000-00003D020000}"/>
    <cellStyle name="Normal 116 2 2 2" xfId="1962" xr:uid="{00000000-0005-0000-0000-00003E020000}"/>
    <cellStyle name="Normal 116 2 3" xfId="1270" xr:uid="{00000000-0005-0000-0000-00003F020000}"/>
    <cellStyle name="Normal 116 2 3 2" xfId="2274" xr:uid="{00000000-0005-0000-0000-000040020000}"/>
    <cellStyle name="Normal 116 2 4" xfId="1653" xr:uid="{00000000-0005-0000-0000-000041020000}"/>
    <cellStyle name="Normal 116 3" xfId="863" xr:uid="{00000000-0005-0000-0000-000042020000}"/>
    <cellStyle name="Normal 116 3 2" xfId="1961" xr:uid="{00000000-0005-0000-0000-000043020000}"/>
    <cellStyle name="Normal 116 4" xfId="1269" xr:uid="{00000000-0005-0000-0000-000044020000}"/>
    <cellStyle name="Normal 116 4 2" xfId="2273" xr:uid="{00000000-0005-0000-0000-000045020000}"/>
    <cellStyle name="Normal 116 5" xfId="1652" xr:uid="{00000000-0005-0000-0000-000046020000}"/>
    <cellStyle name="Normal 117" xfId="365" xr:uid="{00000000-0005-0000-0000-000047020000}"/>
    <cellStyle name="Normal 118" xfId="366" xr:uid="{00000000-0005-0000-0000-000048020000}"/>
    <cellStyle name="Normal 119" xfId="367" xr:uid="{00000000-0005-0000-0000-000049020000}"/>
    <cellStyle name="Normal 12" xfId="141" xr:uid="{00000000-0005-0000-0000-00004A020000}"/>
    <cellStyle name="Normal 120" xfId="368" xr:uid="{00000000-0005-0000-0000-00004B020000}"/>
    <cellStyle name="Normal 120 2" xfId="865" xr:uid="{00000000-0005-0000-0000-00004C020000}"/>
    <cellStyle name="Normal 120 2 2" xfId="1963" xr:uid="{00000000-0005-0000-0000-00004D020000}"/>
    <cellStyle name="Normal 120 3" xfId="1271" xr:uid="{00000000-0005-0000-0000-00004E020000}"/>
    <cellStyle name="Normal 120 3 2" xfId="2275" xr:uid="{00000000-0005-0000-0000-00004F020000}"/>
    <cellStyle name="Normal 120 4" xfId="1654" xr:uid="{00000000-0005-0000-0000-000050020000}"/>
    <cellStyle name="Normal 121" xfId="369" xr:uid="{00000000-0005-0000-0000-000051020000}"/>
    <cellStyle name="Normal 122" xfId="370" xr:uid="{00000000-0005-0000-0000-000052020000}"/>
    <cellStyle name="Normal 122 2" xfId="866" xr:uid="{00000000-0005-0000-0000-000053020000}"/>
    <cellStyle name="Normal 122 2 2" xfId="1964" xr:uid="{00000000-0005-0000-0000-000054020000}"/>
    <cellStyle name="Normal 122 3" xfId="1272" xr:uid="{00000000-0005-0000-0000-000055020000}"/>
    <cellStyle name="Normal 122 3 2" xfId="2276" xr:uid="{00000000-0005-0000-0000-000056020000}"/>
    <cellStyle name="Normal 122 4" xfId="1655" xr:uid="{00000000-0005-0000-0000-000057020000}"/>
    <cellStyle name="Normal 123" xfId="371" xr:uid="{00000000-0005-0000-0000-000058020000}"/>
    <cellStyle name="Normal 124" xfId="372" xr:uid="{00000000-0005-0000-0000-000059020000}"/>
    <cellStyle name="Normal 124 2" xfId="867" xr:uid="{00000000-0005-0000-0000-00005A020000}"/>
    <cellStyle name="Normal 124 2 2" xfId="1965" xr:uid="{00000000-0005-0000-0000-00005B020000}"/>
    <cellStyle name="Normal 124 3" xfId="1273" xr:uid="{00000000-0005-0000-0000-00005C020000}"/>
    <cellStyle name="Normal 124 3 2" xfId="2277" xr:uid="{00000000-0005-0000-0000-00005D020000}"/>
    <cellStyle name="Normal 124 4" xfId="1656" xr:uid="{00000000-0005-0000-0000-00005E020000}"/>
    <cellStyle name="Normal 125" xfId="373" xr:uid="{00000000-0005-0000-0000-00005F020000}"/>
    <cellStyle name="Normal 126" xfId="374" xr:uid="{00000000-0005-0000-0000-000060020000}"/>
    <cellStyle name="Normal 126 2" xfId="943" xr:uid="{00000000-0005-0000-0000-000061020000}"/>
    <cellStyle name="Normal 126 2 2" xfId="2015" xr:uid="{00000000-0005-0000-0000-000062020000}"/>
    <cellStyle name="Normal 126 3" xfId="868" xr:uid="{00000000-0005-0000-0000-000063020000}"/>
    <cellStyle name="Normal 126 3 2" xfId="1966" xr:uid="{00000000-0005-0000-0000-000064020000}"/>
    <cellStyle name="Normal 126 4" xfId="1274" xr:uid="{00000000-0005-0000-0000-000065020000}"/>
    <cellStyle name="Normal 126 4 2" xfId="2278" xr:uid="{00000000-0005-0000-0000-000066020000}"/>
    <cellStyle name="Normal 126 5" xfId="1657" xr:uid="{00000000-0005-0000-0000-000067020000}"/>
    <cellStyle name="Normal 127" xfId="375" xr:uid="{00000000-0005-0000-0000-000068020000}"/>
    <cellStyle name="Normal 128" xfId="376" xr:uid="{00000000-0005-0000-0000-000069020000}"/>
    <cellStyle name="Normal 128 2" xfId="869" xr:uid="{00000000-0005-0000-0000-00006A020000}"/>
    <cellStyle name="Normal 128 2 2" xfId="1967" xr:uid="{00000000-0005-0000-0000-00006B020000}"/>
    <cellStyle name="Normal 128 3" xfId="1275" xr:uid="{00000000-0005-0000-0000-00006C020000}"/>
    <cellStyle name="Normal 128 3 2" xfId="2279" xr:uid="{00000000-0005-0000-0000-00006D020000}"/>
    <cellStyle name="Normal 128 4" xfId="1658" xr:uid="{00000000-0005-0000-0000-00006E020000}"/>
    <cellStyle name="Normal 129" xfId="377" xr:uid="{00000000-0005-0000-0000-00006F020000}"/>
    <cellStyle name="Normal 129 2" xfId="870" xr:uid="{00000000-0005-0000-0000-000070020000}"/>
    <cellStyle name="Normal 129 2 2" xfId="1968" xr:uid="{00000000-0005-0000-0000-000071020000}"/>
    <cellStyle name="Normal 129 3" xfId="1276" xr:uid="{00000000-0005-0000-0000-000072020000}"/>
    <cellStyle name="Normal 129 3 2" xfId="2280" xr:uid="{00000000-0005-0000-0000-000073020000}"/>
    <cellStyle name="Normal 129 4" xfId="1659" xr:uid="{00000000-0005-0000-0000-000074020000}"/>
    <cellStyle name="Normal 13" xfId="168" xr:uid="{00000000-0005-0000-0000-000075020000}"/>
    <cellStyle name="Normal 13 2" xfId="171" xr:uid="{00000000-0005-0000-0000-000076020000}"/>
    <cellStyle name="Normal 13 2 2" xfId="789" xr:uid="{00000000-0005-0000-0000-000077020000}"/>
    <cellStyle name="Normal 13 2 2 2" xfId="1893" xr:uid="{00000000-0005-0000-0000-000078020000}"/>
    <cellStyle name="Normal 13 2 3" xfId="1190" xr:uid="{00000000-0005-0000-0000-000079020000}"/>
    <cellStyle name="Normal 13 2 3 2" xfId="2194" xr:uid="{00000000-0005-0000-0000-00007A020000}"/>
    <cellStyle name="Normal 13 2 4" xfId="1578" xr:uid="{00000000-0005-0000-0000-00007B020000}"/>
    <cellStyle name="Normal 13 2 5" xfId="2552" xr:uid="{00000000-0005-0000-0000-00007C020000}"/>
    <cellStyle name="Normal 13 2 5 2" xfId="2560" xr:uid="{02207508-3237-4B6F-A6E1-8E8F768B2C07}"/>
    <cellStyle name="Normal 13 3" xfId="787" xr:uid="{00000000-0005-0000-0000-00007D020000}"/>
    <cellStyle name="Normal 13 3 2" xfId="1891" xr:uid="{00000000-0005-0000-0000-00007E020000}"/>
    <cellStyle name="Normal 13 4" xfId="1188" xr:uid="{00000000-0005-0000-0000-00007F020000}"/>
    <cellStyle name="Normal 13 4 2" xfId="2192" xr:uid="{00000000-0005-0000-0000-000080020000}"/>
    <cellStyle name="Normal 13 5" xfId="1576" xr:uid="{00000000-0005-0000-0000-000081020000}"/>
    <cellStyle name="Normal 130" xfId="378" xr:uid="{00000000-0005-0000-0000-000082020000}"/>
    <cellStyle name="Normal 131" xfId="379" xr:uid="{00000000-0005-0000-0000-000083020000}"/>
    <cellStyle name="Normal 132" xfId="380" xr:uid="{00000000-0005-0000-0000-000084020000}"/>
    <cellStyle name="Normal 132 2" xfId="871" xr:uid="{00000000-0005-0000-0000-000085020000}"/>
    <cellStyle name="Normal 132 2 2" xfId="1969" xr:uid="{00000000-0005-0000-0000-000086020000}"/>
    <cellStyle name="Normal 132 3" xfId="1277" xr:uid="{00000000-0005-0000-0000-000087020000}"/>
    <cellStyle name="Normal 132 3 2" xfId="2281" xr:uid="{00000000-0005-0000-0000-000088020000}"/>
    <cellStyle name="Normal 132 4" xfId="1660" xr:uid="{00000000-0005-0000-0000-000089020000}"/>
    <cellStyle name="Normal 133" xfId="381" xr:uid="{00000000-0005-0000-0000-00008A020000}"/>
    <cellStyle name="Normal 134" xfId="382" xr:uid="{00000000-0005-0000-0000-00008B020000}"/>
    <cellStyle name="Normal 135" xfId="383" xr:uid="{00000000-0005-0000-0000-00008C020000}"/>
    <cellStyle name="Normal 135 2" xfId="872" xr:uid="{00000000-0005-0000-0000-00008D020000}"/>
    <cellStyle name="Normal 135 2 2" xfId="1970" xr:uid="{00000000-0005-0000-0000-00008E020000}"/>
    <cellStyle name="Normal 135 3" xfId="1278" xr:uid="{00000000-0005-0000-0000-00008F020000}"/>
    <cellStyle name="Normal 135 3 2" xfId="2282" xr:uid="{00000000-0005-0000-0000-000090020000}"/>
    <cellStyle name="Normal 135 4" xfId="1661" xr:uid="{00000000-0005-0000-0000-000091020000}"/>
    <cellStyle name="Normal 136" xfId="384" xr:uid="{00000000-0005-0000-0000-000092020000}"/>
    <cellStyle name="Normal 136 2" xfId="873" xr:uid="{00000000-0005-0000-0000-000093020000}"/>
    <cellStyle name="Normal 136 2 2" xfId="1971" xr:uid="{00000000-0005-0000-0000-000094020000}"/>
    <cellStyle name="Normal 136 3" xfId="1279" xr:uid="{00000000-0005-0000-0000-000095020000}"/>
    <cellStyle name="Normal 136 3 2" xfId="2283" xr:uid="{00000000-0005-0000-0000-000096020000}"/>
    <cellStyle name="Normal 136 4" xfId="1662" xr:uid="{00000000-0005-0000-0000-000097020000}"/>
    <cellStyle name="Normal 137" xfId="385" xr:uid="{00000000-0005-0000-0000-000098020000}"/>
    <cellStyle name="Normal 137 2" xfId="874" xr:uid="{00000000-0005-0000-0000-000099020000}"/>
    <cellStyle name="Normal 137 2 2" xfId="1972" xr:uid="{00000000-0005-0000-0000-00009A020000}"/>
    <cellStyle name="Normal 137 3" xfId="1280" xr:uid="{00000000-0005-0000-0000-00009B020000}"/>
    <cellStyle name="Normal 137 3 2" xfId="2284" xr:uid="{00000000-0005-0000-0000-00009C020000}"/>
    <cellStyle name="Normal 137 4" xfId="1663" xr:uid="{00000000-0005-0000-0000-00009D020000}"/>
    <cellStyle name="Normal 138" xfId="386" xr:uid="{00000000-0005-0000-0000-00009E020000}"/>
    <cellStyle name="Normal 138 2" xfId="875" xr:uid="{00000000-0005-0000-0000-00009F020000}"/>
    <cellStyle name="Normal 138 2 2" xfId="1973" xr:uid="{00000000-0005-0000-0000-0000A0020000}"/>
    <cellStyle name="Normal 138 3" xfId="1281" xr:uid="{00000000-0005-0000-0000-0000A1020000}"/>
    <cellStyle name="Normal 138 3 2" xfId="2285" xr:uid="{00000000-0005-0000-0000-0000A2020000}"/>
    <cellStyle name="Normal 138 4" xfId="1664" xr:uid="{00000000-0005-0000-0000-0000A3020000}"/>
    <cellStyle name="Normal 139" xfId="387" xr:uid="{00000000-0005-0000-0000-0000A4020000}"/>
    <cellStyle name="Normal 139 2" xfId="944" xr:uid="{00000000-0005-0000-0000-0000A5020000}"/>
    <cellStyle name="Normal 14" xfId="169" xr:uid="{00000000-0005-0000-0000-0000A6020000}"/>
    <cellStyle name="Normal 14 2" xfId="388" xr:uid="{00000000-0005-0000-0000-0000A7020000}"/>
    <cellStyle name="Normal 140" xfId="389" xr:uid="{00000000-0005-0000-0000-0000A8020000}"/>
    <cellStyle name="Normal 140 2" xfId="876" xr:uid="{00000000-0005-0000-0000-0000A9020000}"/>
    <cellStyle name="Normal 141" xfId="390" xr:uid="{00000000-0005-0000-0000-0000AA020000}"/>
    <cellStyle name="Normal 141 2" xfId="536" xr:uid="{00000000-0005-0000-0000-0000AB020000}"/>
    <cellStyle name="Normal 141 2 2" xfId="998" xr:uid="{00000000-0005-0000-0000-0000AC020000}"/>
    <cellStyle name="Normal 141 2 2 2" xfId="2056" xr:uid="{00000000-0005-0000-0000-0000AD020000}"/>
    <cellStyle name="Normal 141 2 3" xfId="1344" xr:uid="{00000000-0005-0000-0000-0000AE020000}"/>
    <cellStyle name="Normal 141 2 3 2" xfId="2346" xr:uid="{00000000-0005-0000-0000-0000AF020000}"/>
    <cellStyle name="Normal 141 2 4" xfId="1716" xr:uid="{00000000-0005-0000-0000-0000B0020000}"/>
    <cellStyle name="Normal 141 3" xfId="877" xr:uid="{00000000-0005-0000-0000-0000B1020000}"/>
    <cellStyle name="Normal 141 4" xfId="1282" xr:uid="{00000000-0005-0000-0000-0000B2020000}"/>
    <cellStyle name="Normal 141 4 2" xfId="2286" xr:uid="{00000000-0005-0000-0000-0000B3020000}"/>
    <cellStyle name="Normal 141 5" xfId="1665" xr:uid="{00000000-0005-0000-0000-0000B4020000}"/>
    <cellStyle name="Normal 142" xfId="391" xr:uid="{00000000-0005-0000-0000-0000B5020000}"/>
    <cellStyle name="Normal 142 2" xfId="392" xr:uid="{00000000-0005-0000-0000-0000B6020000}"/>
    <cellStyle name="Normal 142 3" xfId="537" xr:uid="{00000000-0005-0000-0000-0000B7020000}"/>
    <cellStyle name="Normal 142 4" xfId="1283" xr:uid="{00000000-0005-0000-0000-0000B8020000}"/>
    <cellStyle name="Normal 142 4 2" xfId="2287" xr:uid="{00000000-0005-0000-0000-0000B9020000}"/>
    <cellStyle name="Normal 142 5" xfId="1666" xr:uid="{00000000-0005-0000-0000-0000BA020000}"/>
    <cellStyle name="Normal 143" xfId="393" xr:uid="{00000000-0005-0000-0000-0000BB020000}"/>
    <cellStyle name="Normal 143 2" xfId="908" xr:uid="{00000000-0005-0000-0000-0000BC020000}"/>
    <cellStyle name="Normal 143 2 2" xfId="2002" xr:uid="{00000000-0005-0000-0000-0000BD020000}"/>
    <cellStyle name="Normal 144" xfId="394" xr:uid="{00000000-0005-0000-0000-0000BE020000}"/>
    <cellStyle name="Normal 144 2" xfId="538" xr:uid="{00000000-0005-0000-0000-0000BF020000}"/>
    <cellStyle name="Normal 144 2 2" xfId="999" xr:uid="{00000000-0005-0000-0000-0000C0020000}"/>
    <cellStyle name="Normal 144 2 2 2" xfId="2057" xr:uid="{00000000-0005-0000-0000-0000C1020000}"/>
    <cellStyle name="Normal 144 2 3" xfId="1345" xr:uid="{00000000-0005-0000-0000-0000C2020000}"/>
    <cellStyle name="Normal 144 2 3 2" xfId="2347" xr:uid="{00000000-0005-0000-0000-0000C3020000}"/>
    <cellStyle name="Normal 144 2 4" xfId="1717" xr:uid="{00000000-0005-0000-0000-0000C4020000}"/>
    <cellStyle name="Normal 144 3" xfId="912" xr:uid="{00000000-0005-0000-0000-0000C5020000}"/>
    <cellStyle name="Normal 144 4" xfId="1284" xr:uid="{00000000-0005-0000-0000-0000C6020000}"/>
    <cellStyle name="Normal 144 4 2" xfId="2288" xr:uid="{00000000-0005-0000-0000-0000C7020000}"/>
    <cellStyle name="Normal 144 5" xfId="1667" xr:uid="{00000000-0005-0000-0000-0000C8020000}"/>
    <cellStyle name="Normal 145" xfId="395" xr:uid="{00000000-0005-0000-0000-0000C9020000}"/>
    <cellStyle name="Normal 145 2" xfId="539" xr:uid="{00000000-0005-0000-0000-0000CA020000}"/>
    <cellStyle name="Normal 146" xfId="396" xr:uid="{00000000-0005-0000-0000-0000CB020000}"/>
    <cellStyle name="Normal 147" xfId="397" xr:uid="{00000000-0005-0000-0000-0000CC020000}"/>
    <cellStyle name="Normal 147 2" xfId="913" xr:uid="{00000000-0005-0000-0000-0000CD020000}"/>
    <cellStyle name="Normal 147 3" xfId="1285" xr:uid="{00000000-0005-0000-0000-0000CE020000}"/>
    <cellStyle name="Normal 147 3 2" xfId="2289" xr:uid="{00000000-0005-0000-0000-0000CF020000}"/>
    <cellStyle name="Normal 147 4" xfId="1668" xr:uid="{00000000-0005-0000-0000-0000D0020000}"/>
    <cellStyle name="Normal 148" xfId="398" xr:uid="{00000000-0005-0000-0000-0000D1020000}"/>
    <cellStyle name="Normal 148 2" xfId="914" xr:uid="{00000000-0005-0000-0000-0000D2020000}"/>
    <cellStyle name="Normal 148 3" xfId="1286" xr:uid="{00000000-0005-0000-0000-0000D3020000}"/>
    <cellStyle name="Normal 148 3 2" xfId="2290" xr:uid="{00000000-0005-0000-0000-0000D4020000}"/>
    <cellStyle name="Normal 148 4" xfId="1669" xr:uid="{00000000-0005-0000-0000-0000D5020000}"/>
    <cellStyle name="Normal 149" xfId="399" xr:uid="{00000000-0005-0000-0000-0000D6020000}"/>
    <cellStyle name="Normal 15" xfId="173" xr:uid="{00000000-0005-0000-0000-0000D7020000}"/>
    <cellStyle name="Normal 15 2" xfId="790" xr:uid="{00000000-0005-0000-0000-0000D8020000}"/>
    <cellStyle name="Normal 15 2 2" xfId="1894" xr:uid="{00000000-0005-0000-0000-0000D9020000}"/>
    <cellStyle name="Normal 15 3" xfId="1191" xr:uid="{00000000-0005-0000-0000-0000DA020000}"/>
    <cellStyle name="Normal 15 3 2" xfId="2195" xr:uid="{00000000-0005-0000-0000-0000DB020000}"/>
    <cellStyle name="Normal 15 4" xfId="1579" xr:uid="{00000000-0005-0000-0000-0000DC020000}"/>
    <cellStyle name="Normal 150" xfId="400" xr:uid="{00000000-0005-0000-0000-0000DD020000}"/>
    <cellStyle name="Normal 150 2" xfId="915" xr:uid="{00000000-0005-0000-0000-0000DE020000}"/>
    <cellStyle name="Normal 150 3" xfId="1287" xr:uid="{00000000-0005-0000-0000-0000DF020000}"/>
    <cellStyle name="Normal 150 3 2" xfId="2291" xr:uid="{00000000-0005-0000-0000-0000E0020000}"/>
    <cellStyle name="Normal 150 4" xfId="1670" xr:uid="{00000000-0005-0000-0000-0000E1020000}"/>
    <cellStyle name="Normal 151" xfId="522" xr:uid="{00000000-0005-0000-0000-0000E2020000}"/>
    <cellStyle name="Normal 151 2" xfId="540" xr:uid="{00000000-0005-0000-0000-0000E3020000}"/>
    <cellStyle name="Normal 151 3" xfId="1331" xr:uid="{00000000-0005-0000-0000-0000E4020000}"/>
    <cellStyle name="Normal 152" xfId="541" xr:uid="{00000000-0005-0000-0000-0000E5020000}"/>
    <cellStyle name="Normal 152 2" xfId="655" xr:uid="{00000000-0005-0000-0000-0000E6020000}"/>
    <cellStyle name="Normal 152 3" xfId="1346" xr:uid="{00000000-0005-0000-0000-0000E7020000}"/>
    <cellStyle name="Normal 152 3 2" xfId="2348" xr:uid="{00000000-0005-0000-0000-0000E8020000}"/>
    <cellStyle name="Normal 152 4" xfId="1718" xr:uid="{00000000-0005-0000-0000-0000E9020000}"/>
    <cellStyle name="Normal 153" xfId="542" xr:uid="{00000000-0005-0000-0000-0000EA020000}"/>
    <cellStyle name="Normal 153 2" xfId="916" xr:uid="{00000000-0005-0000-0000-0000EB020000}"/>
    <cellStyle name="Normal 153 3" xfId="1347" xr:uid="{00000000-0005-0000-0000-0000EC020000}"/>
    <cellStyle name="Normal 153 3 2" xfId="2349" xr:uid="{00000000-0005-0000-0000-0000ED020000}"/>
    <cellStyle name="Normal 153 4" xfId="1719" xr:uid="{00000000-0005-0000-0000-0000EE020000}"/>
    <cellStyle name="Normal 154" xfId="543" xr:uid="{00000000-0005-0000-0000-0000EF020000}"/>
    <cellStyle name="Normal 154 2" xfId="656" xr:uid="{00000000-0005-0000-0000-0000F0020000}"/>
    <cellStyle name="Normal 154 2 2" xfId="1000" xr:uid="{00000000-0005-0000-0000-0000F1020000}"/>
    <cellStyle name="Normal 154 2 2 2" xfId="2058" xr:uid="{00000000-0005-0000-0000-0000F2020000}"/>
    <cellStyle name="Normal 154 2 3" xfId="1435" xr:uid="{00000000-0005-0000-0000-0000F3020000}"/>
    <cellStyle name="Normal 154 2 3 2" xfId="2436" xr:uid="{00000000-0005-0000-0000-0000F4020000}"/>
    <cellStyle name="Normal 154 2 4" xfId="1804" xr:uid="{00000000-0005-0000-0000-0000F5020000}"/>
    <cellStyle name="Normal 154 3" xfId="917" xr:uid="{00000000-0005-0000-0000-0000F6020000}"/>
    <cellStyle name="Normal 154 4" xfId="1348" xr:uid="{00000000-0005-0000-0000-0000F7020000}"/>
    <cellStyle name="Normal 154 4 2" xfId="2350" xr:uid="{00000000-0005-0000-0000-0000F8020000}"/>
    <cellStyle name="Normal 154 5" xfId="1720" xr:uid="{00000000-0005-0000-0000-0000F9020000}"/>
    <cellStyle name="Normal 155" xfId="544" xr:uid="{00000000-0005-0000-0000-0000FA020000}"/>
    <cellStyle name="Normal 155 2" xfId="918" xr:uid="{00000000-0005-0000-0000-0000FB020000}"/>
    <cellStyle name="Normal 155 3" xfId="1349" xr:uid="{00000000-0005-0000-0000-0000FC020000}"/>
    <cellStyle name="Normal 155 3 2" xfId="2351" xr:uid="{00000000-0005-0000-0000-0000FD020000}"/>
    <cellStyle name="Normal 155 4" xfId="1721" xr:uid="{00000000-0005-0000-0000-0000FE020000}"/>
    <cellStyle name="Normal 156" xfId="545" xr:uid="{00000000-0005-0000-0000-0000FF020000}"/>
    <cellStyle name="Normal 156 2" xfId="546" xr:uid="{00000000-0005-0000-0000-000000030000}"/>
    <cellStyle name="Normal 156 2 2" xfId="1001" xr:uid="{00000000-0005-0000-0000-000001030000}"/>
    <cellStyle name="Normal 156 2 2 2" xfId="2059" xr:uid="{00000000-0005-0000-0000-000002030000}"/>
    <cellStyle name="Normal 156 2 3" xfId="1351" xr:uid="{00000000-0005-0000-0000-000003030000}"/>
    <cellStyle name="Normal 156 2 3 2" xfId="2353" xr:uid="{00000000-0005-0000-0000-000004030000}"/>
    <cellStyle name="Normal 156 2 4" xfId="1723" xr:uid="{00000000-0005-0000-0000-000005030000}"/>
    <cellStyle name="Normal 156 3" xfId="919" xr:uid="{00000000-0005-0000-0000-000006030000}"/>
    <cellStyle name="Normal 156 4" xfId="1350" xr:uid="{00000000-0005-0000-0000-000007030000}"/>
    <cellStyle name="Normal 156 4 2" xfId="2352" xr:uid="{00000000-0005-0000-0000-000008030000}"/>
    <cellStyle name="Normal 156 5" xfId="1722" xr:uid="{00000000-0005-0000-0000-000009030000}"/>
    <cellStyle name="Normal 157" xfId="547" xr:uid="{00000000-0005-0000-0000-00000A030000}"/>
    <cellStyle name="Normal 157 2" xfId="920" xr:uid="{00000000-0005-0000-0000-00000B030000}"/>
    <cellStyle name="Normal 157 3" xfId="1352" xr:uid="{00000000-0005-0000-0000-00000C030000}"/>
    <cellStyle name="Normal 157 3 2" xfId="2354" xr:uid="{00000000-0005-0000-0000-00000D030000}"/>
    <cellStyle name="Normal 157 4" xfId="1724" xr:uid="{00000000-0005-0000-0000-00000E030000}"/>
    <cellStyle name="Normal 158" xfId="548" xr:uid="{00000000-0005-0000-0000-00000F030000}"/>
    <cellStyle name="Normal 158 2" xfId="921" xr:uid="{00000000-0005-0000-0000-000010030000}"/>
    <cellStyle name="Normal 158 3" xfId="1353" xr:uid="{00000000-0005-0000-0000-000011030000}"/>
    <cellStyle name="Normal 158 3 2" xfId="2355" xr:uid="{00000000-0005-0000-0000-000012030000}"/>
    <cellStyle name="Normal 158 4" xfId="1725" xr:uid="{00000000-0005-0000-0000-000013030000}"/>
    <cellStyle name="Normal 159" xfId="549" xr:uid="{00000000-0005-0000-0000-000014030000}"/>
    <cellStyle name="Normal 159 2" xfId="550" xr:uid="{00000000-0005-0000-0000-000015030000}"/>
    <cellStyle name="Normal 159 3" xfId="1354" xr:uid="{00000000-0005-0000-0000-000016030000}"/>
    <cellStyle name="Normal 159 3 2" xfId="2356" xr:uid="{00000000-0005-0000-0000-000017030000}"/>
    <cellStyle name="Normal 159 4" xfId="1726" xr:uid="{00000000-0005-0000-0000-000018030000}"/>
    <cellStyle name="Normal 16" xfId="175" xr:uid="{00000000-0005-0000-0000-000019030000}"/>
    <cellStyle name="Normal 16 2" xfId="792" xr:uid="{00000000-0005-0000-0000-00001A030000}"/>
    <cellStyle name="Normal 16 2 2" xfId="1896" xr:uid="{00000000-0005-0000-0000-00001B030000}"/>
    <cellStyle name="Normal 16 3" xfId="1193" xr:uid="{00000000-0005-0000-0000-00001C030000}"/>
    <cellStyle name="Normal 16 3 2" xfId="2197" xr:uid="{00000000-0005-0000-0000-00001D030000}"/>
    <cellStyle name="Normal 16 4" xfId="1581" xr:uid="{00000000-0005-0000-0000-00001E030000}"/>
    <cellStyle name="Normal 160" xfId="551" xr:uid="{00000000-0005-0000-0000-00001F030000}"/>
    <cellStyle name="Normal 160 2" xfId="945" xr:uid="{00000000-0005-0000-0000-000020030000}"/>
    <cellStyle name="Normal 160 3" xfId="1355" xr:uid="{00000000-0005-0000-0000-000021030000}"/>
    <cellStyle name="Normal 160 3 2" xfId="2357" xr:uid="{00000000-0005-0000-0000-000022030000}"/>
    <cellStyle name="Normal 160 4" xfId="1727" xr:uid="{00000000-0005-0000-0000-000023030000}"/>
    <cellStyle name="Normal 161" xfId="552" xr:uid="{00000000-0005-0000-0000-000024030000}"/>
    <cellStyle name="Normal 161 2" xfId="1002" xr:uid="{00000000-0005-0000-0000-000025030000}"/>
    <cellStyle name="Normal 161 2 2" xfId="2060" xr:uid="{00000000-0005-0000-0000-000026030000}"/>
    <cellStyle name="Normal 161 3" xfId="946" xr:uid="{00000000-0005-0000-0000-000027030000}"/>
    <cellStyle name="Normal 161 3 2" xfId="2016" xr:uid="{00000000-0005-0000-0000-000028030000}"/>
    <cellStyle name="Normal 161 4" xfId="1356" xr:uid="{00000000-0005-0000-0000-000029030000}"/>
    <cellStyle name="Normal 161 4 2" xfId="2358" xr:uid="{00000000-0005-0000-0000-00002A030000}"/>
    <cellStyle name="Normal 161 5" xfId="1728" xr:uid="{00000000-0005-0000-0000-00002B030000}"/>
    <cellStyle name="Normal 162" xfId="553" xr:uid="{00000000-0005-0000-0000-00002C030000}"/>
    <cellStyle name="Normal 162 2" xfId="947" xr:uid="{00000000-0005-0000-0000-00002D030000}"/>
    <cellStyle name="Normal 162 2 2" xfId="2017" xr:uid="{00000000-0005-0000-0000-00002E030000}"/>
    <cellStyle name="Normal 163" xfId="554" xr:uid="{00000000-0005-0000-0000-00002F030000}"/>
    <cellStyle name="Normal 163 2" xfId="976" xr:uid="{00000000-0005-0000-0000-000030030000}"/>
    <cellStyle name="Normal 163 3" xfId="948" xr:uid="{00000000-0005-0000-0000-000031030000}"/>
    <cellStyle name="Normal 163 3 2" xfId="2018" xr:uid="{00000000-0005-0000-0000-000032030000}"/>
    <cellStyle name="Normal 163 4" xfId="1357" xr:uid="{00000000-0005-0000-0000-000033030000}"/>
    <cellStyle name="Normal 163 4 2" xfId="2359" xr:uid="{00000000-0005-0000-0000-000034030000}"/>
    <cellStyle name="Normal 163 5" xfId="1729" xr:uid="{00000000-0005-0000-0000-000035030000}"/>
    <cellStyle name="Normal 164" xfId="555" xr:uid="{00000000-0005-0000-0000-000036030000}"/>
    <cellStyle name="Normal 164 2" xfId="949" xr:uid="{00000000-0005-0000-0000-000037030000}"/>
    <cellStyle name="Normal 164 2 2" xfId="2019" xr:uid="{00000000-0005-0000-0000-000038030000}"/>
    <cellStyle name="Normal 164 3" xfId="1358" xr:uid="{00000000-0005-0000-0000-000039030000}"/>
    <cellStyle name="Normal 164 3 2" xfId="2360" xr:uid="{00000000-0005-0000-0000-00003A030000}"/>
    <cellStyle name="Normal 164 4" xfId="1730" xr:uid="{00000000-0005-0000-0000-00003B030000}"/>
    <cellStyle name="Normal 165" xfId="556" xr:uid="{00000000-0005-0000-0000-00003C030000}"/>
    <cellStyle name="Normal 165 2" xfId="950" xr:uid="{00000000-0005-0000-0000-00003D030000}"/>
    <cellStyle name="Normal 165 3" xfId="1359" xr:uid="{00000000-0005-0000-0000-00003E030000}"/>
    <cellStyle name="Normal 165 3 2" xfId="2361" xr:uid="{00000000-0005-0000-0000-00003F030000}"/>
    <cellStyle name="Normal 165 4" xfId="1731" xr:uid="{00000000-0005-0000-0000-000040030000}"/>
    <cellStyle name="Normal 166" xfId="557" xr:uid="{00000000-0005-0000-0000-000041030000}"/>
    <cellStyle name="Normal 166 2" xfId="951" xr:uid="{00000000-0005-0000-0000-000042030000}"/>
    <cellStyle name="Normal 166 2 2" xfId="2020" xr:uid="{00000000-0005-0000-0000-000043030000}"/>
    <cellStyle name="Normal 167" xfId="558" xr:uid="{00000000-0005-0000-0000-000044030000}"/>
    <cellStyle name="Normal 167 2" xfId="971" xr:uid="{00000000-0005-0000-0000-000045030000}"/>
    <cellStyle name="Normal 167 2 2" xfId="2035" xr:uid="{00000000-0005-0000-0000-000046030000}"/>
    <cellStyle name="Normal 167 3" xfId="1360" xr:uid="{00000000-0005-0000-0000-000047030000}"/>
    <cellStyle name="Normal 167 3 2" xfId="2362" xr:uid="{00000000-0005-0000-0000-000048030000}"/>
    <cellStyle name="Normal 167 4" xfId="1732" xr:uid="{00000000-0005-0000-0000-000049030000}"/>
    <cellStyle name="Normal 168" xfId="559" xr:uid="{00000000-0005-0000-0000-00004A030000}"/>
    <cellStyle name="Normal 168 2" xfId="973" xr:uid="{00000000-0005-0000-0000-00004B030000}"/>
    <cellStyle name="Normal 168 2 2" xfId="2037" xr:uid="{00000000-0005-0000-0000-00004C030000}"/>
    <cellStyle name="Normal 168 3" xfId="1361" xr:uid="{00000000-0005-0000-0000-00004D030000}"/>
    <cellStyle name="Normal 168 3 2" xfId="2363" xr:uid="{00000000-0005-0000-0000-00004E030000}"/>
    <cellStyle name="Normal 168 4" xfId="1733" xr:uid="{00000000-0005-0000-0000-00004F030000}"/>
    <cellStyle name="Normal 169" xfId="560" xr:uid="{00000000-0005-0000-0000-000050030000}"/>
    <cellStyle name="Normal 169 2" xfId="975" xr:uid="{00000000-0005-0000-0000-000051030000}"/>
    <cellStyle name="Normal 169 3" xfId="1362" xr:uid="{00000000-0005-0000-0000-000052030000}"/>
    <cellStyle name="Normal 169 3 2" xfId="2364" xr:uid="{00000000-0005-0000-0000-000053030000}"/>
    <cellStyle name="Normal 169 4" xfId="1734" xr:uid="{00000000-0005-0000-0000-000054030000}"/>
    <cellStyle name="Normal 17" xfId="178" xr:uid="{00000000-0005-0000-0000-000055030000}"/>
    <cellStyle name="Normal 17 2" xfId="795" xr:uid="{00000000-0005-0000-0000-000056030000}"/>
    <cellStyle name="Normal 17 2 2" xfId="1899" xr:uid="{00000000-0005-0000-0000-000057030000}"/>
    <cellStyle name="Normal 17 3" xfId="1196" xr:uid="{00000000-0005-0000-0000-000058030000}"/>
    <cellStyle name="Normal 17 3 2" xfId="2200" xr:uid="{00000000-0005-0000-0000-000059030000}"/>
    <cellStyle name="Normal 17 4" xfId="1584" xr:uid="{00000000-0005-0000-0000-00005A030000}"/>
    <cellStyle name="Normal 170" xfId="561" xr:uid="{00000000-0005-0000-0000-00005B030000}"/>
    <cellStyle name="Normal 170 2" xfId="980" xr:uid="{00000000-0005-0000-0000-00005C030000}"/>
    <cellStyle name="Normal 170 2 2" xfId="2039" xr:uid="{00000000-0005-0000-0000-00005D030000}"/>
    <cellStyle name="Normal 170 3" xfId="1363" xr:uid="{00000000-0005-0000-0000-00005E030000}"/>
    <cellStyle name="Normal 170 3 2" xfId="2365" xr:uid="{00000000-0005-0000-0000-00005F030000}"/>
    <cellStyle name="Normal 170 4" xfId="1735" xr:uid="{00000000-0005-0000-0000-000060030000}"/>
    <cellStyle name="Normal 171" xfId="562" xr:uid="{00000000-0005-0000-0000-000061030000}"/>
    <cellStyle name="Normal 171 2" xfId="657" xr:uid="{00000000-0005-0000-0000-000062030000}"/>
    <cellStyle name="Normal 171 2 2" xfId="1436" xr:uid="{00000000-0005-0000-0000-000063030000}"/>
    <cellStyle name="Normal 171 2 2 2" xfId="2437" xr:uid="{00000000-0005-0000-0000-000064030000}"/>
    <cellStyle name="Normal 171 2 3" xfId="1805" xr:uid="{00000000-0005-0000-0000-000065030000}"/>
    <cellStyle name="Normal 171 3" xfId="983" xr:uid="{00000000-0005-0000-0000-000066030000}"/>
    <cellStyle name="Normal 171 3 2" xfId="2042" xr:uid="{00000000-0005-0000-0000-000067030000}"/>
    <cellStyle name="Normal 171 4" xfId="1364" xr:uid="{00000000-0005-0000-0000-000068030000}"/>
    <cellStyle name="Normal 171 4 2" xfId="2366" xr:uid="{00000000-0005-0000-0000-000069030000}"/>
    <cellStyle name="Normal 171 5" xfId="1736" xr:uid="{00000000-0005-0000-0000-00006A030000}"/>
    <cellStyle name="Normal 172" xfId="627" xr:uid="{00000000-0005-0000-0000-00006B030000}"/>
    <cellStyle name="Normal 172 2" xfId="1100" xr:uid="{00000000-0005-0000-0000-00006C030000}"/>
    <cellStyle name="Normal 172 3" xfId="1003" xr:uid="{00000000-0005-0000-0000-00006D030000}"/>
    <cellStyle name="Normal 172 3 2" xfId="2061" xr:uid="{00000000-0005-0000-0000-00006E030000}"/>
    <cellStyle name="Normal 173" xfId="628" xr:uid="{00000000-0005-0000-0000-00006F030000}"/>
    <cellStyle name="Normal 173 2" xfId="631" xr:uid="{00000000-0005-0000-0000-000070030000}"/>
    <cellStyle name="Normal 173 2 2" xfId="729" xr:uid="{00000000-0005-0000-0000-000071030000}"/>
    <cellStyle name="Normal 173 2 2 2" xfId="1474" xr:uid="{00000000-0005-0000-0000-000072030000}"/>
    <cellStyle name="Normal 173 2 2 2 2" xfId="2475" xr:uid="{00000000-0005-0000-0000-000073030000}"/>
    <cellStyle name="Normal 173 2 2 3" xfId="1842" xr:uid="{00000000-0005-0000-0000-000074030000}"/>
    <cellStyle name="Normal 173 2 3" xfId="734" xr:uid="{00000000-0005-0000-0000-000075030000}"/>
    <cellStyle name="Normal 173 2 3 2" xfId="1496" xr:uid="{00000000-0005-0000-0000-000076030000}"/>
    <cellStyle name="Normal 173 2 3 2 2" xfId="2492" xr:uid="{00000000-0005-0000-0000-000077030000}"/>
    <cellStyle name="Normal 173 2 3 3" xfId="1479" xr:uid="{00000000-0005-0000-0000-000078030000}"/>
    <cellStyle name="Normal 173 2 3 3 2" xfId="2480" xr:uid="{00000000-0005-0000-0000-000079030000}"/>
    <cellStyle name="Normal 173 2 3 4" xfId="1847" xr:uid="{00000000-0005-0000-0000-00007A030000}"/>
    <cellStyle name="Normal 173 2 4" xfId="1422" xr:uid="{00000000-0005-0000-0000-00007B030000}"/>
    <cellStyle name="Normal 173 2 4 2" xfId="2424" xr:uid="{00000000-0005-0000-0000-00007C030000}"/>
    <cellStyle name="Normal 173 2 5" xfId="1793" xr:uid="{00000000-0005-0000-0000-00007D030000}"/>
    <cellStyle name="Normal 173 3" xfId="1004" xr:uid="{00000000-0005-0000-0000-00007E030000}"/>
    <cellStyle name="Normal 173 3 2" xfId="2062" xr:uid="{00000000-0005-0000-0000-00007F030000}"/>
    <cellStyle name="Normal 173 4" xfId="1419" xr:uid="{00000000-0005-0000-0000-000080030000}"/>
    <cellStyle name="Normal 173 4 2" xfId="2421" xr:uid="{00000000-0005-0000-0000-000081030000}"/>
    <cellStyle name="Normal 173 5" xfId="1790" xr:uid="{00000000-0005-0000-0000-000082030000}"/>
    <cellStyle name="Normal 174" xfId="630" xr:uid="{00000000-0005-0000-0000-000083030000}"/>
    <cellStyle name="Normal 174 2" xfId="728" xr:uid="{00000000-0005-0000-0000-000084030000}"/>
    <cellStyle name="Normal 174 2 2" xfId="1104" xr:uid="{00000000-0005-0000-0000-000085030000}"/>
    <cellStyle name="Normal 174 2 3" xfId="1473" xr:uid="{00000000-0005-0000-0000-000086030000}"/>
    <cellStyle name="Normal 174 2 3 2" xfId="2474" xr:uid="{00000000-0005-0000-0000-000087030000}"/>
    <cellStyle name="Normal 174 2 4" xfId="1841" xr:uid="{00000000-0005-0000-0000-000088030000}"/>
    <cellStyle name="Normal 174 3" xfId="733" xr:uid="{00000000-0005-0000-0000-000089030000}"/>
    <cellStyle name="Normal 174 3 2" xfId="1495" xr:uid="{00000000-0005-0000-0000-00008A030000}"/>
    <cellStyle name="Normal 174 3 2 2" xfId="2491" xr:uid="{00000000-0005-0000-0000-00008B030000}"/>
    <cellStyle name="Normal 174 3 3" xfId="1478" xr:uid="{00000000-0005-0000-0000-00008C030000}"/>
    <cellStyle name="Normal 174 3 3 2" xfId="2479" xr:uid="{00000000-0005-0000-0000-00008D030000}"/>
    <cellStyle name="Normal 174 3 4" xfId="1846" xr:uid="{00000000-0005-0000-0000-00008E030000}"/>
    <cellStyle name="Normal 174 4" xfId="742" xr:uid="{00000000-0005-0000-0000-00008F030000}"/>
    <cellStyle name="Normal 174 4 2" xfId="1487" xr:uid="{00000000-0005-0000-0000-000090030000}"/>
    <cellStyle name="Normal 174 4 2 2" xfId="2488" xr:uid="{00000000-0005-0000-0000-000091030000}"/>
    <cellStyle name="Normal 174 4 3" xfId="1855" xr:uid="{00000000-0005-0000-0000-000092030000}"/>
    <cellStyle name="Normal 174 5" xfId="1005" xr:uid="{00000000-0005-0000-0000-000093030000}"/>
    <cellStyle name="Normal 174 5 2" xfId="2063" xr:uid="{00000000-0005-0000-0000-000094030000}"/>
    <cellStyle name="Normal 174 6" xfId="1421" xr:uid="{00000000-0005-0000-0000-000095030000}"/>
    <cellStyle name="Normal 174 6 2" xfId="2423" xr:uid="{00000000-0005-0000-0000-000096030000}"/>
    <cellStyle name="Normal 174 7" xfId="1792" xr:uid="{00000000-0005-0000-0000-000097030000}"/>
    <cellStyle name="Normal 175" xfId="634" xr:uid="{00000000-0005-0000-0000-000098030000}"/>
    <cellStyle name="Normal 175 2" xfId="1106" xr:uid="{00000000-0005-0000-0000-000099030000}"/>
    <cellStyle name="Normal 175 3" xfId="1006" xr:uid="{00000000-0005-0000-0000-00009A030000}"/>
    <cellStyle name="Normal 175 4" xfId="1425" xr:uid="{00000000-0005-0000-0000-00009B030000}"/>
    <cellStyle name="Normal 175 4 2" xfId="2427" xr:uid="{00000000-0005-0000-0000-00009C030000}"/>
    <cellStyle name="Normal 175 5" xfId="1796" xr:uid="{00000000-0005-0000-0000-00009D030000}"/>
    <cellStyle name="Normal 176" xfId="637" xr:uid="{00000000-0005-0000-0000-00009E030000}"/>
    <cellStyle name="Normal 176 2" xfId="1007" xr:uid="{00000000-0005-0000-0000-00009F030000}"/>
    <cellStyle name="Normal 176 3" xfId="1429" xr:uid="{00000000-0005-0000-0000-0000A0030000}"/>
    <cellStyle name="Normal 176 3 2" xfId="2431" xr:uid="{00000000-0005-0000-0000-0000A1030000}"/>
    <cellStyle name="Normal 176 4" xfId="1799" xr:uid="{00000000-0005-0000-0000-0000A2030000}"/>
    <cellStyle name="Normal 177" xfId="638" xr:uid="{00000000-0005-0000-0000-0000A3030000}"/>
    <cellStyle name="Normal 177 2" xfId="1008" xr:uid="{00000000-0005-0000-0000-0000A4030000}"/>
    <cellStyle name="Normal 177 2 2" xfId="2064" xr:uid="{00000000-0005-0000-0000-0000A5030000}"/>
    <cellStyle name="Normal 177 3" xfId="1430" xr:uid="{00000000-0005-0000-0000-0000A6030000}"/>
    <cellStyle name="Normal 178" xfId="658" xr:uid="{00000000-0005-0000-0000-0000A7030000}"/>
    <cellStyle name="Normal 178 2" xfId="1009" xr:uid="{00000000-0005-0000-0000-0000A8030000}"/>
    <cellStyle name="Normal 178 2 2" xfId="2065" xr:uid="{00000000-0005-0000-0000-0000A9030000}"/>
    <cellStyle name="Normal 179" xfId="659" xr:uid="{00000000-0005-0000-0000-0000AA030000}"/>
    <cellStyle name="Normal 18" xfId="181" xr:uid="{00000000-0005-0000-0000-0000AB030000}"/>
    <cellStyle name="Normal 18 2" xfId="798" xr:uid="{00000000-0005-0000-0000-0000AC030000}"/>
    <cellStyle name="Normal 180" xfId="660" xr:uid="{00000000-0005-0000-0000-0000AD030000}"/>
    <cellStyle name="Normal 180 2" xfId="1010" xr:uid="{00000000-0005-0000-0000-0000AE030000}"/>
    <cellStyle name="Normal 180 2 2" xfId="2066" xr:uid="{00000000-0005-0000-0000-0000AF030000}"/>
    <cellStyle name="Normal 181" xfId="661" xr:uid="{00000000-0005-0000-0000-0000B0030000}"/>
    <cellStyle name="Normal 181 2" xfId="1011" xr:uid="{00000000-0005-0000-0000-0000B1030000}"/>
    <cellStyle name="Normal 181 2 2" xfId="2067" xr:uid="{00000000-0005-0000-0000-0000B2030000}"/>
    <cellStyle name="Normal 182" xfId="662" xr:uid="{00000000-0005-0000-0000-0000B3030000}"/>
    <cellStyle name="Normal 183" xfId="663" xr:uid="{00000000-0005-0000-0000-0000B4030000}"/>
    <cellStyle name="Normal 183 2" xfId="664" xr:uid="{00000000-0005-0000-0000-0000B5030000}"/>
    <cellStyle name="Normal 184" xfId="665" xr:uid="{00000000-0005-0000-0000-0000B6030000}"/>
    <cellStyle name="Normal 184 2" xfId="1079" xr:uid="{00000000-0005-0000-0000-0000B7030000}"/>
    <cellStyle name="Normal 184 2 2" xfId="2134" xr:uid="{00000000-0005-0000-0000-0000B8030000}"/>
    <cellStyle name="Normal 185" xfId="666" xr:uid="{00000000-0005-0000-0000-0000B9030000}"/>
    <cellStyle name="Normal 185 2" xfId="1095" xr:uid="{00000000-0005-0000-0000-0000BA030000}"/>
    <cellStyle name="Normal 185 3" xfId="1080" xr:uid="{00000000-0005-0000-0000-0000BB030000}"/>
    <cellStyle name="Normal 185 4" xfId="1437" xr:uid="{00000000-0005-0000-0000-0000BC030000}"/>
    <cellStyle name="Normal 185 4 2" xfId="2438" xr:uid="{00000000-0005-0000-0000-0000BD030000}"/>
    <cellStyle name="Normal 185 5" xfId="1540" xr:uid="{00000000-0005-0000-0000-0000BE030000}"/>
    <cellStyle name="Normal 185 6" xfId="1806" xr:uid="{00000000-0005-0000-0000-0000BF030000}"/>
    <cellStyle name="Normal 186" xfId="667" xr:uid="{00000000-0005-0000-0000-0000C0030000}"/>
    <cellStyle name="Normal 186 2" xfId="1086" xr:uid="{00000000-0005-0000-0000-0000C1030000}"/>
    <cellStyle name="Normal 186 2 2" xfId="2140" xr:uid="{00000000-0005-0000-0000-0000C2030000}"/>
    <cellStyle name="Normal 186 3" xfId="1438" xr:uid="{00000000-0005-0000-0000-0000C3030000}"/>
    <cellStyle name="Normal 186 3 2" xfId="2439" xr:uid="{00000000-0005-0000-0000-0000C4030000}"/>
    <cellStyle name="Normal 186 4" xfId="1807" xr:uid="{00000000-0005-0000-0000-0000C5030000}"/>
    <cellStyle name="Normal 187" xfId="668" xr:uid="{00000000-0005-0000-0000-0000C6030000}"/>
    <cellStyle name="Normal 187 2" xfId="1087" xr:uid="{00000000-0005-0000-0000-0000C7030000}"/>
    <cellStyle name="Normal 187 2 2" xfId="2141" xr:uid="{00000000-0005-0000-0000-0000C8030000}"/>
    <cellStyle name="Normal 187 3" xfId="1439" xr:uid="{00000000-0005-0000-0000-0000C9030000}"/>
    <cellStyle name="Normal 187 3 2" xfId="2440" xr:uid="{00000000-0005-0000-0000-0000CA030000}"/>
    <cellStyle name="Normal 187 4" xfId="1808" xr:uid="{00000000-0005-0000-0000-0000CB030000}"/>
    <cellStyle name="Normal 188" xfId="669" xr:uid="{00000000-0005-0000-0000-0000CC030000}"/>
    <cellStyle name="Normal 188 2" xfId="1089" xr:uid="{00000000-0005-0000-0000-0000CD030000}"/>
    <cellStyle name="Normal 188 2 2" xfId="2143" xr:uid="{00000000-0005-0000-0000-0000CE030000}"/>
    <cellStyle name="Normal 189" xfId="670" xr:uid="{00000000-0005-0000-0000-0000CF030000}"/>
    <cellStyle name="Normal 19" xfId="183" xr:uid="{00000000-0005-0000-0000-0000D0030000}"/>
    <cellStyle name="Normal 19 2" xfId="800" xr:uid="{00000000-0005-0000-0000-0000D1030000}"/>
    <cellStyle name="Normal 19 2 2" xfId="1903" xr:uid="{00000000-0005-0000-0000-0000D2030000}"/>
    <cellStyle name="Normal 19 3" xfId="1200" xr:uid="{00000000-0005-0000-0000-0000D3030000}"/>
    <cellStyle name="Normal 19 3 2" xfId="2204" xr:uid="{00000000-0005-0000-0000-0000D4030000}"/>
    <cellStyle name="Normal 19 4" xfId="1586" xr:uid="{00000000-0005-0000-0000-0000D5030000}"/>
    <cellStyle name="Normal 190" xfId="741" xr:uid="{00000000-0005-0000-0000-0000D6030000}"/>
    <cellStyle name="Normal 190 2" xfId="1090" xr:uid="{00000000-0005-0000-0000-0000D7030000}"/>
    <cellStyle name="Normal 190 2 2" xfId="1500" xr:uid="{00000000-0005-0000-0000-0000D8030000}"/>
    <cellStyle name="Normal 190 2 2 2" xfId="2496" xr:uid="{00000000-0005-0000-0000-0000D9030000}"/>
    <cellStyle name="Normal 190 2 3" xfId="2144" xr:uid="{00000000-0005-0000-0000-0000DA030000}"/>
    <cellStyle name="Normal 190 3" xfId="1486" xr:uid="{00000000-0005-0000-0000-0000DB030000}"/>
    <cellStyle name="Normal 190 3 2" xfId="2487" xr:uid="{00000000-0005-0000-0000-0000DC030000}"/>
    <cellStyle name="Normal 190 4" xfId="1854" xr:uid="{00000000-0005-0000-0000-0000DD030000}"/>
    <cellStyle name="Normal 191" xfId="744" xr:uid="{00000000-0005-0000-0000-0000DE030000}"/>
    <cellStyle name="Normal 191 2" xfId="1091" xr:uid="{00000000-0005-0000-0000-0000DF030000}"/>
    <cellStyle name="Normal 191 3" xfId="1489" xr:uid="{00000000-0005-0000-0000-0000E0030000}"/>
    <cellStyle name="Normal 191 3 2" xfId="2490" xr:uid="{00000000-0005-0000-0000-0000E1030000}"/>
    <cellStyle name="Normal 191 4" xfId="1857" xr:uid="{00000000-0005-0000-0000-0000E2030000}"/>
    <cellStyle name="Normal 192" xfId="745" xr:uid="{00000000-0005-0000-0000-0000E3030000}"/>
    <cellStyle name="Normal 192 2" xfId="1093" xr:uid="{00000000-0005-0000-0000-0000E4030000}"/>
    <cellStyle name="Normal 192 2 2" xfId="2145" xr:uid="{00000000-0005-0000-0000-0000E5030000}"/>
    <cellStyle name="Normal 192 3" xfId="1490" xr:uid="{00000000-0005-0000-0000-0000E6030000}"/>
    <cellStyle name="Normal 193" xfId="748" xr:uid="{00000000-0005-0000-0000-0000E7030000}"/>
    <cellStyle name="Normal 193 2" xfId="1092" xr:uid="{00000000-0005-0000-0000-0000E8030000}"/>
    <cellStyle name="Normal 193 3" xfId="1492" xr:uid="{00000000-0005-0000-0000-0000E9030000}"/>
    <cellStyle name="Normal 194" xfId="1096" xr:uid="{00000000-0005-0000-0000-0000EA030000}"/>
    <cellStyle name="Normal 194 2" xfId="1494" xr:uid="{00000000-0005-0000-0000-0000EB030000}"/>
    <cellStyle name="Normal 194 3" xfId="2146" xr:uid="{00000000-0005-0000-0000-0000EC030000}"/>
    <cellStyle name="Normal 195" xfId="1097" xr:uid="{00000000-0005-0000-0000-0000ED030000}"/>
    <cellStyle name="Normal 195 2" xfId="1111" xr:uid="{00000000-0005-0000-0000-0000EE030000}"/>
    <cellStyle name="Normal 195 3" xfId="2147" xr:uid="{00000000-0005-0000-0000-0000EF030000}"/>
    <cellStyle name="Normal 196" xfId="1099" xr:uid="{00000000-0005-0000-0000-0000F0030000}"/>
    <cellStyle name="Normal 196 2" xfId="2149" xr:uid="{00000000-0005-0000-0000-0000F1030000}"/>
    <cellStyle name="Normal 197" xfId="750" xr:uid="{00000000-0005-0000-0000-0000F2030000}"/>
    <cellStyle name="Normal 197 2" xfId="1520" xr:uid="{00000000-0005-0000-0000-0000F3030000}"/>
    <cellStyle name="Normal 197 2 2" xfId="1551" xr:uid="{00000000-0005-0000-0000-0000F4030000}"/>
    <cellStyle name="Normal 198" xfId="1101" xr:uid="{00000000-0005-0000-0000-0000F5030000}"/>
    <cellStyle name="Normal 199" xfId="1102" xr:uid="{00000000-0005-0000-0000-0000F6030000}"/>
    <cellStyle name="Normal 2" xfId="83" xr:uid="{00000000-0005-0000-0000-0000F7030000}"/>
    <cellStyle name="Normal 2 11" xfId="1522" xr:uid="{00000000-0005-0000-0000-0000F8030000}"/>
    <cellStyle name="Normal 2 2" xfId="84" xr:uid="{00000000-0005-0000-0000-0000F9030000}"/>
    <cellStyle name="Normal 2 2 2" xfId="142" xr:uid="{00000000-0005-0000-0000-0000FA030000}"/>
    <cellStyle name="Normal 2 2 2 2" xfId="172" xr:uid="{00000000-0005-0000-0000-0000FB030000}"/>
    <cellStyle name="Normal 2 2 2 7" xfId="1524" xr:uid="{00000000-0005-0000-0000-0000FC030000}"/>
    <cellStyle name="Normal 2 2 3" xfId="563" xr:uid="{00000000-0005-0000-0000-0000FD030000}"/>
    <cellStyle name="Normal 2 3" xfId="143" xr:uid="{00000000-0005-0000-0000-0000FE030000}"/>
    <cellStyle name="Normal 2 3 10" xfId="671" xr:uid="{00000000-0005-0000-0000-0000FF030000}"/>
    <cellStyle name="Normal 2 3 10 2" xfId="1012" xr:uid="{00000000-0005-0000-0000-000000040000}"/>
    <cellStyle name="Normal 2 3 10 2 2" xfId="2068" xr:uid="{00000000-0005-0000-0000-000001040000}"/>
    <cellStyle name="Normal 2 3 10 3" xfId="1440" xr:uid="{00000000-0005-0000-0000-000002040000}"/>
    <cellStyle name="Normal 2 3 10 3 2" xfId="2441" xr:uid="{00000000-0005-0000-0000-000003040000}"/>
    <cellStyle name="Normal 2 3 10 4" xfId="1809" xr:uid="{00000000-0005-0000-0000-000004040000}"/>
    <cellStyle name="Normal 2 3 11" xfId="672" xr:uid="{00000000-0005-0000-0000-000005040000}"/>
    <cellStyle name="Normal 2 3 11 2" xfId="1013" xr:uid="{00000000-0005-0000-0000-000006040000}"/>
    <cellStyle name="Normal 2 3 11 2 2" xfId="2069" xr:uid="{00000000-0005-0000-0000-000007040000}"/>
    <cellStyle name="Normal 2 3 11 3" xfId="1441" xr:uid="{00000000-0005-0000-0000-000008040000}"/>
    <cellStyle name="Normal 2 3 11 3 2" xfId="2442" xr:uid="{00000000-0005-0000-0000-000009040000}"/>
    <cellStyle name="Normal 2 3 11 4" xfId="1810" xr:uid="{00000000-0005-0000-0000-00000A040000}"/>
    <cellStyle name="Normal 2 3 12" xfId="673" xr:uid="{00000000-0005-0000-0000-00000B040000}"/>
    <cellStyle name="Normal 2 3 12 2" xfId="1014" xr:uid="{00000000-0005-0000-0000-00000C040000}"/>
    <cellStyle name="Normal 2 3 12 2 2" xfId="2070" xr:uid="{00000000-0005-0000-0000-00000D040000}"/>
    <cellStyle name="Normal 2 3 12 3" xfId="1442" xr:uid="{00000000-0005-0000-0000-00000E040000}"/>
    <cellStyle name="Normal 2 3 12 3 2" xfId="2443" xr:uid="{00000000-0005-0000-0000-00000F040000}"/>
    <cellStyle name="Normal 2 3 12 4" xfId="1811" xr:uid="{00000000-0005-0000-0000-000010040000}"/>
    <cellStyle name="Normal 2 3 13" xfId="674" xr:uid="{00000000-0005-0000-0000-000011040000}"/>
    <cellStyle name="Normal 2 3 13 2" xfId="1015" xr:uid="{00000000-0005-0000-0000-000012040000}"/>
    <cellStyle name="Normal 2 3 13 2 2" xfId="2071" xr:uid="{00000000-0005-0000-0000-000013040000}"/>
    <cellStyle name="Normal 2 3 13 3" xfId="1443" xr:uid="{00000000-0005-0000-0000-000014040000}"/>
    <cellStyle name="Normal 2 3 13 3 2" xfId="2444" xr:uid="{00000000-0005-0000-0000-000015040000}"/>
    <cellStyle name="Normal 2 3 13 4" xfId="1812" xr:uid="{00000000-0005-0000-0000-000016040000}"/>
    <cellStyle name="Normal 2 3 14" xfId="1016" xr:uid="{00000000-0005-0000-0000-000017040000}"/>
    <cellStyle name="Normal 2 3 14 2" xfId="2072" xr:uid="{00000000-0005-0000-0000-000018040000}"/>
    <cellStyle name="Normal 2 3 15" xfId="771" xr:uid="{00000000-0005-0000-0000-000019040000}"/>
    <cellStyle name="Normal 2 3 15 2" xfId="1875" xr:uid="{00000000-0005-0000-0000-00001A040000}"/>
    <cellStyle name="Normal 2 3 16" xfId="1172" xr:uid="{00000000-0005-0000-0000-00001B040000}"/>
    <cellStyle name="Normal 2 3 16 2" xfId="2176" xr:uid="{00000000-0005-0000-0000-00001C040000}"/>
    <cellStyle name="Normal 2 3 17" xfId="1570" xr:uid="{00000000-0005-0000-0000-00001D040000}"/>
    <cellStyle name="Normal 2 3 2" xfId="250" xr:uid="{00000000-0005-0000-0000-00001E040000}"/>
    <cellStyle name="Normal 2 3 2 2" xfId="818" xr:uid="{00000000-0005-0000-0000-00001F040000}"/>
    <cellStyle name="Normal 2 3 2 2 2" xfId="1920" xr:uid="{00000000-0005-0000-0000-000020040000}"/>
    <cellStyle name="Normal 2 3 2 3" xfId="1219" xr:uid="{00000000-0005-0000-0000-000021040000}"/>
    <cellStyle name="Normal 2 3 2 3 2" xfId="2223" xr:uid="{00000000-0005-0000-0000-000022040000}"/>
    <cellStyle name="Normal 2 3 2 4" xfId="1605" xr:uid="{00000000-0005-0000-0000-000023040000}"/>
    <cellStyle name="Normal 2 3 3" xfId="401" xr:uid="{00000000-0005-0000-0000-000024040000}"/>
    <cellStyle name="Normal 2 3 3 2" xfId="878" xr:uid="{00000000-0005-0000-0000-000025040000}"/>
    <cellStyle name="Normal 2 3 3 2 2" xfId="1974" xr:uid="{00000000-0005-0000-0000-000026040000}"/>
    <cellStyle name="Normal 2 3 3 3" xfId="1288" xr:uid="{00000000-0005-0000-0000-000027040000}"/>
    <cellStyle name="Normal 2 3 3 3 2" xfId="2292" xr:uid="{00000000-0005-0000-0000-000028040000}"/>
    <cellStyle name="Normal 2 3 3 4" xfId="1671" xr:uid="{00000000-0005-0000-0000-000029040000}"/>
    <cellStyle name="Normal 2 3 4" xfId="402" xr:uid="{00000000-0005-0000-0000-00002A040000}"/>
    <cellStyle name="Normal 2 3 4 2" xfId="879" xr:uid="{00000000-0005-0000-0000-00002B040000}"/>
    <cellStyle name="Normal 2 3 4 2 2" xfId="1975" xr:uid="{00000000-0005-0000-0000-00002C040000}"/>
    <cellStyle name="Normal 2 3 4 3" xfId="1289" xr:uid="{00000000-0005-0000-0000-00002D040000}"/>
    <cellStyle name="Normal 2 3 4 3 2" xfId="2293" xr:uid="{00000000-0005-0000-0000-00002E040000}"/>
    <cellStyle name="Normal 2 3 4 4" xfId="1672" xr:uid="{00000000-0005-0000-0000-00002F040000}"/>
    <cellStyle name="Normal 2 3 5" xfId="403" xr:uid="{00000000-0005-0000-0000-000030040000}"/>
    <cellStyle name="Normal 2 3 5 2" xfId="880" xr:uid="{00000000-0005-0000-0000-000031040000}"/>
    <cellStyle name="Normal 2 3 5 2 2" xfId="1976" xr:uid="{00000000-0005-0000-0000-000032040000}"/>
    <cellStyle name="Normal 2 3 5 3" xfId="1290" xr:uid="{00000000-0005-0000-0000-000033040000}"/>
    <cellStyle name="Normal 2 3 5 3 2" xfId="2294" xr:uid="{00000000-0005-0000-0000-000034040000}"/>
    <cellStyle name="Normal 2 3 5 4" xfId="1673" xr:uid="{00000000-0005-0000-0000-000035040000}"/>
    <cellStyle name="Normal 2 3 6" xfId="404" xr:uid="{00000000-0005-0000-0000-000036040000}"/>
    <cellStyle name="Normal 2 3 6 2" xfId="952" xr:uid="{00000000-0005-0000-0000-000037040000}"/>
    <cellStyle name="Normal 2 3 6 2 2" xfId="2021" xr:uid="{00000000-0005-0000-0000-000038040000}"/>
    <cellStyle name="Normal 2 3 6 3" xfId="1291" xr:uid="{00000000-0005-0000-0000-000039040000}"/>
    <cellStyle name="Normal 2 3 6 3 2" xfId="2295" xr:uid="{00000000-0005-0000-0000-00003A040000}"/>
    <cellStyle name="Normal 2 3 6 4" xfId="1674" xr:uid="{00000000-0005-0000-0000-00003B040000}"/>
    <cellStyle name="Normal 2 3 7" xfId="405" xr:uid="{00000000-0005-0000-0000-00003C040000}"/>
    <cellStyle name="Normal 2 3 7 2" xfId="953" xr:uid="{00000000-0005-0000-0000-00003D040000}"/>
    <cellStyle name="Normal 2 3 7 2 2" xfId="2022" xr:uid="{00000000-0005-0000-0000-00003E040000}"/>
    <cellStyle name="Normal 2 3 7 3" xfId="1292" xr:uid="{00000000-0005-0000-0000-00003F040000}"/>
    <cellStyle name="Normal 2 3 7 3 2" xfId="2296" xr:uid="{00000000-0005-0000-0000-000040040000}"/>
    <cellStyle name="Normal 2 3 7 4" xfId="1675" xr:uid="{00000000-0005-0000-0000-000041040000}"/>
    <cellStyle name="Normal 2 3 8" xfId="564" xr:uid="{00000000-0005-0000-0000-000042040000}"/>
    <cellStyle name="Normal 2 3 8 2" xfId="954" xr:uid="{00000000-0005-0000-0000-000043040000}"/>
    <cellStyle name="Normal 2 3 8 2 2" xfId="2023" xr:uid="{00000000-0005-0000-0000-000044040000}"/>
    <cellStyle name="Normal 2 3 8 3" xfId="1365" xr:uid="{00000000-0005-0000-0000-000045040000}"/>
    <cellStyle name="Normal 2 3 8 3 2" xfId="2367" xr:uid="{00000000-0005-0000-0000-000046040000}"/>
    <cellStyle name="Normal 2 3 8 4" xfId="1737" xr:uid="{00000000-0005-0000-0000-000047040000}"/>
    <cellStyle name="Normal 2 3 9" xfId="675" xr:uid="{00000000-0005-0000-0000-000048040000}"/>
    <cellStyle name="Normal 2 3 9 2" xfId="955" xr:uid="{00000000-0005-0000-0000-000049040000}"/>
    <cellStyle name="Normal 2 3 9 2 2" xfId="2024" xr:uid="{00000000-0005-0000-0000-00004A040000}"/>
    <cellStyle name="Normal 2 3 9 3" xfId="1444" xr:uid="{00000000-0005-0000-0000-00004B040000}"/>
    <cellStyle name="Normal 2 3 9 3 2" xfId="2445" xr:uid="{00000000-0005-0000-0000-00004C040000}"/>
    <cellStyle name="Normal 2 3 9 4" xfId="1813" xr:uid="{00000000-0005-0000-0000-00004D040000}"/>
    <cellStyle name="Normal 2 4" xfId="251" xr:uid="{00000000-0005-0000-0000-00004E040000}"/>
    <cellStyle name="Normal 2 5" xfId="676" xr:uid="{00000000-0005-0000-0000-00004F040000}"/>
    <cellStyle name="Normal 2 5 2" xfId="1445" xr:uid="{00000000-0005-0000-0000-000050040000}"/>
    <cellStyle name="Normal 2 5 2 2" xfId="2446" xr:uid="{00000000-0005-0000-0000-000051040000}"/>
    <cellStyle name="Normal 2 5 3" xfId="1814" xr:uid="{00000000-0005-0000-0000-000052040000}"/>
    <cellStyle name="Normal 2 6" xfId="746" xr:uid="{00000000-0005-0000-0000-000053040000}"/>
    <cellStyle name="Normal 2 6 2" xfId="1491" xr:uid="{00000000-0005-0000-0000-000054040000}"/>
    <cellStyle name="Normal 2 7 4" xfId="2534" xr:uid="{00000000-0005-0000-0000-000055040000}"/>
    <cellStyle name="Normal 2_1-Cia - Conta Corrente" xfId="85" xr:uid="{00000000-0005-0000-0000-000056040000}"/>
    <cellStyle name="Normal 20" xfId="186" xr:uid="{00000000-0005-0000-0000-000057040000}"/>
    <cellStyle name="Normal 20 2" xfId="406" xr:uid="{00000000-0005-0000-0000-000058040000}"/>
    <cellStyle name="Normal 20 3" xfId="407" xr:uid="{00000000-0005-0000-0000-000059040000}"/>
    <cellStyle name="Normal 200" xfId="1103" xr:uid="{00000000-0005-0000-0000-00005A040000}"/>
    <cellStyle name="Normal 200 2" xfId="1530" xr:uid="{00000000-0005-0000-0000-00005B040000}"/>
    <cellStyle name="Normal 201" xfId="1108" xr:uid="{00000000-0005-0000-0000-00005C040000}"/>
    <cellStyle name="Normal 201 2" xfId="1109" xr:uid="{00000000-0005-0000-0000-00005D040000}"/>
    <cellStyle name="Normal 202" xfId="1110" xr:uid="{00000000-0005-0000-0000-00005E040000}"/>
    <cellStyle name="Normal 202 2" xfId="2151" xr:uid="{00000000-0005-0000-0000-00005F040000}"/>
    <cellStyle name="Normal 203" xfId="1501" xr:uid="{00000000-0005-0000-0000-000060040000}"/>
    <cellStyle name="Normal 203 2" xfId="2497" xr:uid="{00000000-0005-0000-0000-000061040000}"/>
    <cellStyle name="Normal 204" xfId="1503" xr:uid="{00000000-0005-0000-0000-000062040000}"/>
    <cellStyle name="Normal 204 2" xfId="2498" xr:uid="{00000000-0005-0000-0000-000063040000}"/>
    <cellStyle name="Normal 205" xfId="1504" xr:uid="{00000000-0005-0000-0000-000064040000}"/>
    <cellStyle name="Normal 205 2" xfId="1509" xr:uid="{00000000-0005-0000-0000-000065040000}"/>
    <cellStyle name="Normal 206" xfId="1506" xr:uid="{00000000-0005-0000-0000-000066040000}"/>
    <cellStyle name="Normal 206 2" xfId="2499" xr:uid="{00000000-0005-0000-0000-000067040000}"/>
    <cellStyle name="Normal 207" xfId="1507" xr:uid="{00000000-0005-0000-0000-000068040000}"/>
    <cellStyle name="Normal 207 2" xfId="2500" xr:uid="{00000000-0005-0000-0000-000069040000}"/>
    <cellStyle name="Normal 208" xfId="1510" xr:uid="{00000000-0005-0000-0000-00006A040000}"/>
    <cellStyle name="Normal 208 2" xfId="1514" xr:uid="{00000000-0005-0000-0000-00006B040000}"/>
    <cellStyle name="Normal 208 3" xfId="2501" xr:uid="{00000000-0005-0000-0000-00006C040000}"/>
    <cellStyle name="Normal 209" xfId="1533" xr:uid="{00000000-0005-0000-0000-00006D040000}"/>
    <cellStyle name="Normal 21" xfId="187" xr:uid="{00000000-0005-0000-0000-00006E040000}"/>
    <cellStyle name="Normal 21 2" xfId="188" xr:uid="{00000000-0005-0000-0000-00006F040000}"/>
    <cellStyle name="Normal 21 2 2" xfId="804" xr:uid="{00000000-0005-0000-0000-000070040000}"/>
    <cellStyle name="Normal 21 2 2 2" xfId="1906" xr:uid="{00000000-0005-0000-0000-000071040000}"/>
    <cellStyle name="Normal 21 2 3" xfId="1203" xr:uid="{00000000-0005-0000-0000-000072040000}"/>
    <cellStyle name="Normal 21 2 3 2" xfId="2207" xr:uid="{00000000-0005-0000-0000-000073040000}"/>
    <cellStyle name="Normal 21 2 4" xfId="1589" xr:uid="{00000000-0005-0000-0000-000074040000}"/>
    <cellStyle name="Normal 21 3" xfId="803" xr:uid="{00000000-0005-0000-0000-000075040000}"/>
    <cellStyle name="Normal 210" xfId="1538" xr:uid="{00000000-0005-0000-0000-000076040000}"/>
    <cellStyle name="Normal 210 2" xfId="2518" xr:uid="{00000000-0005-0000-0000-000077040000}"/>
    <cellStyle name="Normal 211" xfId="1539" xr:uid="{00000000-0005-0000-0000-000078040000}"/>
    <cellStyle name="Normal 211 2" xfId="1546" xr:uid="{00000000-0005-0000-0000-000079040000}"/>
    <cellStyle name="Normal 212" xfId="1541" xr:uid="{00000000-0005-0000-0000-00007A040000}"/>
    <cellStyle name="Normal 213" xfId="1542" xr:uid="{00000000-0005-0000-0000-00007B040000}"/>
    <cellStyle name="Normal 213 2" xfId="1529" xr:uid="{00000000-0005-0000-0000-00007C040000}"/>
    <cellStyle name="Normal 213 3" xfId="2519" xr:uid="{00000000-0005-0000-0000-00007D040000}"/>
    <cellStyle name="Normal 214" xfId="1545" xr:uid="{00000000-0005-0000-0000-00007E040000}"/>
    <cellStyle name="Normal 214 2" xfId="2522" xr:uid="{00000000-0005-0000-0000-00007F040000}"/>
    <cellStyle name="Normal 215" xfId="1547" xr:uid="{00000000-0005-0000-0000-000080040000}"/>
    <cellStyle name="Normal 215 2" xfId="2523" xr:uid="{00000000-0005-0000-0000-000081040000}"/>
    <cellStyle name="Normal 216" xfId="1548" xr:uid="{00000000-0005-0000-0000-000082040000}"/>
    <cellStyle name="Normal 216 2" xfId="2524" xr:uid="{00000000-0005-0000-0000-000083040000}"/>
    <cellStyle name="Normal 216 3" xfId="2091" xr:uid="{00000000-0005-0000-0000-000084040000}"/>
    <cellStyle name="Normal 217" xfId="1549" xr:uid="{00000000-0005-0000-0000-000085040000}"/>
    <cellStyle name="Normal 218" xfId="2525" xr:uid="{00000000-0005-0000-0000-000086040000}"/>
    <cellStyle name="Normal 219" xfId="1525" xr:uid="{00000000-0005-0000-0000-000087040000}"/>
    <cellStyle name="Normal 22" xfId="252" xr:uid="{00000000-0005-0000-0000-000088040000}"/>
    <cellStyle name="Normal 22 2" xfId="819" xr:uid="{00000000-0005-0000-0000-000089040000}"/>
    <cellStyle name="Normal 22 2 2" xfId="1921" xr:uid="{00000000-0005-0000-0000-00008A040000}"/>
    <cellStyle name="Normal 22 3" xfId="1220" xr:uid="{00000000-0005-0000-0000-00008B040000}"/>
    <cellStyle name="Normal 22 3 2" xfId="2224" xr:uid="{00000000-0005-0000-0000-00008C040000}"/>
    <cellStyle name="Normal 22 4" xfId="1606" xr:uid="{00000000-0005-0000-0000-00008D040000}"/>
    <cellStyle name="Normal 220" xfId="2526" xr:uid="{00000000-0005-0000-0000-00008E040000}"/>
    <cellStyle name="Normal 221" xfId="2530" xr:uid="{00000000-0005-0000-0000-00008F040000}"/>
    <cellStyle name="Normal 222" xfId="1519" xr:uid="{00000000-0005-0000-0000-000090040000}"/>
    <cellStyle name="Normal 223" xfId="2535" xr:uid="{00000000-0005-0000-0000-000091040000}"/>
    <cellStyle name="Normal 224" xfId="2536" xr:uid="{00000000-0005-0000-0000-000092040000}"/>
    <cellStyle name="Normal 225" xfId="2541" xr:uid="{00000000-0005-0000-0000-000093040000}"/>
    <cellStyle name="Normal 226" xfId="1518" xr:uid="{00000000-0005-0000-0000-000094040000}"/>
    <cellStyle name="Normal 227" xfId="2531" xr:uid="{00000000-0005-0000-0000-000095040000}"/>
    <cellStyle name="Normal 228" xfId="2544" xr:uid="{00000000-0005-0000-0000-000096040000}"/>
    <cellStyle name="Normal 229" xfId="2546" xr:uid="{00000000-0005-0000-0000-000097040000}"/>
    <cellStyle name="Normal 229 2" xfId="2561" xr:uid="{0208A140-8A00-4E17-8307-F5A150B23849}"/>
    <cellStyle name="Normal 23" xfId="253" xr:uid="{00000000-0005-0000-0000-000098040000}"/>
    <cellStyle name="Normal 230" xfId="2555" xr:uid="{FA1C3EC2-C30E-4523-AA76-18999F784956}"/>
    <cellStyle name="Normal 231" xfId="2557" xr:uid="{A6E008D6-81DE-48FD-95C2-C31517BD726B}"/>
    <cellStyle name="Normal 24" xfId="254" xr:uid="{00000000-0005-0000-0000-000099040000}"/>
    <cellStyle name="Normal 24 2" xfId="820" xr:uid="{00000000-0005-0000-0000-00009A040000}"/>
    <cellStyle name="Normal 24 2 2" xfId="1922" xr:uid="{00000000-0005-0000-0000-00009B040000}"/>
    <cellStyle name="Normal 24 3" xfId="1221" xr:uid="{00000000-0005-0000-0000-00009C040000}"/>
    <cellStyle name="Normal 24 3 2" xfId="2225" xr:uid="{00000000-0005-0000-0000-00009D040000}"/>
    <cellStyle name="Normal 24 4" xfId="1607" xr:uid="{00000000-0005-0000-0000-00009E040000}"/>
    <cellStyle name="Normal 25" xfId="255" xr:uid="{00000000-0005-0000-0000-00009F040000}"/>
    <cellStyle name="Normal 25 2" xfId="821" xr:uid="{00000000-0005-0000-0000-0000A0040000}"/>
    <cellStyle name="Normal 25 2 2" xfId="1923" xr:uid="{00000000-0005-0000-0000-0000A1040000}"/>
    <cellStyle name="Normal 25 3" xfId="1222" xr:uid="{00000000-0005-0000-0000-0000A2040000}"/>
    <cellStyle name="Normal 25 3 2" xfId="2226" xr:uid="{00000000-0005-0000-0000-0000A3040000}"/>
    <cellStyle name="Normal 25 4" xfId="1608" xr:uid="{00000000-0005-0000-0000-0000A4040000}"/>
    <cellStyle name="Normal 26" xfId="256" xr:uid="{00000000-0005-0000-0000-0000A5040000}"/>
    <cellStyle name="Normal 26 2" xfId="822" xr:uid="{00000000-0005-0000-0000-0000A6040000}"/>
    <cellStyle name="Normal 26 2 2" xfId="1924" xr:uid="{00000000-0005-0000-0000-0000A7040000}"/>
    <cellStyle name="Normal 26 3" xfId="1223" xr:uid="{00000000-0005-0000-0000-0000A8040000}"/>
    <cellStyle name="Normal 26 3 2" xfId="2227" xr:uid="{00000000-0005-0000-0000-0000A9040000}"/>
    <cellStyle name="Normal 26 4" xfId="1609" xr:uid="{00000000-0005-0000-0000-0000AA040000}"/>
    <cellStyle name="Normal 266" xfId="2542" xr:uid="{00000000-0005-0000-0000-0000AB040000}"/>
    <cellStyle name="Normal 27" xfId="257" xr:uid="{00000000-0005-0000-0000-0000AC040000}"/>
    <cellStyle name="Normal 273" xfId="2554" xr:uid="{F3D637B2-E21B-42E4-B67A-5DB02D05165C}"/>
    <cellStyle name="Normal 28" xfId="258" xr:uid="{00000000-0005-0000-0000-0000AD040000}"/>
    <cellStyle name="Normal 28 10" xfId="1224" xr:uid="{00000000-0005-0000-0000-0000AE040000}"/>
    <cellStyle name="Normal 28 10 2" xfId="2228" xr:uid="{00000000-0005-0000-0000-0000AF040000}"/>
    <cellStyle name="Normal 28 11" xfId="1610" xr:uid="{00000000-0005-0000-0000-0000B0040000}"/>
    <cellStyle name="Normal 28 2" xfId="259" xr:uid="{00000000-0005-0000-0000-0000B1040000}"/>
    <cellStyle name="Normal 28 2 2" xfId="824" xr:uid="{00000000-0005-0000-0000-0000B2040000}"/>
    <cellStyle name="Normal 28 2 2 2" xfId="1926" xr:uid="{00000000-0005-0000-0000-0000B3040000}"/>
    <cellStyle name="Normal 28 2 3" xfId="1225" xr:uid="{00000000-0005-0000-0000-0000B4040000}"/>
    <cellStyle name="Normal 28 2 3 2" xfId="2229" xr:uid="{00000000-0005-0000-0000-0000B5040000}"/>
    <cellStyle name="Normal 28 2 4" xfId="1611" xr:uid="{00000000-0005-0000-0000-0000B6040000}"/>
    <cellStyle name="Normal 28 20" xfId="1515" xr:uid="{00000000-0005-0000-0000-0000B7040000}"/>
    <cellStyle name="Normal 28 20 2" xfId="2505" xr:uid="{00000000-0005-0000-0000-0000B8040000}"/>
    <cellStyle name="Normal 28 3" xfId="565" xr:uid="{00000000-0005-0000-0000-0000B9040000}"/>
    <cellStyle name="Normal 28 3 2" xfId="1017" xr:uid="{00000000-0005-0000-0000-0000BA040000}"/>
    <cellStyle name="Normal 28 3 2 2" xfId="2073" xr:uid="{00000000-0005-0000-0000-0000BB040000}"/>
    <cellStyle name="Normal 28 3 3" xfId="1366" xr:uid="{00000000-0005-0000-0000-0000BC040000}"/>
    <cellStyle name="Normal 28 3 3 2" xfId="2368" xr:uid="{00000000-0005-0000-0000-0000BD040000}"/>
    <cellStyle name="Normal 28 3 4" xfId="1738" xr:uid="{00000000-0005-0000-0000-0000BE040000}"/>
    <cellStyle name="Normal 28 4" xfId="566" xr:uid="{00000000-0005-0000-0000-0000BF040000}"/>
    <cellStyle name="Normal 28 4 2" xfId="1018" xr:uid="{00000000-0005-0000-0000-0000C0040000}"/>
    <cellStyle name="Normal 28 4 2 2" xfId="2074" xr:uid="{00000000-0005-0000-0000-0000C1040000}"/>
    <cellStyle name="Normal 28 4 3" xfId="1367" xr:uid="{00000000-0005-0000-0000-0000C2040000}"/>
    <cellStyle name="Normal 28 4 3 2" xfId="2369" xr:uid="{00000000-0005-0000-0000-0000C3040000}"/>
    <cellStyle name="Normal 28 4 4" xfId="1739" xr:uid="{00000000-0005-0000-0000-0000C4040000}"/>
    <cellStyle name="Normal 28 5" xfId="677" xr:uid="{00000000-0005-0000-0000-0000C5040000}"/>
    <cellStyle name="Normal 28 5 2" xfId="1019" xr:uid="{00000000-0005-0000-0000-0000C6040000}"/>
    <cellStyle name="Normal 28 5 2 2" xfId="2075" xr:uid="{00000000-0005-0000-0000-0000C7040000}"/>
    <cellStyle name="Normal 28 5 3" xfId="1446" xr:uid="{00000000-0005-0000-0000-0000C8040000}"/>
    <cellStyle name="Normal 28 5 3 2" xfId="2447" xr:uid="{00000000-0005-0000-0000-0000C9040000}"/>
    <cellStyle name="Normal 28 5 4" xfId="1815" xr:uid="{00000000-0005-0000-0000-0000CA040000}"/>
    <cellStyle name="Normal 28 6" xfId="678" xr:uid="{00000000-0005-0000-0000-0000CB040000}"/>
    <cellStyle name="Normal 28 6 2" xfId="1020" xr:uid="{00000000-0005-0000-0000-0000CC040000}"/>
    <cellStyle name="Normal 28 6 2 2" xfId="2076" xr:uid="{00000000-0005-0000-0000-0000CD040000}"/>
    <cellStyle name="Normal 28 6 3" xfId="1447" xr:uid="{00000000-0005-0000-0000-0000CE040000}"/>
    <cellStyle name="Normal 28 6 3 2" xfId="2448" xr:uid="{00000000-0005-0000-0000-0000CF040000}"/>
    <cellStyle name="Normal 28 6 4" xfId="1816" xr:uid="{00000000-0005-0000-0000-0000D0040000}"/>
    <cellStyle name="Normal 28 7" xfId="679" xr:uid="{00000000-0005-0000-0000-0000D1040000}"/>
    <cellStyle name="Normal 28 7 2" xfId="680" xr:uid="{00000000-0005-0000-0000-0000D2040000}"/>
    <cellStyle name="Normal 28 7 2 2" xfId="1022" xr:uid="{00000000-0005-0000-0000-0000D3040000}"/>
    <cellStyle name="Normal 28 7 2 2 2" xfId="2078" xr:uid="{00000000-0005-0000-0000-0000D4040000}"/>
    <cellStyle name="Normal 28 7 2 3" xfId="1449" xr:uid="{00000000-0005-0000-0000-0000D5040000}"/>
    <cellStyle name="Normal 28 7 2 3 2" xfId="2450" xr:uid="{00000000-0005-0000-0000-0000D6040000}"/>
    <cellStyle name="Normal 28 7 2 4" xfId="1818" xr:uid="{00000000-0005-0000-0000-0000D7040000}"/>
    <cellStyle name="Normal 28 7 3" xfId="1021" xr:uid="{00000000-0005-0000-0000-0000D8040000}"/>
    <cellStyle name="Normal 28 7 3 2" xfId="2077" xr:uid="{00000000-0005-0000-0000-0000D9040000}"/>
    <cellStyle name="Normal 28 7 4" xfId="1448" xr:uid="{00000000-0005-0000-0000-0000DA040000}"/>
    <cellStyle name="Normal 28 7 4 2" xfId="2449" xr:uid="{00000000-0005-0000-0000-0000DB040000}"/>
    <cellStyle name="Normal 28 7 5" xfId="1817" xr:uid="{00000000-0005-0000-0000-0000DC040000}"/>
    <cellStyle name="Normal 28 8" xfId="681" xr:uid="{00000000-0005-0000-0000-0000DD040000}"/>
    <cellStyle name="Normal 28 8 2" xfId="1023" xr:uid="{00000000-0005-0000-0000-0000DE040000}"/>
    <cellStyle name="Normal 28 8 2 2" xfId="2079" xr:uid="{00000000-0005-0000-0000-0000DF040000}"/>
    <cellStyle name="Normal 28 8 3" xfId="1450" xr:uid="{00000000-0005-0000-0000-0000E0040000}"/>
    <cellStyle name="Normal 28 8 3 2" xfId="2451" xr:uid="{00000000-0005-0000-0000-0000E1040000}"/>
    <cellStyle name="Normal 28 8 4" xfId="1819" xr:uid="{00000000-0005-0000-0000-0000E2040000}"/>
    <cellStyle name="Normal 28 9" xfId="823" xr:uid="{00000000-0005-0000-0000-0000E3040000}"/>
    <cellStyle name="Normal 28 9 2" xfId="1925" xr:uid="{00000000-0005-0000-0000-0000E4040000}"/>
    <cellStyle name="Normal 287" xfId="2553" xr:uid="{C1B2F2E0-C4A3-435A-9E01-9237313C793C}"/>
    <cellStyle name="Normal 29" xfId="260" xr:uid="{00000000-0005-0000-0000-0000E5040000}"/>
    <cellStyle name="Normal 29 2" xfId="825" xr:uid="{00000000-0005-0000-0000-0000E6040000}"/>
    <cellStyle name="Normal 29 2 2" xfId="1927" xr:uid="{00000000-0005-0000-0000-0000E7040000}"/>
    <cellStyle name="Normal 29 3" xfId="1226" xr:uid="{00000000-0005-0000-0000-0000E8040000}"/>
    <cellStyle name="Normal 29 3 2" xfId="2230" xr:uid="{00000000-0005-0000-0000-0000E9040000}"/>
    <cellStyle name="Normal 29 4" xfId="1612" xr:uid="{00000000-0005-0000-0000-0000EA040000}"/>
    <cellStyle name="Normal 3" xfId="86" xr:uid="{00000000-0005-0000-0000-0000EB040000}"/>
    <cellStyle name="Normal 3 2" xfId="87" xr:uid="{00000000-0005-0000-0000-0000EC040000}"/>
    <cellStyle name="Normal 3 3" xfId="134" xr:uid="{00000000-0005-0000-0000-0000ED040000}"/>
    <cellStyle name="Normal 3 3 2" xfId="261" xr:uid="{00000000-0005-0000-0000-0000EE040000}"/>
    <cellStyle name="Normal 3 4" xfId="144" xr:uid="{00000000-0005-0000-0000-0000EF040000}"/>
    <cellStyle name="Normal 3 5" xfId="262" xr:uid="{00000000-0005-0000-0000-0000F0040000}"/>
    <cellStyle name="Normal 3_Emprestimo meu  para Thermas" xfId="263" xr:uid="{00000000-0005-0000-0000-0000F1040000}"/>
    <cellStyle name="Normal 30" xfId="264" xr:uid="{00000000-0005-0000-0000-0000F2040000}"/>
    <cellStyle name="Normal 31" xfId="265" xr:uid="{00000000-0005-0000-0000-0000F3040000}"/>
    <cellStyle name="Normal 32" xfId="266" xr:uid="{00000000-0005-0000-0000-0000F4040000}"/>
    <cellStyle name="Normal 32 2" xfId="826" xr:uid="{00000000-0005-0000-0000-0000F5040000}"/>
    <cellStyle name="Normal 32 2 2" xfId="1928" xr:uid="{00000000-0005-0000-0000-0000F6040000}"/>
    <cellStyle name="Normal 32 3" xfId="1227" xr:uid="{00000000-0005-0000-0000-0000F7040000}"/>
    <cellStyle name="Normal 32 3 2" xfId="2231" xr:uid="{00000000-0005-0000-0000-0000F8040000}"/>
    <cellStyle name="Normal 32 4" xfId="1613" xr:uid="{00000000-0005-0000-0000-0000F9040000}"/>
    <cellStyle name="Normal 33" xfId="299" xr:uid="{00000000-0005-0000-0000-0000FA040000}"/>
    <cellStyle name="Normal 33 2" xfId="845" xr:uid="{00000000-0005-0000-0000-0000FB040000}"/>
    <cellStyle name="Normal 34" xfId="300" xr:uid="{00000000-0005-0000-0000-0000FC040000}"/>
    <cellStyle name="Normal 34 2" xfId="408" xr:uid="{00000000-0005-0000-0000-0000FD040000}"/>
    <cellStyle name="Normal 34 3" xfId="737" xr:uid="{00000000-0005-0000-0000-0000FE040000}"/>
    <cellStyle name="Normal 34 3 2" xfId="1081" xr:uid="{00000000-0005-0000-0000-0000FF040000}"/>
    <cellStyle name="Normal 34 3 2 2" xfId="2135" xr:uid="{00000000-0005-0000-0000-000000050000}"/>
    <cellStyle name="Normal 34 3 3" xfId="1482" xr:uid="{00000000-0005-0000-0000-000001050000}"/>
    <cellStyle name="Normal 34 3 3 2" xfId="2483" xr:uid="{00000000-0005-0000-0000-000002050000}"/>
    <cellStyle name="Normal 34 3 4" xfId="1850" xr:uid="{00000000-0005-0000-0000-000003050000}"/>
    <cellStyle name="Normal 34 4" xfId="846" xr:uid="{00000000-0005-0000-0000-000004050000}"/>
    <cellStyle name="Normal 34 4 2" xfId="1947" xr:uid="{00000000-0005-0000-0000-000005050000}"/>
    <cellStyle name="Normal 34 5" xfId="1248" xr:uid="{00000000-0005-0000-0000-000006050000}"/>
    <cellStyle name="Normal 34 5 2" xfId="2252" xr:uid="{00000000-0005-0000-0000-000007050000}"/>
    <cellStyle name="Normal 34 6" xfId="1632" xr:uid="{00000000-0005-0000-0000-000008050000}"/>
    <cellStyle name="Normal 35" xfId="305" xr:uid="{00000000-0005-0000-0000-000009050000}"/>
    <cellStyle name="Normal 35 2" xfId="851" xr:uid="{00000000-0005-0000-0000-00000A050000}"/>
    <cellStyle name="Normal 36" xfId="306" xr:uid="{00000000-0005-0000-0000-00000B050000}"/>
    <cellStyle name="Normal 36 2" xfId="852" xr:uid="{00000000-0005-0000-0000-00000C050000}"/>
    <cellStyle name="Normal 36 2 2" xfId="1952" xr:uid="{00000000-0005-0000-0000-00000D050000}"/>
    <cellStyle name="Normal 36 3" xfId="1253" xr:uid="{00000000-0005-0000-0000-00000E050000}"/>
    <cellStyle name="Normal 36 3 2" xfId="2257" xr:uid="{00000000-0005-0000-0000-00000F050000}"/>
    <cellStyle name="Normal 36 4" xfId="1637" xr:uid="{00000000-0005-0000-0000-000010050000}"/>
    <cellStyle name="Normal 37" xfId="409" xr:uid="{00000000-0005-0000-0000-000011050000}"/>
    <cellStyle name="Normal 37 2" xfId="682" xr:uid="{00000000-0005-0000-0000-000012050000}"/>
    <cellStyle name="Normal 37 2 2" xfId="1451" xr:uid="{00000000-0005-0000-0000-000013050000}"/>
    <cellStyle name="Normal 37 2 2 2" xfId="2452" xr:uid="{00000000-0005-0000-0000-000014050000}"/>
    <cellStyle name="Normal 37 2 3" xfId="1820" xr:uid="{00000000-0005-0000-0000-000015050000}"/>
    <cellStyle name="Normal 37 3" xfId="881" xr:uid="{00000000-0005-0000-0000-000016050000}"/>
    <cellStyle name="Normal 37 3 2" xfId="1977" xr:uid="{00000000-0005-0000-0000-000017050000}"/>
    <cellStyle name="Normal 37 4" xfId="1293" xr:uid="{00000000-0005-0000-0000-000018050000}"/>
    <cellStyle name="Normal 37 4 2" xfId="1526" xr:uid="{00000000-0005-0000-0000-000019050000}"/>
    <cellStyle name="Normal 37 4 2 2" xfId="1534" xr:uid="{00000000-0005-0000-0000-00001A050000}"/>
    <cellStyle name="Normal 37 4 2 2 2" xfId="2514" xr:uid="{00000000-0005-0000-0000-00001B050000}"/>
    <cellStyle name="Normal 37 4 2 3" xfId="2509" xr:uid="{00000000-0005-0000-0000-00001C050000}"/>
    <cellStyle name="Normal 37 4 2 4" xfId="2562" xr:uid="{74759DFB-4972-49C2-A9DF-7BBF0431D816}"/>
    <cellStyle name="Normal 37 4 3" xfId="2297" xr:uid="{00000000-0005-0000-0000-00001D050000}"/>
    <cellStyle name="Normal 37 5" xfId="1676" xr:uid="{00000000-0005-0000-0000-00001E050000}"/>
    <cellStyle name="Normal 38" xfId="410" xr:uid="{00000000-0005-0000-0000-00001F050000}"/>
    <cellStyle name="Normal 38 2" xfId="411" xr:uid="{00000000-0005-0000-0000-000020050000}"/>
    <cellStyle name="Normal 38 3" xfId="882" xr:uid="{00000000-0005-0000-0000-000021050000}"/>
    <cellStyle name="Normal 38 3 2" xfId="1978" xr:uid="{00000000-0005-0000-0000-000022050000}"/>
    <cellStyle name="Normal 39" xfId="412" xr:uid="{00000000-0005-0000-0000-000023050000}"/>
    <cellStyle name="Normal 39 2" xfId="883" xr:uid="{00000000-0005-0000-0000-000024050000}"/>
    <cellStyle name="Normal 39 3" xfId="1294" xr:uid="{00000000-0005-0000-0000-000025050000}"/>
    <cellStyle name="Normal 39 3 2" xfId="2298" xr:uid="{00000000-0005-0000-0000-000026050000}"/>
    <cellStyle name="Normal 39 4" xfId="1677" xr:uid="{00000000-0005-0000-0000-000027050000}"/>
    <cellStyle name="Normal 4" xfId="88" xr:uid="{00000000-0005-0000-0000-000028050000}"/>
    <cellStyle name="Normal 4 2" xfId="145" xr:uid="{00000000-0005-0000-0000-000029050000}"/>
    <cellStyle name="Normal 4 2 2" xfId="146" xr:uid="{00000000-0005-0000-0000-00002A050000}"/>
    <cellStyle name="Normal 4 2 2 2" xfId="772" xr:uid="{00000000-0005-0000-0000-00002B050000}"/>
    <cellStyle name="Normal 4 2 2 2 2" xfId="1876" xr:uid="{00000000-0005-0000-0000-00002C050000}"/>
    <cellStyle name="Normal 4 2 2 3" xfId="1173" xr:uid="{00000000-0005-0000-0000-00002D050000}"/>
    <cellStyle name="Normal 4 2 2 3 2" xfId="2177" xr:uid="{00000000-0005-0000-0000-00002E050000}"/>
    <cellStyle name="Normal 4 2 2 4" xfId="1571" xr:uid="{00000000-0005-0000-0000-00002F050000}"/>
    <cellStyle name="Normal 4 2 3" xfId="267" xr:uid="{00000000-0005-0000-0000-000030050000}"/>
    <cellStyle name="Normal 4 2 4" xfId="413" xr:uid="{00000000-0005-0000-0000-000031050000}"/>
    <cellStyle name="Normal 4 3" xfId="567" xr:uid="{00000000-0005-0000-0000-000032050000}"/>
    <cellStyle name="Normal 4 3 2" xfId="922" xr:uid="{00000000-0005-0000-0000-000033050000}"/>
    <cellStyle name="Normal 4 3 2 2" xfId="2006" xr:uid="{00000000-0005-0000-0000-000034050000}"/>
    <cellStyle name="Normal 4 3 3" xfId="1368" xr:uid="{00000000-0005-0000-0000-000035050000}"/>
    <cellStyle name="Normal 4 3 3 2" xfId="2370" xr:uid="{00000000-0005-0000-0000-000036050000}"/>
    <cellStyle name="Normal 4 3 4" xfId="1740" xr:uid="{00000000-0005-0000-0000-000037050000}"/>
    <cellStyle name="Normal 4 4" xfId="568" xr:uid="{00000000-0005-0000-0000-000038050000}"/>
    <cellStyle name="Normal 4 4 2" xfId="1024" xr:uid="{00000000-0005-0000-0000-000039050000}"/>
    <cellStyle name="Normal 4 4 2 2" xfId="2080" xr:uid="{00000000-0005-0000-0000-00003A050000}"/>
    <cellStyle name="Normal 4 4 3" xfId="1369" xr:uid="{00000000-0005-0000-0000-00003B050000}"/>
    <cellStyle name="Normal 4 4 3 2" xfId="2371" xr:uid="{00000000-0005-0000-0000-00003C050000}"/>
    <cellStyle name="Normal 4 4 4" xfId="1741" xr:uid="{00000000-0005-0000-0000-00003D050000}"/>
    <cellStyle name="Normal 4 5" xfId="2539" xr:uid="{00000000-0005-0000-0000-00003E050000}"/>
    <cellStyle name="Normal 4_Planilha de Passivo" xfId="147" xr:uid="{00000000-0005-0000-0000-00003F050000}"/>
    <cellStyle name="Normal 40" xfId="414" xr:uid="{00000000-0005-0000-0000-000040050000}"/>
    <cellStyle name="Normal 40 2" xfId="683" xr:uid="{00000000-0005-0000-0000-000041050000}"/>
    <cellStyle name="Normal 40 2 2" xfId="1452" xr:uid="{00000000-0005-0000-0000-000042050000}"/>
    <cellStyle name="Normal 40 2 2 2" xfId="2453" xr:uid="{00000000-0005-0000-0000-000043050000}"/>
    <cellStyle name="Normal 40 2 3" xfId="1821" xr:uid="{00000000-0005-0000-0000-000044050000}"/>
    <cellStyle name="Normal 40 3" xfId="884" xr:uid="{00000000-0005-0000-0000-000045050000}"/>
    <cellStyle name="Normal 40 3 2" xfId="1979" xr:uid="{00000000-0005-0000-0000-000046050000}"/>
    <cellStyle name="Normal 40 4" xfId="1295" xr:uid="{00000000-0005-0000-0000-000047050000}"/>
    <cellStyle name="Normal 40 4 2" xfId="1531" xr:uid="{00000000-0005-0000-0000-000048050000}"/>
    <cellStyle name="Normal 40 4 2 2" xfId="1537" xr:uid="{00000000-0005-0000-0000-000049050000}"/>
    <cellStyle name="Normal 40 4 2 2 2" xfId="2517" xr:uid="{00000000-0005-0000-0000-00004A050000}"/>
    <cellStyle name="Normal 40 4 2 3" xfId="2512" xr:uid="{00000000-0005-0000-0000-00004B050000}"/>
    <cellStyle name="Normal 40 4 3" xfId="2299" xr:uid="{00000000-0005-0000-0000-00004C050000}"/>
    <cellStyle name="Normal 40 5" xfId="1678" xr:uid="{00000000-0005-0000-0000-00004D050000}"/>
    <cellStyle name="Normal 41" xfId="415" xr:uid="{00000000-0005-0000-0000-00004E050000}"/>
    <cellStyle name="Normal 41 2" xfId="569" xr:uid="{00000000-0005-0000-0000-00004F050000}"/>
    <cellStyle name="Normal 41 2 2" xfId="1025" xr:uid="{00000000-0005-0000-0000-000050050000}"/>
    <cellStyle name="Normal 41 2 2 2" xfId="2081" xr:uid="{00000000-0005-0000-0000-000051050000}"/>
    <cellStyle name="Normal 41 2 3" xfId="1370" xr:uid="{00000000-0005-0000-0000-000052050000}"/>
    <cellStyle name="Normal 41 2 3 2" xfId="2372" xr:uid="{00000000-0005-0000-0000-000053050000}"/>
    <cellStyle name="Normal 41 2 4" xfId="1742" xr:uid="{00000000-0005-0000-0000-000054050000}"/>
    <cellStyle name="Normal 41 3" xfId="885" xr:uid="{00000000-0005-0000-0000-000055050000}"/>
    <cellStyle name="Normal 41 4" xfId="1296" xr:uid="{00000000-0005-0000-0000-000056050000}"/>
    <cellStyle name="Normal 41 4 2" xfId="2300" xr:uid="{00000000-0005-0000-0000-000057050000}"/>
    <cellStyle name="Normal 41 5" xfId="1679" xr:uid="{00000000-0005-0000-0000-000058050000}"/>
    <cellStyle name="Normal 42" xfId="416" xr:uid="{00000000-0005-0000-0000-000059050000}"/>
    <cellStyle name="Normal 42 2" xfId="886" xr:uid="{00000000-0005-0000-0000-00005A050000}"/>
    <cellStyle name="Normal 42 2 2" xfId="1980" xr:uid="{00000000-0005-0000-0000-00005B050000}"/>
    <cellStyle name="Normal 43" xfId="417" xr:uid="{00000000-0005-0000-0000-00005C050000}"/>
    <cellStyle name="Normal 43 2" xfId="887" xr:uid="{00000000-0005-0000-0000-00005D050000}"/>
    <cellStyle name="Normal 43 2 2" xfId="1981" xr:uid="{00000000-0005-0000-0000-00005E050000}"/>
    <cellStyle name="Normal 44" xfId="418" xr:uid="{00000000-0005-0000-0000-00005F050000}"/>
    <cellStyle name="Normal 45" xfId="419" xr:uid="{00000000-0005-0000-0000-000060050000}"/>
    <cellStyle name="Normal 46" xfId="420" xr:uid="{00000000-0005-0000-0000-000061050000}"/>
    <cellStyle name="Normal 47" xfId="421" xr:uid="{00000000-0005-0000-0000-000062050000}"/>
    <cellStyle name="Normal 48" xfId="422" xr:uid="{00000000-0005-0000-0000-000063050000}"/>
    <cellStyle name="Normal 49" xfId="423" xr:uid="{00000000-0005-0000-0000-000064050000}"/>
    <cellStyle name="Normal 5" xfId="127" xr:uid="{00000000-0005-0000-0000-000065050000}"/>
    <cellStyle name="Normal 5 2" xfId="570" xr:uid="{00000000-0005-0000-0000-000066050000}"/>
    <cellStyle name="Normal 5 2 2" xfId="923" xr:uid="{00000000-0005-0000-0000-000067050000}"/>
    <cellStyle name="Normal 5 2 2 2" xfId="2007" xr:uid="{00000000-0005-0000-0000-000068050000}"/>
    <cellStyle name="Normal 5 2 3" xfId="1371" xr:uid="{00000000-0005-0000-0000-000069050000}"/>
    <cellStyle name="Normal 5 2 3 2" xfId="2373" xr:uid="{00000000-0005-0000-0000-00006A050000}"/>
    <cellStyle name="Normal 5 2 4" xfId="1743" xr:uid="{00000000-0005-0000-0000-00006B050000}"/>
    <cellStyle name="Normal 5 3" xfId="571" xr:uid="{00000000-0005-0000-0000-00006C050000}"/>
    <cellStyle name="Normal 50" xfId="424" xr:uid="{00000000-0005-0000-0000-00006D050000}"/>
    <cellStyle name="Normal 51" xfId="425" xr:uid="{00000000-0005-0000-0000-00006E050000}"/>
    <cellStyle name="Normal 52" xfId="426" xr:uid="{00000000-0005-0000-0000-00006F050000}"/>
    <cellStyle name="Normal 53" xfId="427" xr:uid="{00000000-0005-0000-0000-000070050000}"/>
    <cellStyle name="Normal 54" xfId="428" xr:uid="{00000000-0005-0000-0000-000071050000}"/>
    <cellStyle name="Normal 55" xfId="429" xr:uid="{00000000-0005-0000-0000-000072050000}"/>
    <cellStyle name="Normal 56" xfId="430" xr:uid="{00000000-0005-0000-0000-000073050000}"/>
    <cellStyle name="Normal 57" xfId="431" xr:uid="{00000000-0005-0000-0000-000074050000}"/>
    <cellStyle name="Normal 58" xfId="432" xr:uid="{00000000-0005-0000-0000-000075050000}"/>
    <cellStyle name="Normal 58 2" xfId="888" xr:uid="{00000000-0005-0000-0000-000076050000}"/>
    <cellStyle name="Normal 58 2 2" xfId="1982" xr:uid="{00000000-0005-0000-0000-000077050000}"/>
    <cellStyle name="Normal 58 3" xfId="1297" xr:uid="{00000000-0005-0000-0000-000078050000}"/>
    <cellStyle name="Normal 58 3 2" xfId="2301" xr:uid="{00000000-0005-0000-0000-000079050000}"/>
    <cellStyle name="Normal 58 4" xfId="1681" xr:uid="{00000000-0005-0000-0000-00007A050000}"/>
    <cellStyle name="Normal 59" xfId="433" xr:uid="{00000000-0005-0000-0000-00007B050000}"/>
    <cellStyle name="Normal 6" xfId="128" xr:uid="{00000000-0005-0000-0000-00007C050000}"/>
    <cellStyle name="Normal 6 2" xfId="148" xr:uid="{00000000-0005-0000-0000-00007D050000}"/>
    <cellStyle name="Normal 6 3" xfId="764" xr:uid="{00000000-0005-0000-0000-00007E050000}"/>
    <cellStyle name="Normal 60" xfId="434" xr:uid="{00000000-0005-0000-0000-00007F050000}"/>
    <cellStyle name="Normal 60 2" xfId="684" xr:uid="{00000000-0005-0000-0000-000080050000}"/>
    <cellStyle name="Normal 61" xfId="435" xr:uid="{00000000-0005-0000-0000-000081050000}"/>
    <cellStyle name="Normal 62" xfId="436" xr:uid="{00000000-0005-0000-0000-000082050000}"/>
    <cellStyle name="Normal 63" xfId="437" xr:uid="{00000000-0005-0000-0000-000083050000}"/>
    <cellStyle name="Normal 64" xfId="438" xr:uid="{00000000-0005-0000-0000-000084050000}"/>
    <cellStyle name="Normal 65" xfId="439" xr:uid="{00000000-0005-0000-0000-000085050000}"/>
    <cellStyle name="Normal 66" xfId="440" xr:uid="{00000000-0005-0000-0000-000086050000}"/>
    <cellStyle name="Normal 67" xfId="441" xr:uid="{00000000-0005-0000-0000-000087050000}"/>
    <cellStyle name="Normal 68" xfId="442" xr:uid="{00000000-0005-0000-0000-000088050000}"/>
    <cellStyle name="Normal 69" xfId="443" xr:uid="{00000000-0005-0000-0000-000089050000}"/>
    <cellStyle name="Normal 7" xfId="130" xr:uid="{00000000-0005-0000-0000-00008A050000}"/>
    <cellStyle name="Normal 7 2" xfId="572" xr:uid="{00000000-0005-0000-0000-00008B050000}"/>
    <cellStyle name="Normal 7 3" xfId="766" xr:uid="{00000000-0005-0000-0000-00008C050000}"/>
    <cellStyle name="Normal 70" xfId="444" xr:uid="{00000000-0005-0000-0000-00008D050000}"/>
    <cellStyle name="Normal 71" xfId="445" xr:uid="{00000000-0005-0000-0000-00008E050000}"/>
    <cellStyle name="Normal 72" xfId="446" xr:uid="{00000000-0005-0000-0000-00008F050000}"/>
    <cellStyle name="Normal 73" xfId="447" xr:uid="{00000000-0005-0000-0000-000090050000}"/>
    <cellStyle name="Normal 74" xfId="448" xr:uid="{00000000-0005-0000-0000-000091050000}"/>
    <cellStyle name="Normal 75" xfId="449" xr:uid="{00000000-0005-0000-0000-000092050000}"/>
    <cellStyle name="Normal 76" xfId="450" xr:uid="{00000000-0005-0000-0000-000093050000}"/>
    <cellStyle name="Normal 77" xfId="451" xr:uid="{00000000-0005-0000-0000-000094050000}"/>
    <cellStyle name="Normal 78" xfId="452" xr:uid="{00000000-0005-0000-0000-000095050000}"/>
    <cellStyle name="Normal 79" xfId="453" xr:uid="{00000000-0005-0000-0000-000096050000}"/>
    <cellStyle name="Normal 8" xfId="135" xr:uid="{00000000-0005-0000-0000-000097050000}"/>
    <cellStyle name="Normal 8 2" xfId="268" xr:uid="{00000000-0005-0000-0000-000098050000}"/>
    <cellStyle name="Normal 8 2 2" xfId="827" xr:uid="{00000000-0005-0000-0000-000099050000}"/>
    <cellStyle name="Normal 8 2 2 2" xfId="1929" xr:uid="{00000000-0005-0000-0000-00009A050000}"/>
    <cellStyle name="Normal 8 2 3" xfId="1228" xr:uid="{00000000-0005-0000-0000-00009B050000}"/>
    <cellStyle name="Normal 8 2 3 2" xfId="2232" xr:uid="{00000000-0005-0000-0000-00009C050000}"/>
    <cellStyle name="Normal 8 2 4" xfId="1614" xr:uid="{00000000-0005-0000-0000-00009D050000}"/>
    <cellStyle name="Normal 8 3" xfId="639" xr:uid="{00000000-0005-0000-0000-00009E050000}"/>
    <cellStyle name="Normal 8 4" xfId="770" xr:uid="{00000000-0005-0000-0000-00009F050000}"/>
    <cellStyle name="Normal 8 4 2" xfId="1874" xr:uid="{00000000-0005-0000-0000-0000A0050000}"/>
    <cellStyle name="Normal 8 5" xfId="1171" xr:uid="{00000000-0005-0000-0000-0000A1050000}"/>
    <cellStyle name="Normal 8 5 2" xfId="2175" xr:uid="{00000000-0005-0000-0000-0000A2050000}"/>
    <cellStyle name="Normal 8 6" xfId="1505" xr:uid="{00000000-0005-0000-0000-0000A3050000}"/>
    <cellStyle name="Normal 8 7" xfId="1569" xr:uid="{00000000-0005-0000-0000-0000A4050000}"/>
    <cellStyle name="Normal 80" xfId="454" xr:uid="{00000000-0005-0000-0000-0000A5050000}"/>
    <cellStyle name="Normal 81" xfId="455" xr:uid="{00000000-0005-0000-0000-0000A6050000}"/>
    <cellStyle name="Normal 82" xfId="456" xr:uid="{00000000-0005-0000-0000-0000A7050000}"/>
    <cellStyle name="Normal 83" xfId="457" xr:uid="{00000000-0005-0000-0000-0000A8050000}"/>
    <cellStyle name="Normal 84" xfId="458" xr:uid="{00000000-0005-0000-0000-0000A9050000}"/>
    <cellStyle name="Normal 85" xfId="459" xr:uid="{00000000-0005-0000-0000-0000AA050000}"/>
    <cellStyle name="Normal 86" xfId="460" xr:uid="{00000000-0005-0000-0000-0000AB050000}"/>
    <cellStyle name="Normal 87" xfId="461" xr:uid="{00000000-0005-0000-0000-0000AC050000}"/>
    <cellStyle name="Normal 88" xfId="462" xr:uid="{00000000-0005-0000-0000-0000AD050000}"/>
    <cellStyle name="Normal 89" xfId="463" xr:uid="{00000000-0005-0000-0000-0000AE050000}"/>
    <cellStyle name="Normal 9" xfId="149" xr:uid="{00000000-0005-0000-0000-0000AF050000}"/>
    <cellStyle name="Normal 9 2" xfId="464" xr:uid="{00000000-0005-0000-0000-0000B0050000}"/>
    <cellStyle name="Normal 90" xfId="465" xr:uid="{00000000-0005-0000-0000-0000B1050000}"/>
    <cellStyle name="Normal 91" xfId="466" xr:uid="{00000000-0005-0000-0000-0000B2050000}"/>
    <cellStyle name="Normal 92" xfId="467" xr:uid="{00000000-0005-0000-0000-0000B3050000}"/>
    <cellStyle name="Normal 93" xfId="468" xr:uid="{00000000-0005-0000-0000-0000B4050000}"/>
    <cellStyle name="Normal 94" xfId="469" xr:uid="{00000000-0005-0000-0000-0000B5050000}"/>
    <cellStyle name="Normal 95" xfId="470" xr:uid="{00000000-0005-0000-0000-0000B6050000}"/>
    <cellStyle name="Normal 96" xfId="471" xr:uid="{00000000-0005-0000-0000-0000B7050000}"/>
    <cellStyle name="Normal 97" xfId="472" xr:uid="{00000000-0005-0000-0000-0000B8050000}"/>
    <cellStyle name="Normal 98" xfId="473" xr:uid="{00000000-0005-0000-0000-0000B9050000}"/>
    <cellStyle name="Normal 99" xfId="474" xr:uid="{00000000-0005-0000-0000-0000BA050000}"/>
    <cellStyle name="Nota" xfId="89" builtinId="10" customBuiltin="1"/>
    <cellStyle name="Nota 2" xfId="150" xr:uid="{00000000-0005-0000-0000-0000BC050000}"/>
    <cellStyle name="Nota 2 2" xfId="269" xr:uid="{00000000-0005-0000-0000-0000BD050000}"/>
    <cellStyle name="Nota 2 2 2" xfId="828" xr:uid="{00000000-0005-0000-0000-0000BE050000}"/>
    <cellStyle name="Nota 2 2 2 2" xfId="1930" xr:uid="{00000000-0005-0000-0000-0000BF050000}"/>
    <cellStyle name="Nota 2 2 3" xfId="1229" xr:uid="{00000000-0005-0000-0000-0000C0050000}"/>
    <cellStyle name="Nota 2 2 3 2" xfId="2233" xr:uid="{00000000-0005-0000-0000-0000C1050000}"/>
    <cellStyle name="Nota 2 2 4" xfId="1615" xr:uid="{00000000-0005-0000-0000-0000C2050000}"/>
    <cellStyle name="Nota 2 3" xfId="773" xr:uid="{00000000-0005-0000-0000-0000C3050000}"/>
    <cellStyle name="Nota 2 3 2" xfId="1877" xr:uid="{00000000-0005-0000-0000-0000C4050000}"/>
    <cellStyle name="Nota 2 4" xfId="1174" xr:uid="{00000000-0005-0000-0000-0000C5050000}"/>
    <cellStyle name="Nota 2 4 2" xfId="2178" xr:uid="{00000000-0005-0000-0000-0000C6050000}"/>
    <cellStyle name="Nota 2 5" xfId="1572" xr:uid="{00000000-0005-0000-0000-0000C7050000}"/>
    <cellStyle name="Nota 3" xfId="151" xr:uid="{00000000-0005-0000-0000-0000C8050000}"/>
    <cellStyle name="Nota 3 2" xfId="270" xr:uid="{00000000-0005-0000-0000-0000C9050000}"/>
    <cellStyle name="Nota 3 2 2" xfId="829" xr:uid="{00000000-0005-0000-0000-0000CA050000}"/>
    <cellStyle name="Nota 3 2 2 2" xfId="1931" xr:uid="{00000000-0005-0000-0000-0000CB050000}"/>
    <cellStyle name="Nota 3 2 3" xfId="1230" xr:uid="{00000000-0005-0000-0000-0000CC050000}"/>
    <cellStyle name="Nota 3 2 3 2" xfId="2234" xr:uid="{00000000-0005-0000-0000-0000CD050000}"/>
    <cellStyle name="Nota 3 2 4" xfId="1616" xr:uid="{00000000-0005-0000-0000-0000CE050000}"/>
    <cellStyle name="Nota 3 3" xfId="774" xr:uid="{00000000-0005-0000-0000-0000CF050000}"/>
    <cellStyle name="Nota 3 3 2" xfId="1878" xr:uid="{00000000-0005-0000-0000-0000D0050000}"/>
    <cellStyle name="Nota 3 4" xfId="1175" xr:uid="{00000000-0005-0000-0000-0000D1050000}"/>
    <cellStyle name="Nota 3 4 2" xfId="2179" xr:uid="{00000000-0005-0000-0000-0000D2050000}"/>
    <cellStyle name="Nota 3 5" xfId="1573" xr:uid="{00000000-0005-0000-0000-0000D3050000}"/>
    <cellStyle name="Nota 4" xfId="271" xr:uid="{00000000-0005-0000-0000-0000D4050000}"/>
    <cellStyle name="Nota 4 2" xfId="1231" xr:uid="{00000000-0005-0000-0000-0000D5050000}"/>
    <cellStyle name="Nota 4 2 2" xfId="2235" xr:uid="{00000000-0005-0000-0000-0000D6050000}"/>
    <cellStyle name="Nota 4 3" xfId="1617" xr:uid="{00000000-0005-0000-0000-0000D7050000}"/>
    <cellStyle name="Nota 5" xfId="1150" xr:uid="{00000000-0005-0000-0000-0000D8050000}"/>
    <cellStyle name="Nota 5 2" xfId="2160" xr:uid="{00000000-0005-0000-0000-0000D9050000}"/>
    <cellStyle name="Nota 6" xfId="1561" xr:uid="{00000000-0005-0000-0000-0000DA050000}"/>
    <cellStyle name="Note" xfId="90" xr:uid="{00000000-0005-0000-0000-0000DB050000}"/>
    <cellStyle name="Note 2" xfId="1026" xr:uid="{00000000-0005-0000-0000-0000DC050000}"/>
    <cellStyle name="Note 2 2" xfId="2082" xr:uid="{00000000-0005-0000-0000-0000DD050000}"/>
    <cellStyle name="Note 3" xfId="1151" xr:uid="{00000000-0005-0000-0000-0000DE050000}"/>
    <cellStyle name="Note 3 2" xfId="2161" xr:uid="{00000000-0005-0000-0000-0000DF050000}"/>
    <cellStyle name="Note 4" xfId="1562" xr:uid="{00000000-0005-0000-0000-0000E0050000}"/>
    <cellStyle name="Output" xfId="91" xr:uid="{00000000-0005-0000-0000-0000E1050000}"/>
    <cellStyle name="Output 2" xfId="1152" xr:uid="{00000000-0005-0000-0000-0000E2050000}"/>
    <cellStyle name="Output 2 2" xfId="2162" xr:uid="{00000000-0005-0000-0000-0000E3050000}"/>
    <cellStyle name="Output 3" xfId="1563" xr:uid="{00000000-0005-0000-0000-0000E4050000}"/>
    <cellStyle name="Percent (0)" xfId="92" xr:uid="{00000000-0005-0000-0000-0000E5050000}"/>
    <cellStyle name="Percent (0) 2" xfId="475" xr:uid="{00000000-0005-0000-0000-0000E6050000}"/>
    <cellStyle name="Percent [2]" xfId="93" xr:uid="{00000000-0005-0000-0000-0000E7050000}"/>
    <cellStyle name="Percent [2] 2" xfId="476" xr:uid="{00000000-0005-0000-0000-0000E8050000}"/>
    <cellStyle name="Porcentagem" xfId="521" builtinId="5"/>
    <cellStyle name="Porcentagem 10" xfId="477" xr:uid="{00000000-0005-0000-0000-0000EA050000}"/>
    <cellStyle name="Porcentagem 10 2" xfId="573" xr:uid="{00000000-0005-0000-0000-0000EB050000}"/>
    <cellStyle name="Porcentagem 10 2 2" xfId="1027" xr:uid="{00000000-0005-0000-0000-0000EC050000}"/>
    <cellStyle name="Porcentagem 10 2 2 2" xfId="2083" xr:uid="{00000000-0005-0000-0000-0000ED050000}"/>
    <cellStyle name="Porcentagem 10 2 3" xfId="1372" xr:uid="{00000000-0005-0000-0000-0000EE050000}"/>
    <cellStyle name="Porcentagem 10 2 3 2" xfId="2374" xr:uid="{00000000-0005-0000-0000-0000EF050000}"/>
    <cellStyle name="Porcentagem 10 2 4" xfId="1744" xr:uid="{00000000-0005-0000-0000-0000F0050000}"/>
    <cellStyle name="Porcentagem 10 3" xfId="889" xr:uid="{00000000-0005-0000-0000-0000F1050000}"/>
    <cellStyle name="Porcentagem 10 3 2" xfId="1983" xr:uid="{00000000-0005-0000-0000-0000F2050000}"/>
    <cellStyle name="Porcentagem 10 4" xfId="1298" xr:uid="{00000000-0005-0000-0000-0000F3050000}"/>
    <cellStyle name="Porcentagem 10 4 2" xfId="2302" xr:uid="{00000000-0005-0000-0000-0000F4050000}"/>
    <cellStyle name="Porcentagem 10 5" xfId="1682" xr:uid="{00000000-0005-0000-0000-0000F5050000}"/>
    <cellStyle name="Porcentagem 11" xfId="478" xr:uid="{00000000-0005-0000-0000-0000F6050000}"/>
    <cellStyle name="Porcentagem 11 2" xfId="890" xr:uid="{00000000-0005-0000-0000-0000F7050000}"/>
    <cellStyle name="Porcentagem 11 2 2" xfId="1984" xr:uid="{00000000-0005-0000-0000-0000F8050000}"/>
    <cellStyle name="Porcentagem 11 3" xfId="1299" xr:uid="{00000000-0005-0000-0000-0000F9050000}"/>
    <cellStyle name="Porcentagem 11 3 2" xfId="2303" xr:uid="{00000000-0005-0000-0000-0000FA050000}"/>
    <cellStyle name="Porcentagem 11 4" xfId="1683" xr:uid="{00000000-0005-0000-0000-0000FB050000}"/>
    <cellStyle name="Porcentagem 12" xfId="479" xr:uid="{00000000-0005-0000-0000-0000FC050000}"/>
    <cellStyle name="Porcentagem 12 2" xfId="910" xr:uid="{00000000-0005-0000-0000-0000FD050000}"/>
    <cellStyle name="Porcentagem 12 2 2" xfId="2004" xr:uid="{00000000-0005-0000-0000-0000FE050000}"/>
    <cellStyle name="Porcentagem 12 3" xfId="1300" xr:uid="{00000000-0005-0000-0000-0000FF050000}"/>
    <cellStyle name="Porcentagem 12 3 2" xfId="2304" xr:uid="{00000000-0005-0000-0000-000000060000}"/>
    <cellStyle name="Porcentagem 12 4" xfId="1684" xr:uid="{00000000-0005-0000-0000-000001060000}"/>
    <cellStyle name="Porcentagem 13" xfId="574" xr:uid="{00000000-0005-0000-0000-000002060000}"/>
    <cellStyle name="Porcentagem 13 2" xfId="575" xr:uid="{00000000-0005-0000-0000-000003060000}"/>
    <cellStyle name="Porcentagem 13 2 2" xfId="1028" xr:uid="{00000000-0005-0000-0000-000004060000}"/>
    <cellStyle name="Porcentagem 13 2 2 2" xfId="2084" xr:uid="{00000000-0005-0000-0000-000005060000}"/>
    <cellStyle name="Porcentagem 13 2 3" xfId="1374" xr:uid="{00000000-0005-0000-0000-000006060000}"/>
    <cellStyle name="Porcentagem 13 2 3 2" xfId="2376" xr:uid="{00000000-0005-0000-0000-000007060000}"/>
    <cellStyle name="Porcentagem 13 2 4" xfId="1746" xr:uid="{00000000-0005-0000-0000-000008060000}"/>
    <cellStyle name="Porcentagem 13 3" xfId="956" xr:uid="{00000000-0005-0000-0000-000009060000}"/>
    <cellStyle name="Porcentagem 13 3 2" xfId="2025" xr:uid="{00000000-0005-0000-0000-00000A060000}"/>
    <cellStyle name="Porcentagem 13 4" xfId="1373" xr:uid="{00000000-0005-0000-0000-00000B060000}"/>
    <cellStyle name="Porcentagem 13 4 2" xfId="2375" xr:uid="{00000000-0005-0000-0000-00000C060000}"/>
    <cellStyle name="Porcentagem 13 5" xfId="1745" xr:uid="{00000000-0005-0000-0000-00000D060000}"/>
    <cellStyle name="Porcentagem 14" xfId="576" xr:uid="{00000000-0005-0000-0000-00000E060000}"/>
    <cellStyle name="Porcentagem 14 2" xfId="1029" xr:uid="{00000000-0005-0000-0000-00000F060000}"/>
    <cellStyle name="Porcentagem 14 2 2" xfId="2085" xr:uid="{00000000-0005-0000-0000-000010060000}"/>
    <cellStyle name="Porcentagem 14 3" xfId="957" xr:uid="{00000000-0005-0000-0000-000011060000}"/>
    <cellStyle name="Porcentagem 14 3 2" xfId="2026" xr:uid="{00000000-0005-0000-0000-000012060000}"/>
    <cellStyle name="Porcentagem 14 4" xfId="1375" xr:uid="{00000000-0005-0000-0000-000013060000}"/>
    <cellStyle name="Porcentagem 14 4 2" xfId="2377" xr:uid="{00000000-0005-0000-0000-000014060000}"/>
    <cellStyle name="Porcentagem 14 5" xfId="1747" xr:uid="{00000000-0005-0000-0000-000015060000}"/>
    <cellStyle name="Porcentagem 15" xfId="577" xr:uid="{00000000-0005-0000-0000-000016060000}"/>
    <cellStyle name="Porcentagem 15 2" xfId="578" xr:uid="{00000000-0005-0000-0000-000017060000}"/>
    <cellStyle name="Porcentagem 15 2 2" xfId="1030" xr:uid="{00000000-0005-0000-0000-000018060000}"/>
    <cellStyle name="Porcentagem 15 2 2 2" xfId="2086" xr:uid="{00000000-0005-0000-0000-000019060000}"/>
    <cellStyle name="Porcentagem 15 2 3" xfId="1377" xr:uid="{00000000-0005-0000-0000-00001A060000}"/>
    <cellStyle name="Porcentagem 15 2 3 2" xfId="2379" xr:uid="{00000000-0005-0000-0000-00001B060000}"/>
    <cellStyle name="Porcentagem 15 2 4" xfId="1749" xr:uid="{00000000-0005-0000-0000-00001C060000}"/>
    <cellStyle name="Porcentagem 15 3" xfId="958" xr:uid="{00000000-0005-0000-0000-00001D060000}"/>
    <cellStyle name="Porcentagem 15 3 2" xfId="2027" xr:uid="{00000000-0005-0000-0000-00001E060000}"/>
    <cellStyle name="Porcentagem 15 4" xfId="1376" xr:uid="{00000000-0005-0000-0000-00001F060000}"/>
    <cellStyle name="Porcentagem 15 4 2" xfId="2378" xr:uid="{00000000-0005-0000-0000-000020060000}"/>
    <cellStyle name="Porcentagem 15 5" xfId="1748" xr:uid="{00000000-0005-0000-0000-000021060000}"/>
    <cellStyle name="Porcentagem 16" xfId="579" xr:uid="{00000000-0005-0000-0000-000022060000}"/>
    <cellStyle name="Porcentagem 16 2" xfId="959" xr:uid="{00000000-0005-0000-0000-000023060000}"/>
    <cellStyle name="Porcentagem 16 2 2" xfId="2028" xr:uid="{00000000-0005-0000-0000-000024060000}"/>
    <cellStyle name="Porcentagem 16 3" xfId="1378" xr:uid="{00000000-0005-0000-0000-000025060000}"/>
    <cellStyle name="Porcentagem 16 3 2" xfId="2380" xr:uid="{00000000-0005-0000-0000-000026060000}"/>
    <cellStyle name="Porcentagem 16 4" xfId="1750" xr:uid="{00000000-0005-0000-0000-000027060000}"/>
    <cellStyle name="Porcentagem 17" xfId="580" xr:uid="{00000000-0005-0000-0000-000028060000}"/>
    <cellStyle name="Porcentagem 17 2" xfId="960" xr:uid="{00000000-0005-0000-0000-000029060000}"/>
    <cellStyle name="Porcentagem 17 2 2" xfId="2029" xr:uid="{00000000-0005-0000-0000-00002A060000}"/>
    <cellStyle name="Porcentagem 17 3" xfId="1379" xr:uid="{00000000-0005-0000-0000-00002B060000}"/>
    <cellStyle name="Porcentagem 17 3 2" xfId="2381" xr:uid="{00000000-0005-0000-0000-00002C060000}"/>
    <cellStyle name="Porcentagem 17 4" xfId="1751" xr:uid="{00000000-0005-0000-0000-00002D060000}"/>
    <cellStyle name="Porcentagem 18" xfId="581" xr:uid="{00000000-0005-0000-0000-00002E060000}"/>
    <cellStyle name="Porcentagem 18 2" xfId="1031" xr:uid="{00000000-0005-0000-0000-00002F060000}"/>
    <cellStyle name="Porcentagem 18 2 2" xfId="2087" xr:uid="{00000000-0005-0000-0000-000030060000}"/>
    <cellStyle name="Porcentagem 18 3" xfId="1380" xr:uid="{00000000-0005-0000-0000-000031060000}"/>
    <cellStyle name="Porcentagem 18 3 2" xfId="2382" xr:uid="{00000000-0005-0000-0000-000032060000}"/>
    <cellStyle name="Porcentagem 18 4" xfId="1752" xr:uid="{00000000-0005-0000-0000-000033060000}"/>
    <cellStyle name="Porcentagem 19" xfId="582" xr:uid="{00000000-0005-0000-0000-000034060000}"/>
    <cellStyle name="Porcentagem 19 2" xfId="1032" xr:uid="{00000000-0005-0000-0000-000035060000}"/>
    <cellStyle name="Porcentagem 19 2 2" xfId="2088" xr:uid="{00000000-0005-0000-0000-000036060000}"/>
    <cellStyle name="Porcentagem 19 3" xfId="1381" xr:uid="{00000000-0005-0000-0000-000037060000}"/>
    <cellStyle name="Porcentagem 19 3 2" xfId="2383" xr:uid="{00000000-0005-0000-0000-000038060000}"/>
    <cellStyle name="Porcentagem 19 4" xfId="1753" xr:uid="{00000000-0005-0000-0000-000039060000}"/>
    <cellStyle name="Porcentagem 2" xfId="94" xr:uid="{00000000-0005-0000-0000-00003A060000}"/>
    <cellStyle name="Porcentagem 2 2" xfId="95" xr:uid="{00000000-0005-0000-0000-00003B060000}"/>
    <cellStyle name="Porcentagem 2 2 2" xfId="685" xr:uid="{00000000-0005-0000-0000-00003C060000}"/>
    <cellStyle name="Porcentagem 2 3" xfId="2545" xr:uid="{00000000-0005-0000-0000-00003D060000}"/>
    <cellStyle name="Porcentagem 20" xfId="583" xr:uid="{00000000-0005-0000-0000-00003E060000}"/>
    <cellStyle name="Porcentagem 20 2" xfId="1033" xr:uid="{00000000-0005-0000-0000-00003F060000}"/>
    <cellStyle name="Porcentagem 20 2 2" xfId="2089" xr:uid="{00000000-0005-0000-0000-000040060000}"/>
    <cellStyle name="Porcentagem 20 3" xfId="1382" xr:uid="{00000000-0005-0000-0000-000041060000}"/>
    <cellStyle name="Porcentagem 20 3 2" xfId="2384" xr:uid="{00000000-0005-0000-0000-000042060000}"/>
    <cellStyle name="Porcentagem 20 4" xfId="1754" xr:uid="{00000000-0005-0000-0000-000043060000}"/>
    <cellStyle name="Porcentagem 21" xfId="584" xr:uid="{00000000-0005-0000-0000-000044060000}"/>
    <cellStyle name="Porcentagem 21 2" xfId="1034" xr:uid="{00000000-0005-0000-0000-000045060000}"/>
    <cellStyle name="Porcentagem 21 2 2" xfId="2090" xr:uid="{00000000-0005-0000-0000-000046060000}"/>
    <cellStyle name="Porcentagem 21 3" xfId="1383" xr:uid="{00000000-0005-0000-0000-000047060000}"/>
    <cellStyle name="Porcentagem 21 3 2" xfId="2385" xr:uid="{00000000-0005-0000-0000-000048060000}"/>
    <cellStyle name="Porcentagem 21 4" xfId="1755" xr:uid="{00000000-0005-0000-0000-000049060000}"/>
    <cellStyle name="Porcentagem 22" xfId="636" xr:uid="{00000000-0005-0000-0000-00004A060000}"/>
    <cellStyle name="Porcentagem 22 2" xfId="1094" xr:uid="{00000000-0005-0000-0000-00004B060000}"/>
    <cellStyle name="Porcentagem 22 3" xfId="1427" xr:uid="{00000000-0005-0000-0000-00004C060000}"/>
    <cellStyle name="Porcentagem 22 3 2" xfId="2429" xr:uid="{00000000-0005-0000-0000-00004D060000}"/>
    <cellStyle name="Porcentagem 22 4" xfId="1798" xr:uid="{00000000-0005-0000-0000-00004E060000}"/>
    <cellStyle name="Porcentagem 23" xfId="686" xr:uid="{00000000-0005-0000-0000-00004F060000}"/>
    <cellStyle name="Porcentagem 23 2" xfId="1453" xr:uid="{00000000-0005-0000-0000-000050060000}"/>
    <cellStyle name="Porcentagem 23 2 2" xfId="2454" xr:uid="{00000000-0005-0000-0000-000051060000}"/>
    <cellStyle name="Porcentagem 23 3" xfId="1822" xr:uid="{00000000-0005-0000-0000-000052060000}"/>
    <cellStyle name="Porcentagem 24" xfId="687" xr:uid="{00000000-0005-0000-0000-000053060000}"/>
    <cellStyle name="Porcentagem 24 2" xfId="1454" xr:uid="{00000000-0005-0000-0000-000054060000}"/>
    <cellStyle name="Porcentagem 24 2 2" xfId="2455" xr:uid="{00000000-0005-0000-0000-000055060000}"/>
    <cellStyle name="Porcentagem 24 3" xfId="1823" xr:uid="{00000000-0005-0000-0000-000056060000}"/>
    <cellStyle name="Porcentagem 25" xfId="688" xr:uid="{00000000-0005-0000-0000-000057060000}"/>
    <cellStyle name="Porcentagem 25 2" xfId="1455" xr:uid="{00000000-0005-0000-0000-000058060000}"/>
    <cellStyle name="Porcentagem 25 2 2" xfId="2456" xr:uid="{00000000-0005-0000-0000-000059060000}"/>
    <cellStyle name="Porcentagem 25 3" xfId="1824" xr:uid="{00000000-0005-0000-0000-00005A060000}"/>
    <cellStyle name="Porcentagem 26" xfId="689" xr:uid="{00000000-0005-0000-0000-00005B060000}"/>
    <cellStyle name="Porcentagem 26 2" xfId="1456" xr:uid="{00000000-0005-0000-0000-00005C060000}"/>
    <cellStyle name="Porcentagem 26 2 2" xfId="2457" xr:uid="{00000000-0005-0000-0000-00005D060000}"/>
    <cellStyle name="Porcentagem 26 3" xfId="1825" xr:uid="{00000000-0005-0000-0000-00005E060000}"/>
    <cellStyle name="Porcentagem 27" xfId="749" xr:uid="{00000000-0005-0000-0000-00005F060000}"/>
    <cellStyle name="Porcentagem 27 2" xfId="1493" xr:uid="{00000000-0005-0000-0000-000060060000}"/>
    <cellStyle name="Porcentagem 28" xfId="1330" xr:uid="{00000000-0005-0000-0000-000061060000}"/>
    <cellStyle name="Porcentagem 29" xfId="1511" xr:uid="{00000000-0005-0000-0000-000062060000}"/>
    <cellStyle name="Porcentagem 29 2" xfId="2502" xr:uid="{00000000-0005-0000-0000-000063060000}"/>
    <cellStyle name="Porcentagem 3" xfId="96" xr:uid="{00000000-0005-0000-0000-000064060000}"/>
    <cellStyle name="Porcentagem 3 2" xfId="480" xr:uid="{00000000-0005-0000-0000-000065060000}"/>
    <cellStyle name="Porcentagem 30" xfId="2528" xr:uid="{00000000-0005-0000-0000-000066060000}"/>
    <cellStyle name="Porcentagem 31" xfId="2549" xr:uid="{00000000-0005-0000-0000-000067060000}"/>
    <cellStyle name="Porcentagem 32" xfId="2556" xr:uid="{75BFD0FA-1F2D-4BB6-88C6-F3D83C4ED6C1}"/>
    <cellStyle name="Porcentagem 33" xfId="2558" xr:uid="{8EE014A3-45BE-48C3-AEC8-F6211EE54870}"/>
    <cellStyle name="Porcentagem 34" xfId="2563" xr:uid="{2A3268E8-7DEF-49B4-A1C2-62156B179DAD}"/>
    <cellStyle name="Porcentagem 38" xfId="1517" xr:uid="{00000000-0005-0000-0000-000068060000}"/>
    <cellStyle name="Porcentagem 38 2" xfId="2507" xr:uid="{00000000-0005-0000-0000-000069060000}"/>
    <cellStyle name="Porcentagem 4" xfId="97" xr:uid="{00000000-0005-0000-0000-00006A060000}"/>
    <cellStyle name="Porcentagem 4 2" xfId="1035" xr:uid="{00000000-0005-0000-0000-00006B060000}"/>
    <cellStyle name="Porcentagem 5" xfId="132" xr:uid="{00000000-0005-0000-0000-00006C060000}"/>
    <cellStyle name="Porcentagem 5 2" xfId="481" xr:uid="{00000000-0005-0000-0000-00006D060000}"/>
    <cellStyle name="Porcentagem 5 2 2" xfId="891" xr:uid="{00000000-0005-0000-0000-00006E060000}"/>
    <cellStyle name="Porcentagem 5 2 2 2" xfId="1985" xr:uid="{00000000-0005-0000-0000-00006F060000}"/>
    <cellStyle name="Porcentagem 5 2 3" xfId="1301" xr:uid="{00000000-0005-0000-0000-000070060000}"/>
    <cellStyle name="Porcentagem 5 2 3 2" xfId="2305" xr:uid="{00000000-0005-0000-0000-000071060000}"/>
    <cellStyle name="Porcentagem 5 2 4" xfId="1685" xr:uid="{00000000-0005-0000-0000-000072060000}"/>
    <cellStyle name="Porcentagem 5 3" xfId="768" xr:uid="{00000000-0005-0000-0000-000073060000}"/>
    <cellStyle name="Porcentagem 6" xfId="272" xr:uid="{00000000-0005-0000-0000-000074060000}"/>
    <cellStyle name="Porcentagem 6 2" xfId="482" xr:uid="{00000000-0005-0000-0000-000075060000}"/>
    <cellStyle name="Porcentagem 6 3" xfId="830" xr:uid="{00000000-0005-0000-0000-000076060000}"/>
    <cellStyle name="Porcentagem 6 3 2" xfId="1932" xr:uid="{00000000-0005-0000-0000-000077060000}"/>
    <cellStyle name="Porcentagem 6 4" xfId="1232" xr:uid="{00000000-0005-0000-0000-000078060000}"/>
    <cellStyle name="Porcentagem 6 4 2" xfId="2236" xr:uid="{00000000-0005-0000-0000-000079060000}"/>
    <cellStyle name="Porcentagem 6 5" xfId="1618" xr:uid="{00000000-0005-0000-0000-00007A060000}"/>
    <cellStyle name="Porcentagem 7" xfId="273" xr:uid="{00000000-0005-0000-0000-00007B060000}"/>
    <cellStyle name="Porcentagem 7 2" xfId="831" xr:uid="{00000000-0005-0000-0000-00007C060000}"/>
    <cellStyle name="Porcentagem 7 2 2" xfId="1933" xr:uid="{00000000-0005-0000-0000-00007D060000}"/>
    <cellStyle name="Porcentagem 7 3" xfId="1233" xr:uid="{00000000-0005-0000-0000-00007E060000}"/>
    <cellStyle name="Porcentagem 7 3 2" xfId="2237" xr:uid="{00000000-0005-0000-0000-00007F060000}"/>
    <cellStyle name="Porcentagem 7 4" xfId="1619" xr:uid="{00000000-0005-0000-0000-000080060000}"/>
    <cellStyle name="Porcentagem 8" xfId="274" xr:uid="{00000000-0005-0000-0000-000081060000}"/>
    <cellStyle name="Porcentagem 8 2" xfId="690" xr:uid="{00000000-0005-0000-0000-000082060000}"/>
    <cellStyle name="Porcentagem 8 2 2" xfId="1457" xr:uid="{00000000-0005-0000-0000-000083060000}"/>
    <cellStyle name="Porcentagem 8 2 2 2" xfId="2458" xr:uid="{00000000-0005-0000-0000-000084060000}"/>
    <cellStyle name="Porcentagem 8 2 3" xfId="1826" xr:uid="{00000000-0005-0000-0000-000085060000}"/>
    <cellStyle name="Porcentagem 8 3" xfId="832" xr:uid="{00000000-0005-0000-0000-000086060000}"/>
    <cellStyle name="Porcentagem 8 3 2" xfId="1934" xr:uid="{00000000-0005-0000-0000-000087060000}"/>
    <cellStyle name="Porcentagem 8 4" xfId="1234" xr:uid="{00000000-0005-0000-0000-000088060000}"/>
    <cellStyle name="Porcentagem 8 4 2" xfId="1532" xr:uid="{00000000-0005-0000-0000-000089060000}"/>
    <cellStyle name="Porcentagem 8 4 2 2" xfId="1536" xr:uid="{00000000-0005-0000-0000-00008A060000}"/>
    <cellStyle name="Porcentagem 8 4 2 2 2" xfId="2516" xr:uid="{00000000-0005-0000-0000-00008B060000}"/>
    <cellStyle name="Porcentagem 8 4 2 3" xfId="2513" xr:uid="{00000000-0005-0000-0000-00008C060000}"/>
    <cellStyle name="Porcentagem 8 4 3" xfId="2238" xr:uid="{00000000-0005-0000-0000-00008D060000}"/>
    <cellStyle name="Porcentagem 8 5" xfId="1620" xr:uid="{00000000-0005-0000-0000-00008E060000}"/>
    <cellStyle name="Porcentagem 9" xfId="304" xr:uid="{00000000-0005-0000-0000-00008F060000}"/>
    <cellStyle name="Porcentagem 9 2" xfId="738" xr:uid="{00000000-0005-0000-0000-000090060000}"/>
    <cellStyle name="Porcentagem 9 2 2" xfId="1084" xr:uid="{00000000-0005-0000-0000-000091060000}"/>
    <cellStyle name="Porcentagem 9 2 2 2" xfId="2138" xr:uid="{00000000-0005-0000-0000-000092060000}"/>
    <cellStyle name="Porcentagem 9 2 3" xfId="1483" xr:uid="{00000000-0005-0000-0000-000093060000}"/>
    <cellStyle name="Porcentagem 9 2 3 2" xfId="2484" xr:uid="{00000000-0005-0000-0000-000094060000}"/>
    <cellStyle name="Porcentagem 9 2 4" xfId="1851" xr:uid="{00000000-0005-0000-0000-000095060000}"/>
    <cellStyle name="Porcentagem 9 3" xfId="850" xr:uid="{00000000-0005-0000-0000-000096060000}"/>
    <cellStyle name="Porcentagem 9 3 2" xfId="1951" xr:uid="{00000000-0005-0000-0000-000097060000}"/>
    <cellStyle name="Porcentagem 9 4" xfId="1252" xr:uid="{00000000-0005-0000-0000-000098060000}"/>
    <cellStyle name="Porcentagem 9 4 2" xfId="2256" xr:uid="{00000000-0005-0000-0000-000099060000}"/>
    <cellStyle name="Porcentagem 9 5" xfId="1636" xr:uid="{00000000-0005-0000-0000-00009A060000}"/>
    <cellStyle name="PSChar" xfId="98" xr:uid="{00000000-0005-0000-0000-00009B060000}"/>
    <cellStyle name="PSDate" xfId="99" xr:uid="{00000000-0005-0000-0000-00009C060000}"/>
    <cellStyle name="PSDec" xfId="100" xr:uid="{00000000-0005-0000-0000-00009D060000}"/>
    <cellStyle name="PSHeading" xfId="101" xr:uid="{00000000-0005-0000-0000-00009E060000}"/>
    <cellStyle name="PSHeading 2" xfId="755" xr:uid="{00000000-0005-0000-0000-00009F060000}"/>
    <cellStyle name="PSHeading 2 2" xfId="1862" xr:uid="{00000000-0005-0000-0000-0000A0060000}"/>
    <cellStyle name="PSHeading 3" xfId="1564" xr:uid="{00000000-0005-0000-0000-0000A1060000}"/>
    <cellStyle name="PSInt" xfId="102" xr:uid="{00000000-0005-0000-0000-0000A2060000}"/>
    <cellStyle name="PSSpacer" xfId="103" xr:uid="{00000000-0005-0000-0000-0000A3060000}"/>
    <cellStyle name="Ruim" xfId="74" builtinId="27" customBuiltin="1"/>
    <cellStyle name="Saída" xfId="104" builtinId="21" customBuiltin="1"/>
    <cellStyle name="Saída 2" xfId="275" xr:uid="{00000000-0005-0000-0000-0000A5060000}"/>
    <cellStyle name="Saída 2 2" xfId="1235" xr:uid="{00000000-0005-0000-0000-0000A6060000}"/>
    <cellStyle name="Saída 2 2 2" xfId="2239" xr:uid="{00000000-0005-0000-0000-0000A7060000}"/>
    <cellStyle name="Saída 2 3" xfId="1621" xr:uid="{00000000-0005-0000-0000-0000A8060000}"/>
    <cellStyle name="Saída 3" xfId="1153" xr:uid="{00000000-0005-0000-0000-0000A9060000}"/>
    <cellStyle name="Saída 3 2" xfId="2163" xr:uid="{00000000-0005-0000-0000-0000AA060000}"/>
    <cellStyle name="Saída 4" xfId="1565" xr:uid="{00000000-0005-0000-0000-0000AB060000}"/>
    <cellStyle name="Separador de milhares 10" xfId="152" xr:uid="{00000000-0005-0000-0000-0000AC060000}"/>
    <cellStyle name="Separador de milhares 10 2" xfId="153" xr:uid="{00000000-0005-0000-0000-0000AD060000}"/>
    <cellStyle name="Separador de milhares 10 2 2" xfId="585" xr:uid="{00000000-0005-0000-0000-0000AE060000}"/>
    <cellStyle name="Separador de milhares 10 2 2 2" xfId="961" xr:uid="{00000000-0005-0000-0000-0000AF060000}"/>
    <cellStyle name="Separador de milhares 10 2 2 2 2" xfId="2030" xr:uid="{00000000-0005-0000-0000-0000B0060000}"/>
    <cellStyle name="Separador de milhares 10 2 2 3" xfId="1384" xr:uid="{00000000-0005-0000-0000-0000B1060000}"/>
    <cellStyle name="Separador de milhares 10 2 2 3 2" xfId="2386" xr:uid="{00000000-0005-0000-0000-0000B2060000}"/>
    <cellStyle name="Separador de milhares 10 2 3" xfId="691" xr:uid="{00000000-0005-0000-0000-0000B3060000}"/>
    <cellStyle name="Separador de milhares 10 2 3 2" xfId="1458" xr:uid="{00000000-0005-0000-0000-0000B4060000}"/>
    <cellStyle name="Separador de milhares 10 2 3 2 2" xfId="2459" xr:uid="{00000000-0005-0000-0000-0000B5060000}"/>
    <cellStyle name="Separador de milhares 10 3" xfId="483" xr:uid="{00000000-0005-0000-0000-0000B6060000}"/>
    <cellStyle name="Separador de milhares 10 3 2" xfId="892" xr:uid="{00000000-0005-0000-0000-0000B7060000}"/>
    <cellStyle name="Separador de milhares 10 3 2 2" xfId="1986" xr:uid="{00000000-0005-0000-0000-0000B8060000}"/>
    <cellStyle name="Separador de milhares 10 3 3" xfId="1302" xr:uid="{00000000-0005-0000-0000-0000B9060000}"/>
    <cellStyle name="Separador de milhares 10 3 3 2" xfId="2306" xr:uid="{00000000-0005-0000-0000-0000BA060000}"/>
    <cellStyle name="Separador de milhares 10 4" xfId="775" xr:uid="{00000000-0005-0000-0000-0000BB060000}"/>
    <cellStyle name="Separador de milhares 10 4 2" xfId="1879" xr:uid="{00000000-0005-0000-0000-0000BC060000}"/>
    <cellStyle name="Separador de milhares 10 5" xfId="1176" xr:uid="{00000000-0005-0000-0000-0000BD060000}"/>
    <cellStyle name="Separador de milhares 10 5 2" xfId="2180" xr:uid="{00000000-0005-0000-0000-0000BE060000}"/>
    <cellStyle name="Separador de milhares 11" xfId="154" xr:uid="{00000000-0005-0000-0000-0000BF060000}"/>
    <cellStyle name="Separador de milhares 11 2" xfId="276" xr:uid="{00000000-0005-0000-0000-0000C0060000}"/>
    <cellStyle name="Separador de milhares 11 2 2" xfId="739" xr:uid="{00000000-0005-0000-0000-0000C1060000}"/>
    <cellStyle name="Separador de milhares 11 2 2 2" xfId="1484" xr:uid="{00000000-0005-0000-0000-0000C2060000}"/>
    <cellStyle name="Separador de milhares 11 2 2 2 2" xfId="2485" xr:uid="{00000000-0005-0000-0000-0000C3060000}"/>
    <cellStyle name="Separador de milhares 11 2 2 3" xfId="1852" xr:uid="{00000000-0005-0000-0000-0000C4060000}"/>
    <cellStyle name="Separador de milhares 11 2 3" xfId="833" xr:uid="{00000000-0005-0000-0000-0000C5060000}"/>
    <cellStyle name="Separador de milhares 11 2 3 2" xfId="1935" xr:uid="{00000000-0005-0000-0000-0000C6060000}"/>
    <cellStyle name="Separador de milhares 11 2 4" xfId="1236" xr:uid="{00000000-0005-0000-0000-0000C7060000}"/>
    <cellStyle name="Separador de milhares 11 2 4 2" xfId="2240" xr:uid="{00000000-0005-0000-0000-0000C8060000}"/>
    <cellStyle name="Separador de milhares 11 2 5" xfId="1622" xr:uid="{00000000-0005-0000-0000-0000C9060000}"/>
    <cellStyle name="Separador de milhares 11 3" xfId="776" xr:uid="{00000000-0005-0000-0000-0000CA060000}"/>
    <cellStyle name="Separador de milhares 11 3 2" xfId="1880" xr:uid="{00000000-0005-0000-0000-0000CB060000}"/>
    <cellStyle name="Separador de milhares 11 4" xfId="1177" xr:uid="{00000000-0005-0000-0000-0000CC060000}"/>
    <cellStyle name="Separador de milhares 11 4 2" xfId="2181" xr:uid="{00000000-0005-0000-0000-0000CD060000}"/>
    <cellStyle name="Separador de milhares 11 5" xfId="1574" xr:uid="{00000000-0005-0000-0000-0000CE060000}"/>
    <cellStyle name="Separador de milhares 12" xfId="155" xr:uid="{00000000-0005-0000-0000-0000CF060000}"/>
    <cellStyle name="Separador de milhares 12 10" xfId="777" xr:uid="{00000000-0005-0000-0000-0000D0060000}"/>
    <cellStyle name="Separador de milhares 12 10 2" xfId="1881" xr:uid="{00000000-0005-0000-0000-0000D1060000}"/>
    <cellStyle name="Separador de milhares 12 11" xfId="1178" xr:uid="{00000000-0005-0000-0000-0000D2060000}"/>
    <cellStyle name="Separador de milhares 12 11 2" xfId="2182" xr:uid="{00000000-0005-0000-0000-0000D3060000}"/>
    <cellStyle name="Separador de milhares 12 2" xfId="484" xr:uid="{00000000-0005-0000-0000-0000D4060000}"/>
    <cellStyle name="Separador de milhares 12 2 2" xfId="977" xr:uid="{00000000-0005-0000-0000-0000D5060000}"/>
    <cellStyle name="Separador de milhares 12 3" xfId="586" xr:uid="{00000000-0005-0000-0000-0000D6060000}"/>
    <cellStyle name="Separador de milhares 12 4" xfId="692" xr:uid="{00000000-0005-0000-0000-0000D7060000}"/>
    <cellStyle name="Separador de milhares 12 5" xfId="693" xr:uid="{00000000-0005-0000-0000-0000D8060000}"/>
    <cellStyle name="Separador de milhares 12 6" xfId="694" xr:uid="{00000000-0005-0000-0000-0000D9060000}"/>
    <cellStyle name="Separador de milhares 12 7" xfId="695" xr:uid="{00000000-0005-0000-0000-0000DA060000}"/>
    <cellStyle name="Separador de milhares 12 8" xfId="696" xr:uid="{00000000-0005-0000-0000-0000DB060000}"/>
    <cellStyle name="Separador de milhares 12 9" xfId="697" xr:uid="{00000000-0005-0000-0000-0000DC060000}"/>
    <cellStyle name="Separador de milhares 13" xfId="156" xr:uid="{00000000-0005-0000-0000-0000DD060000}"/>
    <cellStyle name="Separador de milhares 13 2" xfId="778" xr:uid="{00000000-0005-0000-0000-0000DE060000}"/>
    <cellStyle name="Separador de milhares 13 2 2" xfId="1882" xr:uid="{00000000-0005-0000-0000-0000DF060000}"/>
    <cellStyle name="Separador de milhares 13 3" xfId="1179" xr:uid="{00000000-0005-0000-0000-0000E0060000}"/>
    <cellStyle name="Separador de milhares 13 3 2" xfId="2183" xr:uid="{00000000-0005-0000-0000-0000E1060000}"/>
    <cellStyle name="Separador de milhares 14" xfId="182" xr:uid="{00000000-0005-0000-0000-0000E2060000}"/>
    <cellStyle name="Separador de milhares 14 2" xfId="799" xr:uid="{00000000-0005-0000-0000-0000E3060000}"/>
    <cellStyle name="Separador de milhares 14 2 2" xfId="1902" xr:uid="{00000000-0005-0000-0000-0000E4060000}"/>
    <cellStyle name="Separador de milhares 14 3" xfId="1199" xr:uid="{00000000-0005-0000-0000-0000E5060000}"/>
    <cellStyle name="Separador de milhares 14 3 2" xfId="2203" xr:uid="{00000000-0005-0000-0000-0000E6060000}"/>
    <cellStyle name="Separador de milhares 15" xfId="184" xr:uid="{00000000-0005-0000-0000-0000E7060000}"/>
    <cellStyle name="Separador de milhares 15 2" xfId="303" xr:uid="{00000000-0005-0000-0000-0000E8060000}"/>
    <cellStyle name="Separador de milhares 15 2 2" xfId="1083" xr:uid="{00000000-0005-0000-0000-0000E9060000}"/>
    <cellStyle name="Separador de milhares 15 2 2 2" xfId="2137" xr:uid="{00000000-0005-0000-0000-0000EA060000}"/>
    <cellStyle name="Separador de milhares 15 2 3" xfId="849" xr:uid="{00000000-0005-0000-0000-0000EB060000}"/>
    <cellStyle name="Separador de milhares 15 2 3 2" xfId="1950" xr:uid="{00000000-0005-0000-0000-0000EC060000}"/>
    <cellStyle name="Separador de milhares 15 2 4" xfId="1251" xr:uid="{00000000-0005-0000-0000-0000ED060000}"/>
    <cellStyle name="Separador de milhares 15 2 4 2" xfId="2255" xr:uid="{00000000-0005-0000-0000-0000EE060000}"/>
    <cellStyle name="Separador de milhares 15 2 5" xfId="1635" xr:uid="{00000000-0005-0000-0000-0000EF060000}"/>
    <cellStyle name="Separador de milhares 15 3" xfId="801" xr:uid="{00000000-0005-0000-0000-0000F0060000}"/>
    <cellStyle name="Separador de milhares 15 3 2" xfId="1904" xr:uid="{00000000-0005-0000-0000-0000F1060000}"/>
    <cellStyle name="Separador de milhares 15 4" xfId="1201" xr:uid="{00000000-0005-0000-0000-0000F2060000}"/>
    <cellStyle name="Separador de milhares 15 4 2" xfId="2205" xr:uid="{00000000-0005-0000-0000-0000F3060000}"/>
    <cellStyle name="Separador de milhares 15 5" xfId="1587" xr:uid="{00000000-0005-0000-0000-0000F4060000}"/>
    <cellStyle name="Separador de milhares 16" xfId="185" xr:uid="{00000000-0005-0000-0000-0000F5060000}"/>
    <cellStyle name="Separador de milhares 16 2" xfId="802" xr:uid="{00000000-0005-0000-0000-0000F6060000}"/>
    <cellStyle name="Separador de milhares 16 2 2" xfId="1905" xr:uid="{00000000-0005-0000-0000-0000F7060000}"/>
    <cellStyle name="Separador de milhares 16 3" xfId="1202" xr:uid="{00000000-0005-0000-0000-0000F8060000}"/>
    <cellStyle name="Separador de milhares 16 3 2" xfId="2206" xr:uid="{00000000-0005-0000-0000-0000F9060000}"/>
    <cellStyle name="Separador de milhares 16 4" xfId="1588" xr:uid="{00000000-0005-0000-0000-0000FA060000}"/>
    <cellStyle name="Separador de milhares 17" xfId="189" xr:uid="{00000000-0005-0000-0000-0000FB060000}"/>
    <cellStyle name="Separador de milhares 17 2" xfId="587" xr:uid="{00000000-0005-0000-0000-0000FC060000}"/>
    <cellStyle name="Separador de milhares 17 2 2" xfId="1036" xr:uid="{00000000-0005-0000-0000-0000FD060000}"/>
    <cellStyle name="Separador de milhares 17 2 2 2" xfId="2092" xr:uid="{00000000-0005-0000-0000-0000FE060000}"/>
    <cellStyle name="Separador de milhares 17 2 3" xfId="1385" xr:uid="{00000000-0005-0000-0000-0000FF060000}"/>
    <cellStyle name="Separador de milhares 17 2 3 2" xfId="2387" xr:uid="{00000000-0005-0000-0000-000000070000}"/>
    <cellStyle name="Separador de milhares 17 2 4" xfId="1756" xr:uid="{00000000-0005-0000-0000-000001070000}"/>
    <cellStyle name="Separador de milhares 17 3" xfId="588" xr:uid="{00000000-0005-0000-0000-000002070000}"/>
    <cellStyle name="Separador de milhares 17 3 2" xfId="1037" xr:uid="{00000000-0005-0000-0000-000003070000}"/>
    <cellStyle name="Separador de milhares 17 3 2 2" xfId="2093" xr:uid="{00000000-0005-0000-0000-000004070000}"/>
    <cellStyle name="Separador de milhares 17 3 3" xfId="1386" xr:uid="{00000000-0005-0000-0000-000005070000}"/>
    <cellStyle name="Separador de milhares 17 3 3 2" xfId="2388" xr:uid="{00000000-0005-0000-0000-000006070000}"/>
    <cellStyle name="Separador de milhares 17 3 4" xfId="1757" xr:uid="{00000000-0005-0000-0000-000007070000}"/>
    <cellStyle name="Separador de milhares 17 4" xfId="805" xr:uid="{00000000-0005-0000-0000-000008070000}"/>
    <cellStyle name="Separador de milhares 17 4 2" xfId="1907" xr:uid="{00000000-0005-0000-0000-000009070000}"/>
    <cellStyle name="Separador de milhares 17 5" xfId="1204" xr:uid="{00000000-0005-0000-0000-00000A070000}"/>
    <cellStyle name="Separador de milhares 17 5 2" xfId="2208" xr:uid="{00000000-0005-0000-0000-00000B070000}"/>
    <cellStyle name="Separador de milhares 17 6" xfId="1590" xr:uid="{00000000-0005-0000-0000-00000C070000}"/>
    <cellStyle name="Separador de milhares 18" xfId="277" xr:uid="{00000000-0005-0000-0000-00000D070000}"/>
    <cellStyle name="Separador de milhares 18 2" xfId="278" xr:uid="{00000000-0005-0000-0000-00000E070000}"/>
    <cellStyle name="Separador de milhares 19" xfId="279" xr:uid="{00000000-0005-0000-0000-00000F070000}"/>
    <cellStyle name="Separador de milhares 19 10" xfId="1623" xr:uid="{00000000-0005-0000-0000-000010070000}"/>
    <cellStyle name="Separador de milhares 19 19" xfId="1516" xr:uid="{00000000-0005-0000-0000-000011070000}"/>
    <cellStyle name="Separador de milhares 19 19 2" xfId="2506" xr:uid="{00000000-0005-0000-0000-000012070000}"/>
    <cellStyle name="Separador de milhares 19 2" xfId="589" xr:uid="{00000000-0005-0000-0000-000013070000}"/>
    <cellStyle name="Separador de milhares 19 2 2" xfId="1038" xr:uid="{00000000-0005-0000-0000-000014070000}"/>
    <cellStyle name="Separador de milhares 19 2 2 2" xfId="2094" xr:uid="{00000000-0005-0000-0000-000015070000}"/>
    <cellStyle name="Separador de milhares 19 2 3" xfId="1387" xr:uid="{00000000-0005-0000-0000-000016070000}"/>
    <cellStyle name="Separador de milhares 19 2 3 2" xfId="2389" xr:uid="{00000000-0005-0000-0000-000017070000}"/>
    <cellStyle name="Separador de milhares 19 2 4" xfId="1758" xr:uid="{00000000-0005-0000-0000-000018070000}"/>
    <cellStyle name="Separador de milhares 19 3" xfId="698" xr:uid="{00000000-0005-0000-0000-000019070000}"/>
    <cellStyle name="Separador de milhares 19 3 2" xfId="1039" xr:uid="{00000000-0005-0000-0000-00001A070000}"/>
    <cellStyle name="Separador de milhares 19 3 2 2" xfId="2095" xr:uid="{00000000-0005-0000-0000-00001B070000}"/>
    <cellStyle name="Separador de milhares 19 3 3" xfId="1459" xr:uid="{00000000-0005-0000-0000-00001C070000}"/>
    <cellStyle name="Separador de milhares 19 3 3 2" xfId="2460" xr:uid="{00000000-0005-0000-0000-00001D070000}"/>
    <cellStyle name="Separador de milhares 19 3 4" xfId="1827" xr:uid="{00000000-0005-0000-0000-00001E070000}"/>
    <cellStyle name="Separador de milhares 19 4" xfId="699" xr:uid="{00000000-0005-0000-0000-00001F070000}"/>
    <cellStyle name="Separador de milhares 19 4 2" xfId="1040" xr:uid="{00000000-0005-0000-0000-000020070000}"/>
    <cellStyle name="Separador de milhares 19 4 2 2" xfId="2096" xr:uid="{00000000-0005-0000-0000-000021070000}"/>
    <cellStyle name="Separador de milhares 19 4 3" xfId="1460" xr:uid="{00000000-0005-0000-0000-000022070000}"/>
    <cellStyle name="Separador de milhares 19 4 3 2" xfId="2461" xr:uid="{00000000-0005-0000-0000-000023070000}"/>
    <cellStyle name="Separador de milhares 19 4 4" xfId="1828" xr:uid="{00000000-0005-0000-0000-000024070000}"/>
    <cellStyle name="Separador de milhares 19 5" xfId="700" xr:uid="{00000000-0005-0000-0000-000025070000}"/>
    <cellStyle name="Separador de milhares 19 5 2" xfId="1041" xr:uid="{00000000-0005-0000-0000-000026070000}"/>
    <cellStyle name="Separador de milhares 19 5 2 2" xfId="2097" xr:uid="{00000000-0005-0000-0000-000027070000}"/>
    <cellStyle name="Separador de milhares 19 5 3" xfId="1461" xr:uid="{00000000-0005-0000-0000-000028070000}"/>
    <cellStyle name="Separador de milhares 19 5 3 2" xfId="2462" xr:uid="{00000000-0005-0000-0000-000029070000}"/>
    <cellStyle name="Separador de milhares 19 5 4" xfId="1829" xr:uid="{00000000-0005-0000-0000-00002A070000}"/>
    <cellStyle name="Separador de milhares 19 6" xfId="701" xr:uid="{00000000-0005-0000-0000-00002B070000}"/>
    <cellStyle name="Separador de milhares 19 6 2" xfId="702" xr:uid="{00000000-0005-0000-0000-00002C070000}"/>
    <cellStyle name="Separador de milhares 19 6 2 2" xfId="1043" xr:uid="{00000000-0005-0000-0000-00002D070000}"/>
    <cellStyle name="Separador de milhares 19 6 2 2 2" xfId="2099" xr:uid="{00000000-0005-0000-0000-00002E070000}"/>
    <cellStyle name="Separador de milhares 19 6 2 3" xfId="1463" xr:uid="{00000000-0005-0000-0000-00002F070000}"/>
    <cellStyle name="Separador de milhares 19 6 2 3 2" xfId="2464" xr:uid="{00000000-0005-0000-0000-000030070000}"/>
    <cellStyle name="Separador de milhares 19 6 2 4" xfId="1831" xr:uid="{00000000-0005-0000-0000-000031070000}"/>
    <cellStyle name="Separador de milhares 19 6 3" xfId="1042" xr:uid="{00000000-0005-0000-0000-000032070000}"/>
    <cellStyle name="Separador de milhares 19 6 3 2" xfId="2098" xr:uid="{00000000-0005-0000-0000-000033070000}"/>
    <cellStyle name="Separador de milhares 19 6 4" xfId="1462" xr:uid="{00000000-0005-0000-0000-000034070000}"/>
    <cellStyle name="Separador de milhares 19 6 4 2" xfId="2463" xr:uid="{00000000-0005-0000-0000-000035070000}"/>
    <cellStyle name="Separador de milhares 19 6 5" xfId="1830" xr:uid="{00000000-0005-0000-0000-000036070000}"/>
    <cellStyle name="Separador de milhares 19 7" xfId="703" xr:uid="{00000000-0005-0000-0000-000037070000}"/>
    <cellStyle name="Separador de milhares 19 7 2" xfId="1044" xr:uid="{00000000-0005-0000-0000-000038070000}"/>
    <cellStyle name="Separador de milhares 19 7 2 2" xfId="2100" xr:uid="{00000000-0005-0000-0000-000039070000}"/>
    <cellStyle name="Separador de milhares 19 7 3" xfId="1464" xr:uid="{00000000-0005-0000-0000-00003A070000}"/>
    <cellStyle name="Separador de milhares 19 7 3 2" xfId="2465" xr:uid="{00000000-0005-0000-0000-00003B070000}"/>
    <cellStyle name="Separador de milhares 19 7 4" xfId="1832" xr:uid="{00000000-0005-0000-0000-00003C070000}"/>
    <cellStyle name="Separador de milhares 19 8" xfId="834" xr:uid="{00000000-0005-0000-0000-00003D070000}"/>
    <cellStyle name="Separador de milhares 19 8 2" xfId="1936" xr:uid="{00000000-0005-0000-0000-00003E070000}"/>
    <cellStyle name="Separador de milhares 19 9" xfId="1237" xr:uid="{00000000-0005-0000-0000-00003F070000}"/>
    <cellStyle name="Separador de milhares 19 9 2" xfId="2241" xr:uid="{00000000-0005-0000-0000-000040070000}"/>
    <cellStyle name="Separador de milhares 2" xfId="105" xr:uid="{00000000-0005-0000-0000-000041070000}"/>
    <cellStyle name="Separador de milhares 2 10" xfId="704" xr:uid="{00000000-0005-0000-0000-000042070000}"/>
    <cellStyle name="Separador de milhares 2 10 2" xfId="1105" xr:uid="{00000000-0005-0000-0000-000043070000}"/>
    <cellStyle name="Separador de milhares 2 11" xfId="747" xr:uid="{00000000-0005-0000-0000-000044070000}"/>
    <cellStyle name="Separador de milhares 2 12" xfId="756" xr:uid="{00000000-0005-0000-0000-000045070000}"/>
    <cellStyle name="Separador de milhares 2 12 2" xfId="1863" xr:uid="{00000000-0005-0000-0000-000046070000}"/>
    <cellStyle name="Separador de milhares 2 13" xfId="1154" xr:uid="{00000000-0005-0000-0000-000047070000}"/>
    <cellStyle name="Separador de milhares 2 13 2" xfId="2164" xr:uid="{00000000-0005-0000-0000-000048070000}"/>
    <cellStyle name="Separador de milhares 2 2" xfId="157" xr:uid="{00000000-0005-0000-0000-000049070000}"/>
    <cellStyle name="Separador de milhares 2 2 2" xfId="158" xr:uid="{00000000-0005-0000-0000-00004A070000}"/>
    <cellStyle name="Separador de milhares 2 2 2 2" xfId="485" xr:uid="{00000000-0005-0000-0000-00004B070000}"/>
    <cellStyle name="Separador de milhares 2 2 2 2 2" xfId="893" xr:uid="{00000000-0005-0000-0000-00004C070000}"/>
    <cellStyle name="Separador de milhares 2 2 2 2 2 2" xfId="1987" xr:uid="{00000000-0005-0000-0000-00004D070000}"/>
    <cellStyle name="Separador de milhares 2 2 2 2 3" xfId="1303" xr:uid="{00000000-0005-0000-0000-00004E070000}"/>
    <cellStyle name="Separador de milhares 2 2 2 2 3 2" xfId="2307" xr:uid="{00000000-0005-0000-0000-00004F070000}"/>
    <cellStyle name="Separador de milhares 2 2 2 3" xfId="780" xr:uid="{00000000-0005-0000-0000-000050070000}"/>
    <cellStyle name="Separador de milhares 2 2 2 3 2" xfId="1884" xr:uid="{00000000-0005-0000-0000-000051070000}"/>
    <cellStyle name="Separador de milhares 2 2 2 4" xfId="1181" xr:uid="{00000000-0005-0000-0000-000052070000}"/>
    <cellStyle name="Separador de milhares 2 2 2 4 2" xfId="2185" xr:uid="{00000000-0005-0000-0000-000053070000}"/>
    <cellStyle name="Separador de milhares 2 2 3" xfId="159" xr:uid="{00000000-0005-0000-0000-000054070000}"/>
    <cellStyle name="Separador de milhares 2 2 3 2" xfId="590" xr:uid="{00000000-0005-0000-0000-000055070000}"/>
    <cellStyle name="Separador de milhares 2 2 4" xfId="779" xr:uid="{00000000-0005-0000-0000-000056070000}"/>
    <cellStyle name="Separador de milhares 2 2 4 2" xfId="1883" xr:uid="{00000000-0005-0000-0000-000057070000}"/>
    <cellStyle name="Separador de milhares 2 2 5" xfId="1180" xr:uid="{00000000-0005-0000-0000-000058070000}"/>
    <cellStyle name="Separador de milhares 2 2 5 2" xfId="2184" xr:uid="{00000000-0005-0000-0000-000059070000}"/>
    <cellStyle name="Separador de milhares 2 3" xfId="160" xr:uid="{00000000-0005-0000-0000-00005A070000}"/>
    <cellStyle name="Separador de milhares 2 3 2" xfId="781" xr:uid="{00000000-0005-0000-0000-00005B070000}"/>
    <cellStyle name="Separador de milhares 2 3 2 2" xfId="1885" xr:uid="{00000000-0005-0000-0000-00005C070000}"/>
    <cellStyle name="Separador de milhares 2 3 3" xfId="1182" xr:uid="{00000000-0005-0000-0000-00005D070000}"/>
    <cellStyle name="Separador de milhares 2 3 3 2" xfId="2186" xr:uid="{00000000-0005-0000-0000-00005E070000}"/>
    <cellStyle name="Separador de milhares 2 4" xfId="161" xr:uid="{00000000-0005-0000-0000-00005F070000}"/>
    <cellStyle name="Separador de milhares 2 4 2" xfId="782" xr:uid="{00000000-0005-0000-0000-000060070000}"/>
    <cellStyle name="Separador de milhares 2 4 2 2" xfId="1886" xr:uid="{00000000-0005-0000-0000-000061070000}"/>
    <cellStyle name="Separador de milhares 2 4 3" xfId="1183" xr:uid="{00000000-0005-0000-0000-000062070000}"/>
    <cellStyle name="Separador de milhares 2 4 3 2" xfId="2187" xr:uid="{00000000-0005-0000-0000-000063070000}"/>
    <cellStyle name="Separador de milhares 2 5" xfId="162" xr:uid="{00000000-0005-0000-0000-000064070000}"/>
    <cellStyle name="Separador de milhares 2 5 10" xfId="705" xr:uid="{00000000-0005-0000-0000-000065070000}"/>
    <cellStyle name="Separador de milhares 2 5 11" xfId="706" xr:uid="{00000000-0005-0000-0000-000066070000}"/>
    <cellStyle name="Separador de milhares 2 5 12" xfId="707" xr:uid="{00000000-0005-0000-0000-000067070000}"/>
    <cellStyle name="Separador de milhares 2 5 13" xfId="708" xr:uid="{00000000-0005-0000-0000-000068070000}"/>
    <cellStyle name="Separador de milhares 2 5 14" xfId="709" xr:uid="{00000000-0005-0000-0000-000069070000}"/>
    <cellStyle name="Separador de milhares 2 5 15" xfId="710" xr:uid="{00000000-0005-0000-0000-00006A070000}"/>
    <cellStyle name="Separador de milhares 2 5 16" xfId="711" xr:uid="{00000000-0005-0000-0000-00006B070000}"/>
    <cellStyle name="Separador de milhares 2 5 17" xfId="712" xr:uid="{00000000-0005-0000-0000-00006C070000}"/>
    <cellStyle name="Separador de milhares 2 5 18" xfId="713" xr:uid="{00000000-0005-0000-0000-00006D070000}"/>
    <cellStyle name="Separador de milhares 2 5 19" xfId="783" xr:uid="{00000000-0005-0000-0000-00006E070000}"/>
    <cellStyle name="Separador de milhares 2 5 19 2" xfId="1887" xr:uid="{00000000-0005-0000-0000-00006F070000}"/>
    <cellStyle name="Separador de milhares 2 5 2" xfId="486" xr:uid="{00000000-0005-0000-0000-000070070000}"/>
    <cellStyle name="Separador de milhares 2 5 20" xfId="1184" xr:uid="{00000000-0005-0000-0000-000071070000}"/>
    <cellStyle name="Separador de milhares 2 5 20 2" xfId="2188" xr:uid="{00000000-0005-0000-0000-000072070000}"/>
    <cellStyle name="Separador de milhares 2 5 3" xfId="487" xr:uid="{00000000-0005-0000-0000-000073070000}"/>
    <cellStyle name="Separador de milhares 2 5 4" xfId="714" xr:uid="{00000000-0005-0000-0000-000074070000}"/>
    <cellStyle name="Separador de milhares 2 5 5" xfId="715" xr:uid="{00000000-0005-0000-0000-000075070000}"/>
    <cellStyle name="Separador de milhares 2 5 6" xfId="716" xr:uid="{00000000-0005-0000-0000-000076070000}"/>
    <cellStyle name="Separador de milhares 2 5 7" xfId="717" xr:uid="{00000000-0005-0000-0000-000077070000}"/>
    <cellStyle name="Separador de milhares 2 5 8" xfId="718" xr:uid="{00000000-0005-0000-0000-000078070000}"/>
    <cellStyle name="Separador de milhares 2 5 9" xfId="591" xr:uid="{00000000-0005-0000-0000-000079070000}"/>
    <cellStyle name="Separador de milhares 2 6" xfId="280" xr:uid="{00000000-0005-0000-0000-00007A070000}"/>
    <cellStyle name="Separador de milhares 2 6 2" xfId="835" xr:uid="{00000000-0005-0000-0000-00007B070000}"/>
    <cellStyle name="Separador de milhares 2 6 2 2" xfId="1937" xr:uid="{00000000-0005-0000-0000-00007C070000}"/>
    <cellStyle name="Separador de milhares 2 6 3" xfId="1238" xr:uid="{00000000-0005-0000-0000-00007D070000}"/>
    <cellStyle name="Separador de milhares 2 6 3 2" xfId="2242" xr:uid="{00000000-0005-0000-0000-00007E070000}"/>
    <cellStyle name="Separador de milhares 2 7" xfId="488" xr:uid="{00000000-0005-0000-0000-00007F070000}"/>
    <cellStyle name="Separador de milhares 2 7 2" xfId="1045" xr:uid="{00000000-0005-0000-0000-000080070000}"/>
    <cellStyle name="Separador de milhares 2 7 2 2" xfId="2101" xr:uid="{00000000-0005-0000-0000-000081070000}"/>
    <cellStyle name="Separador de milhares 2 7 3" xfId="1304" xr:uid="{00000000-0005-0000-0000-000082070000}"/>
    <cellStyle name="Separador de milhares 2 7 3 2" xfId="2308" xr:uid="{00000000-0005-0000-0000-000083070000}"/>
    <cellStyle name="Separador de milhares 2 7 4" xfId="1686" xr:uid="{00000000-0005-0000-0000-000084070000}"/>
    <cellStyle name="Separador de milhares 2 8" xfId="489" xr:uid="{00000000-0005-0000-0000-000085070000}"/>
    <cellStyle name="Separador de milhares 2 8 2" xfId="1046" xr:uid="{00000000-0005-0000-0000-000086070000}"/>
    <cellStyle name="Separador de milhares 2 8 2 2" xfId="2102" xr:uid="{00000000-0005-0000-0000-000087070000}"/>
    <cellStyle name="Separador de milhares 2 8 3" xfId="1305" xr:uid="{00000000-0005-0000-0000-000088070000}"/>
    <cellStyle name="Separador de milhares 2 8 3 2" xfId="2309" xr:uid="{00000000-0005-0000-0000-000089070000}"/>
    <cellStyle name="Separador de milhares 2 8 4" xfId="1687" xr:uid="{00000000-0005-0000-0000-00008A070000}"/>
    <cellStyle name="Separador de milhares 2 9" xfId="592" xr:uid="{00000000-0005-0000-0000-00008B070000}"/>
    <cellStyle name="Separador de milhares 2 9 2" xfId="1047" xr:uid="{00000000-0005-0000-0000-00008C070000}"/>
    <cellStyle name="Separador de milhares 2 9 2 2" xfId="2103" xr:uid="{00000000-0005-0000-0000-00008D070000}"/>
    <cellStyle name="Separador de milhares 2 9 3" xfId="1388" xr:uid="{00000000-0005-0000-0000-00008E070000}"/>
    <cellStyle name="Separador de milhares 2 9 3 2" xfId="2390" xr:uid="{00000000-0005-0000-0000-00008F070000}"/>
    <cellStyle name="Separador de milhares 2 9 4" xfId="1759" xr:uid="{00000000-0005-0000-0000-000090070000}"/>
    <cellStyle name="Separador de milhares 20" xfId="281" xr:uid="{00000000-0005-0000-0000-000091070000}"/>
    <cellStyle name="Separador de milhares 21" xfId="282" xr:uid="{00000000-0005-0000-0000-000092070000}"/>
    <cellStyle name="Separador de milhares 21 2" xfId="836" xr:uid="{00000000-0005-0000-0000-000093070000}"/>
    <cellStyle name="Separador de milhares 21 2 2" xfId="1938" xr:uid="{00000000-0005-0000-0000-000094070000}"/>
    <cellStyle name="Separador de milhares 21 3" xfId="1239" xr:uid="{00000000-0005-0000-0000-000095070000}"/>
    <cellStyle name="Separador de milhares 21 3 2" xfId="2243" xr:uid="{00000000-0005-0000-0000-000096070000}"/>
    <cellStyle name="Separador de milhares 21 4" xfId="1624" xr:uid="{00000000-0005-0000-0000-000097070000}"/>
    <cellStyle name="Separador de milhares 22" xfId="283" xr:uid="{00000000-0005-0000-0000-000098070000}"/>
    <cellStyle name="Separador de milhares 22 2" xfId="837" xr:uid="{00000000-0005-0000-0000-000099070000}"/>
    <cellStyle name="Separador de milhares 22 2 2" xfId="1939" xr:uid="{00000000-0005-0000-0000-00009A070000}"/>
    <cellStyle name="Separador de milhares 22 3" xfId="1240" xr:uid="{00000000-0005-0000-0000-00009B070000}"/>
    <cellStyle name="Separador de milhares 22 3 2" xfId="2244" xr:uid="{00000000-0005-0000-0000-00009C070000}"/>
    <cellStyle name="Separador de milhares 22 4" xfId="1625" xr:uid="{00000000-0005-0000-0000-00009D070000}"/>
    <cellStyle name="Separador de milhares 23" xfId="284" xr:uid="{00000000-0005-0000-0000-00009E070000}"/>
    <cellStyle name="Separador de milhares 23 2" xfId="838" xr:uid="{00000000-0005-0000-0000-00009F070000}"/>
    <cellStyle name="Separador de milhares 23 2 2" xfId="1940" xr:uid="{00000000-0005-0000-0000-0000A0070000}"/>
    <cellStyle name="Separador de milhares 23 3" xfId="1241" xr:uid="{00000000-0005-0000-0000-0000A1070000}"/>
    <cellStyle name="Separador de milhares 23 3 2" xfId="2245" xr:uid="{00000000-0005-0000-0000-0000A2070000}"/>
    <cellStyle name="Separador de milhares 23 4" xfId="1626" xr:uid="{00000000-0005-0000-0000-0000A3070000}"/>
    <cellStyle name="Separador de milhares 24" xfId="285" xr:uid="{00000000-0005-0000-0000-0000A4070000}"/>
    <cellStyle name="Separador de milhares 24 2" xfId="839" xr:uid="{00000000-0005-0000-0000-0000A5070000}"/>
    <cellStyle name="Separador de milhares 24 2 2" xfId="1941" xr:uid="{00000000-0005-0000-0000-0000A6070000}"/>
    <cellStyle name="Separador de milhares 24 3" xfId="1242" xr:uid="{00000000-0005-0000-0000-0000A7070000}"/>
    <cellStyle name="Separador de milhares 24 3 2" xfId="2246" xr:uid="{00000000-0005-0000-0000-0000A8070000}"/>
    <cellStyle name="Separador de milhares 24 4" xfId="1627" xr:uid="{00000000-0005-0000-0000-0000A9070000}"/>
    <cellStyle name="Separador de milhares 25" xfId="302" xr:uid="{00000000-0005-0000-0000-0000AA070000}"/>
    <cellStyle name="Separador de milhares 25 2" xfId="1082" xr:uid="{00000000-0005-0000-0000-0000AB070000}"/>
    <cellStyle name="Separador de milhares 25 2 2" xfId="2136" xr:uid="{00000000-0005-0000-0000-0000AC070000}"/>
    <cellStyle name="Separador de milhares 25 3" xfId="848" xr:uid="{00000000-0005-0000-0000-0000AD070000}"/>
    <cellStyle name="Separador de milhares 25 3 2" xfId="1949" xr:uid="{00000000-0005-0000-0000-0000AE070000}"/>
    <cellStyle name="Separador de milhares 25 4" xfId="1250" xr:uid="{00000000-0005-0000-0000-0000AF070000}"/>
    <cellStyle name="Separador de milhares 25 4 2" xfId="2254" xr:uid="{00000000-0005-0000-0000-0000B0070000}"/>
    <cellStyle name="Separador de milhares 25 5" xfId="1634" xr:uid="{00000000-0005-0000-0000-0000B1070000}"/>
    <cellStyle name="Separador de milhares 26" xfId="490" xr:uid="{00000000-0005-0000-0000-0000B2070000}"/>
    <cellStyle name="Separador de milhares 26 2" xfId="593" xr:uid="{00000000-0005-0000-0000-0000B3070000}"/>
    <cellStyle name="Separador de milhares 26 2 2" xfId="1048" xr:uid="{00000000-0005-0000-0000-0000B4070000}"/>
    <cellStyle name="Separador de milhares 26 2 2 2" xfId="2104" xr:uid="{00000000-0005-0000-0000-0000B5070000}"/>
    <cellStyle name="Separador de milhares 26 2 3" xfId="1389" xr:uid="{00000000-0005-0000-0000-0000B6070000}"/>
    <cellStyle name="Separador de milhares 26 2 3 2" xfId="2391" xr:uid="{00000000-0005-0000-0000-0000B7070000}"/>
    <cellStyle name="Separador de milhares 26 2 4" xfId="1760" xr:uid="{00000000-0005-0000-0000-0000B8070000}"/>
    <cellStyle name="Separador de milhares 26 3" xfId="894" xr:uid="{00000000-0005-0000-0000-0000B9070000}"/>
    <cellStyle name="Separador de milhares 26 3 2" xfId="1988" xr:uid="{00000000-0005-0000-0000-0000BA070000}"/>
    <cellStyle name="Separador de milhares 27" xfId="491" xr:uid="{00000000-0005-0000-0000-0000BB070000}"/>
    <cellStyle name="Separador de milhares 27 2" xfId="895" xr:uid="{00000000-0005-0000-0000-0000BC070000}"/>
    <cellStyle name="Separador de milhares 27 2 2" xfId="1989" xr:uid="{00000000-0005-0000-0000-0000BD070000}"/>
    <cellStyle name="Separador de milhares 27 3" xfId="1306" xr:uid="{00000000-0005-0000-0000-0000BE070000}"/>
    <cellStyle name="Separador de milhares 27 3 2" xfId="2310" xr:uid="{00000000-0005-0000-0000-0000BF070000}"/>
    <cellStyle name="Separador de milhares 27 4" xfId="1688" xr:uid="{00000000-0005-0000-0000-0000C0070000}"/>
    <cellStyle name="Separador de milhares 28" xfId="492" xr:uid="{00000000-0005-0000-0000-0000C1070000}"/>
    <cellStyle name="Separador de milhares 28 2" xfId="909" xr:uid="{00000000-0005-0000-0000-0000C2070000}"/>
    <cellStyle name="Separador de milhares 28 2 2" xfId="2003" xr:uid="{00000000-0005-0000-0000-0000C3070000}"/>
    <cellStyle name="Separador de milhares 28 3" xfId="1307" xr:uid="{00000000-0005-0000-0000-0000C4070000}"/>
    <cellStyle name="Separador de milhares 28 3 2" xfId="2311" xr:uid="{00000000-0005-0000-0000-0000C5070000}"/>
    <cellStyle name="Separador de milhares 28 4" xfId="1689" xr:uid="{00000000-0005-0000-0000-0000C6070000}"/>
    <cellStyle name="Separador de milhares 29" xfId="493" xr:uid="{00000000-0005-0000-0000-0000C7070000}"/>
    <cellStyle name="Separador de milhares 29 2" xfId="594" xr:uid="{00000000-0005-0000-0000-0000C8070000}"/>
    <cellStyle name="Separador de milhares 29 2 2" xfId="1049" xr:uid="{00000000-0005-0000-0000-0000C9070000}"/>
    <cellStyle name="Separador de milhares 29 2 2 2" xfId="2105" xr:uid="{00000000-0005-0000-0000-0000CA070000}"/>
    <cellStyle name="Separador de milhares 29 2 3" xfId="1390" xr:uid="{00000000-0005-0000-0000-0000CB070000}"/>
    <cellStyle name="Separador de milhares 29 2 3 2" xfId="2392" xr:uid="{00000000-0005-0000-0000-0000CC070000}"/>
    <cellStyle name="Separador de milhares 29 2 4" xfId="1761" xr:uid="{00000000-0005-0000-0000-0000CD070000}"/>
    <cellStyle name="Separador de milhares 29 3" xfId="924" xr:uid="{00000000-0005-0000-0000-0000CE070000}"/>
    <cellStyle name="Separador de milhares 29 4" xfId="1308" xr:uid="{00000000-0005-0000-0000-0000CF070000}"/>
    <cellStyle name="Separador de milhares 29 4 2" xfId="2312" xr:uid="{00000000-0005-0000-0000-0000D0070000}"/>
    <cellStyle name="Separador de milhares 29 5" xfId="1690" xr:uid="{00000000-0005-0000-0000-0000D1070000}"/>
    <cellStyle name="Separador de milhares 3" xfId="106" xr:uid="{00000000-0005-0000-0000-0000D2070000}"/>
    <cellStyle name="Separador de milhares 3 2" xfId="107" xr:uid="{00000000-0005-0000-0000-0000D3070000}"/>
    <cellStyle name="Separador de milhares 3 2 2" xfId="758" xr:uid="{00000000-0005-0000-0000-0000D4070000}"/>
    <cellStyle name="Separador de milhares 3 2 2 2" xfId="1865" xr:uid="{00000000-0005-0000-0000-0000D5070000}"/>
    <cellStyle name="Separador de milhares 3 2 3" xfId="1156" xr:uid="{00000000-0005-0000-0000-0000D6070000}"/>
    <cellStyle name="Separador de milhares 3 2 3 2" xfId="2166" xr:uid="{00000000-0005-0000-0000-0000D7070000}"/>
    <cellStyle name="Separador de milhares 3 3" xfId="286" xr:uid="{00000000-0005-0000-0000-0000D8070000}"/>
    <cellStyle name="Separador de milhares 3 3 2" xfId="840" xr:uid="{00000000-0005-0000-0000-0000D9070000}"/>
    <cellStyle name="Separador de milhares 3 3 2 2" xfId="1942" xr:uid="{00000000-0005-0000-0000-0000DA070000}"/>
    <cellStyle name="Separador de milhares 3 3 3" xfId="1243" xr:uid="{00000000-0005-0000-0000-0000DB070000}"/>
    <cellStyle name="Separador de milhares 3 3 3 2" xfId="2247" xr:uid="{00000000-0005-0000-0000-0000DC070000}"/>
    <cellStyle name="Separador de milhares 3 4" xfId="494" xr:uid="{00000000-0005-0000-0000-0000DD070000}"/>
    <cellStyle name="Separador de milhares 3 4 2" xfId="896" xr:uid="{00000000-0005-0000-0000-0000DE070000}"/>
    <cellStyle name="Separador de milhares 3 4 2 2" xfId="1990" xr:uid="{00000000-0005-0000-0000-0000DF070000}"/>
    <cellStyle name="Separador de milhares 3 4 3" xfId="1309" xr:uid="{00000000-0005-0000-0000-0000E0070000}"/>
    <cellStyle name="Separador de milhares 3 4 3 2" xfId="2313" xr:uid="{00000000-0005-0000-0000-0000E1070000}"/>
    <cellStyle name="Separador de milhares 3 5" xfId="757" xr:uid="{00000000-0005-0000-0000-0000E2070000}"/>
    <cellStyle name="Separador de milhares 3 5 2" xfId="1864" xr:uid="{00000000-0005-0000-0000-0000E3070000}"/>
    <cellStyle name="Separador de milhares 3 6" xfId="1155" xr:uid="{00000000-0005-0000-0000-0000E4070000}"/>
    <cellStyle name="Separador de milhares 3 6 2" xfId="2165" xr:uid="{00000000-0005-0000-0000-0000E5070000}"/>
    <cellStyle name="Separador de milhares 30" xfId="495" xr:uid="{00000000-0005-0000-0000-0000E6070000}"/>
    <cellStyle name="Separador de milhares 30 2" xfId="925" xr:uid="{00000000-0005-0000-0000-0000E7070000}"/>
    <cellStyle name="Separador de milhares 30 2 2" xfId="2008" xr:uid="{00000000-0005-0000-0000-0000E8070000}"/>
    <cellStyle name="Separador de milhares 30 3" xfId="1310" xr:uid="{00000000-0005-0000-0000-0000E9070000}"/>
    <cellStyle name="Separador de milhares 30 3 2" xfId="2314" xr:uid="{00000000-0005-0000-0000-0000EA070000}"/>
    <cellStyle name="Separador de milhares 30 4" xfId="1691" xr:uid="{00000000-0005-0000-0000-0000EB070000}"/>
    <cellStyle name="Separador de milhares 31" xfId="496" xr:uid="{00000000-0005-0000-0000-0000EC070000}"/>
    <cellStyle name="Separador de milhares 32" xfId="497" xr:uid="{00000000-0005-0000-0000-0000ED070000}"/>
    <cellStyle name="Separador de milhares 32 2" xfId="719" xr:uid="{00000000-0005-0000-0000-0000EE070000}"/>
    <cellStyle name="Separador de milhares 32 2 2" xfId="720" xr:uid="{00000000-0005-0000-0000-0000EF070000}"/>
    <cellStyle name="Separador de milhares 32 2 2 2" xfId="1466" xr:uid="{00000000-0005-0000-0000-0000F0070000}"/>
    <cellStyle name="Separador de milhares 32 2 2 2 2" xfId="2467" xr:uid="{00000000-0005-0000-0000-0000F1070000}"/>
    <cellStyle name="Separador de milhares 32 2 2 3" xfId="1834" xr:uid="{00000000-0005-0000-0000-0000F2070000}"/>
    <cellStyle name="Separador de milhares 32 2 3" xfId="1465" xr:uid="{00000000-0005-0000-0000-0000F3070000}"/>
    <cellStyle name="Separador de milhares 32 2 3 2" xfId="2466" xr:uid="{00000000-0005-0000-0000-0000F4070000}"/>
    <cellStyle name="Separador de milhares 32 2 4" xfId="1833" xr:uid="{00000000-0005-0000-0000-0000F5070000}"/>
    <cellStyle name="Separador de milhares 32 3" xfId="926" xr:uid="{00000000-0005-0000-0000-0000F6070000}"/>
    <cellStyle name="Separador de milhares 32 4" xfId="1311" xr:uid="{00000000-0005-0000-0000-0000F7070000}"/>
    <cellStyle name="Separador de milhares 32 4 2" xfId="2315" xr:uid="{00000000-0005-0000-0000-0000F8070000}"/>
    <cellStyle name="Separador de milhares 32 5" xfId="1692" xr:uid="{00000000-0005-0000-0000-0000F9070000}"/>
    <cellStyle name="Separador de milhares 33" xfId="498" xr:uid="{00000000-0005-0000-0000-0000FA070000}"/>
    <cellStyle name="Separador de milhares 33 2" xfId="927" xr:uid="{00000000-0005-0000-0000-0000FB070000}"/>
    <cellStyle name="Separador de milhares 33 3" xfId="1312" xr:uid="{00000000-0005-0000-0000-0000FC070000}"/>
    <cellStyle name="Separador de milhares 33 3 2" xfId="2316" xr:uid="{00000000-0005-0000-0000-0000FD070000}"/>
    <cellStyle name="Separador de milhares 33 4" xfId="1693" xr:uid="{00000000-0005-0000-0000-0000FE070000}"/>
    <cellStyle name="Separador de milhares 34" xfId="499" xr:uid="{00000000-0005-0000-0000-0000FF070000}"/>
    <cellStyle name="Separador de milhares 34 2" xfId="595" xr:uid="{00000000-0005-0000-0000-000000080000}"/>
    <cellStyle name="Separador de milhares 34 2 2" xfId="1050" xr:uid="{00000000-0005-0000-0000-000001080000}"/>
    <cellStyle name="Separador de milhares 34 2 2 2" xfId="2106" xr:uid="{00000000-0005-0000-0000-000002080000}"/>
    <cellStyle name="Separador de milhares 34 2 3" xfId="1391" xr:uid="{00000000-0005-0000-0000-000003080000}"/>
    <cellStyle name="Separador de milhares 34 2 3 2" xfId="2393" xr:uid="{00000000-0005-0000-0000-000004080000}"/>
    <cellStyle name="Separador de milhares 34 2 4" xfId="1762" xr:uid="{00000000-0005-0000-0000-000005080000}"/>
    <cellStyle name="Separador de milhares 34 3" xfId="928" xr:uid="{00000000-0005-0000-0000-000006080000}"/>
    <cellStyle name="Separador de milhares 34 4" xfId="1313" xr:uid="{00000000-0005-0000-0000-000007080000}"/>
    <cellStyle name="Separador de milhares 34 4 2" xfId="2317" xr:uid="{00000000-0005-0000-0000-000008080000}"/>
    <cellStyle name="Separador de milhares 34 5" xfId="1694" xr:uid="{00000000-0005-0000-0000-000009080000}"/>
    <cellStyle name="Separador de milhares 35" xfId="500" xr:uid="{00000000-0005-0000-0000-00000A080000}"/>
    <cellStyle name="Separador de milhares 35 2" xfId="596" xr:uid="{00000000-0005-0000-0000-00000B080000}"/>
    <cellStyle name="Separador de milhares 35 2 2" xfId="1051" xr:uid="{00000000-0005-0000-0000-00000C080000}"/>
    <cellStyle name="Separador de milhares 35 2 2 2" xfId="2107" xr:uid="{00000000-0005-0000-0000-00000D080000}"/>
    <cellStyle name="Separador de milhares 35 2 3" xfId="1392" xr:uid="{00000000-0005-0000-0000-00000E080000}"/>
    <cellStyle name="Separador de milhares 35 2 3 2" xfId="2394" xr:uid="{00000000-0005-0000-0000-00000F080000}"/>
    <cellStyle name="Separador de milhares 35 2 4" xfId="1763" xr:uid="{00000000-0005-0000-0000-000010080000}"/>
    <cellStyle name="Separador de milhares 35 3" xfId="929" xr:uid="{00000000-0005-0000-0000-000011080000}"/>
    <cellStyle name="Separador de milhares 35 4" xfId="1314" xr:uid="{00000000-0005-0000-0000-000012080000}"/>
    <cellStyle name="Separador de milhares 35 4 2" xfId="2318" xr:uid="{00000000-0005-0000-0000-000013080000}"/>
    <cellStyle name="Separador de milhares 35 5" xfId="1695" xr:uid="{00000000-0005-0000-0000-000014080000}"/>
    <cellStyle name="Separador de milhares 36" xfId="501" xr:uid="{00000000-0005-0000-0000-000015080000}"/>
    <cellStyle name="Separador de milhares 36 2" xfId="930" xr:uid="{00000000-0005-0000-0000-000016080000}"/>
    <cellStyle name="Separador de milhares 37" xfId="502" xr:uid="{00000000-0005-0000-0000-000017080000}"/>
    <cellStyle name="Separador de milhares 37 2" xfId="1052" xr:uid="{00000000-0005-0000-0000-000018080000}"/>
    <cellStyle name="Separador de milhares 37 2 2" xfId="2108" xr:uid="{00000000-0005-0000-0000-000019080000}"/>
    <cellStyle name="Separador de milhares 37 3" xfId="931" xr:uid="{00000000-0005-0000-0000-00001A080000}"/>
    <cellStyle name="Separador de milhares 38" xfId="503" xr:uid="{00000000-0005-0000-0000-00001B080000}"/>
    <cellStyle name="Separador de milhares 38 2" xfId="597" xr:uid="{00000000-0005-0000-0000-00001C080000}"/>
    <cellStyle name="Separador de milhares 38 2 2" xfId="1053" xr:uid="{00000000-0005-0000-0000-00001D080000}"/>
    <cellStyle name="Separador de milhares 38 2 2 2" xfId="2109" xr:uid="{00000000-0005-0000-0000-00001E080000}"/>
    <cellStyle name="Separador de milhares 38 2 3" xfId="1393" xr:uid="{00000000-0005-0000-0000-00001F080000}"/>
    <cellStyle name="Separador de milhares 38 2 3 2" xfId="2395" xr:uid="{00000000-0005-0000-0000-000020080000}"/>
    <cellStyle name="Separador de milhares 38 2 4" xfId="1764" xr:uid="{00000000-0005-0000-0000-000021080000}"/>
    <cellStyle name="Separador de milhares 38 3" xfId="932" xr:uid="{00000000-0005-0000-0000-000022080000}"/>
    <cellStyle name="Separador de milhares 38 4" xfId="1315" xr:uid="{00000000-0005-0000-0000-000023080000}"/>
    <cellStyle name="Separador de milhares 38 4 2" xfId="2319" xr:uid="{00000000-0005-0000-0000-000024080000}"/>
    <cellStyle name="Separador de milhares 38 5" xfId="1696" xr:uid="{00000000-0005-0000-0000-000025080000}"/>
    <cellStyle name="Separador de milhares 39" xfId="504" xr:uid="{00000000-0005-0000-0000-000026080000}"/>
    <cellStyle name="Separador de milhares 39 2" xfId="933" xr:uid="{00000000-0005-0000-0000-000027080000}"/>
    <cellStyle name="Separador de milhares 39 2 2" xfId="2009" xr:uid="{00000000-0005-0000-0000-000028080000}"/>
    <cellStyle name="Separador de milhares 39 3" xfId="1316" xr:uid="{00000000-0005-0000-0000-000029080000}"/>
    <cellStyle name="Separador de milhares 39 3 2" xfId="2320" xr:uid="{00000000-0005-0000-0000-00002A080000}"/>
    <cellStyle name="Separador de milhares 39 4" xfId="1697" xr:uid="{00000000-0005-0000-0000-00002B080000}"/>
    <cellStyle name="Separador de milhares 4" xfId="108" xr:uid="{00000000-0005-0000-0000-00002C080000}"/>
    <cellStyle name="Separador de milhares 4 2" xfId="505" xr:uid="{00000000-0005-0000-0000-00002D080000}"/>
    <cellStyle name="Separador de milhares 4 2 2" xfId="897" xr:uid="{00000000-0005-0000-0000-00002E080000}"/>
    <cellStyle name="Separador de milhares 4 2 2 2" xfId="1991" xr:uid="{00000000-0005-0000-0000-00002F080000}"/>
    <cellStyle name="Separador de milhares 4 2 3" xfId="1317" xr:uid="{00000000-0005-0000-0000-000030080000}"/>
    <cellStyle name="Separador de milhares 4 2 3 2" xfId="2321" xr:uid="{00000000-0005-0000-0000-000031080000}"/>
    <cellStyle name="Separador de milhares 40" xfId="506" xr:uid="{00000000-0005-0000-0000-000032080000}"/>
    <cellStyle name="Separador de milhares 40 2" xfId="962" xr:uid="{00000000-0005-0000-0000-000033080000}"/>
    <cellStyle name="Separador de milhares 40 2 2" xfId="2031" xr:uid="{00000000-0005-0000-0000-000034080000}"/>
    <cellStyle name="Separador de milhares 40 3" xfId="1318" xr:uid="{00000000-0005-0000-0000-000035080000}"/>
    <cellStyle name="Separador de milhares 40 3 2" xfId="2322" xr:uid="{00000000-0005-0000-0000-000036080000}"/>
    <cellStyle name="Separador de milhares 40 4" xfId="1698" xr:uid="{00000000-0005-0000-0000-000037080000}"/>
    <cellStyle name="Separador de milhares 41" xfId="507" xr:uid="{00000000-0005-0000-0000-000038080000}"/>
    <cellStyle name="Separador de milhares 41 2" xfId="963" xr:uid="{00000000-0005-0000-0000-000039080000}"/>
    <cellStyle name="Separador de milhares 41 2 2" xfId="2032" xr:uid="{00000000-0005-0000-0000-00003A080000}"/>
    <cellStyle name="Separador de milhares 42" xfId="508" xr:uid="{00000000-0005-0000-0000-00003B080000}"/>
    <cellStyle name="Separador de milhares 42 2" xfId="598" xr:uid="{00000000-0005-0000-0000-00003C080000}"/>
    <cellStyle name="Separador de milhares 42 3" xfId="964" xr:uid="{00000000-0005-0000-0000-00003D080000}"/>
    <cellStyle name="Separador de milhares 43" xfId="599" xr:uid="{00000000-0005-0000-0000-00003E080000}"/>
    <cellStyle name="Separador de milhares 43 2" xfId="966" xr:uid="{00000000-0005-0000-0000-00003F080000}"/>
    <cellStyle name="Separador de milhares 43 2 2" xfId="2034" xr:uid="{00000000-0005-0000-0000-000040080000}"/>
    <cellStyle name="Separador de milhares 44" xfId="600" xr:uid="{00000000-0005-0000-0000-000041080000}"/>
    <cellStyle name="Separador de milhares 44 2" xfId="967" xr:uid="{00000000-0005-0000-0000-000042080000}"/>
    <cellStyle name="Separador de milhares 44 3" xfId="1394" xr:uid="{00000000-0005-0000-0000-000043080000}"/>
    <cellStyle name="Separador de milhares 44 3 2" xfId="2396" xr:uid="{00000000-0005-0000-0000-000044080000}"/>
    <cellStyle name="Separador de milhares 44 4" xfId="1765" xr:uid="{00000000-0005-0000-0000-000045080000}"/>
    <cellStyle name="Separador de milhares 45" xfId="601" xr:uid="{00000000-0005-0000-0000-000046080000}"/>
    <cellStyle name="Separador de milhares 45 2" xfId="968" xr:uid="{00000000-0005-0000-0000-000047080000}"/>
    <cellStyle name="Separador de milhares 45 3" xfId="1395" xr:uid="{00000000-0005-0000-0000-000048080000}"/>
    <cellStyle name="Separador de milhares 45 3 2" xfId="2397" xr:uid="{00000000-0005-0000-0000-000049080000}"/>
    <cellStyle name="Separador de milhares 45 4" xfId="1766" xr:uid="{00000000-0005-0000-0000-00004A080000}"/>
    <cellStyle name="Separador de milhares 46" xfId="602" xr:uid="{00000000-0005-0000-0000-00004B080000}"/>
    <cellStyle name="Separador de milhares 46 2" xfId="969" xr:uid="{00000000-0005-0000-0000-00004C080000}"/>
    <cellStyle name="Separador de milhares 46 3" xfId="1396" xr:uid="{00000000-0005-0000-0000-00004D080000}"/>
    <cellStyle name="Separador de milhares 46 3 2" xfId="2398" xr:uid="{00000000-0005-0000-0000-00004E080000}"/>
    <cellStyle name="Separador de milhares 46 4" xfId="1767" xr:uid="{00000000-0005-0000-0000-00004F080000}"/>
    <cellStyle name="Separador de milhares 47" xfId="603" xr:uid="{00000000-0005-0000-0000-000050080000}"/>
    <cellStyle name="Separador de milhares 47 2" xfId="970" xr:uid="{00000000-0005-0000-0000-000051080000}"/>
    <cellStyle name="Separador de milhares 47 3" xfId="1397" xr:uid="{00000000-0005-0000-0000-000052080000}"/>
    <cellStyle name="Separador de milhares 47 3 2" xfId="2399" xr:uid="{00000000-0005-0000-0000-000053080000}"/>
    <cellStyle name="Separador de milhares 47 4" xfId="1768" xr:uid="{00000000-0005-0000-0000-000054080000}"/>
    <cellStyle name="Separador de milhares 48" xfId="604" xr:uid="{00000000-0005-0000-0000-000055080000}"/>
    <cellStyle name="Separador de milhares 48 2" xfId="978" xr:uid="{00000000-0005-0000-0000-000056080000}"/>
    <cellStyle name="Separador de milhares 49" xfId="605" xr:uid="{00000000-0005-0000-0000-000057080000}"/>
    <cellStyle name="Separador de milhares 49 2" xfId="979" xr:uid="{00000000-0005-0000-0000-000058080000}"/>
    <cellStyle name="Separador de milhares 49 3" xfId="1398" xr:uid="{00000000-0005-0000-0000-000059080000}"/>
    <cellStyle name="Separador de milhares 49 3 2" xfId="2400" xr:uid="{00000000-0005-0000-0000-00005A080000}"/>
    <cellStyle name="Separador de milhares 49 4" xfId="1769" xr:uid="{00000000-0005-0000-0000-00005B080000}"/>
    <cellStyle name="Separador de milhares 5" xfId="109" xr:uid="{00000000-0005-0000-0000-00005C080000}"/>
    <cellStyle name="Separador de milhares 5 2" xfId="606" xr:uid="{00000000-0005-0000-0000-00005D080000}"/>
    <cellStyle name="Separador de milhares 5 2 2" xfId="607" xr:uid="{00000000-0005-0000-0000-00005E080000}"/>
    <cellStyle name="Separador de milhares 5 2 2 2" xfId="1055" xr:uid="{00000000-0005-0000-0000-00005F080000}"/>
    <cellStyle name="Separador de milhares 5 2 2 2 2" xfId="2111" xr:uid="{00000000-0005-0000-0000-000060080000}"/>
    <cellStyle name="Separador de milhares 5 2 2 3" xfId="1400" xr:uid="{00000000-0005-0000-0000-000061080000}"/>
    <cellStyle name="Separador de milhares 5 2 2 3 2" xfId="2402" xr:uid="{00000000-0005-0000-0000-000062080000}"/>
    <cellStyle name="Separador de milhares 5 2 2 4" xfId="1771" xr:uid="{00000000-0005-0000-0000-000063080000}"/>
    <cellStyle name="Separador de milhares 5 2 3" xfId="1054" xr:uid="{00000000-0005-0000-0000-000064080000}"/>
    <cellStyle name="Separador de milhares 5 2 3 2" xfId="2110" xr:uid="{00000000-0005-0000-0000-000065080000}"/>
    <cellStyle name="Separador de milhares 5 2 4" xfId="1399" xr:uid="{00000000-0005-0000-0000-000066080000}"/>
    <cellStyle name="Separador de milhares 5 2 4 2" xfId="2401" xr:uid="{00000000-0005-0000-0000-000067080000}"/>
    <cellStyle name="Separador de milhares 5 2 5" xfId="1770" xr:uid="{00000000-0005-0000-0000-000068080000}"/>
    <cellStyle name="Separador de milhares 50" xfId="608" xr:uid="{00000000-0005-0000-0000-000069080000}"/>
    <cellStyle name="Separador de milhares 50 2" xfId="981" xr:uid="{00000000-0005-0000-0000-00006A080000}"/>
    <cellStyle name="Separador de milhares 50 2 2" xfId="2040" xr:uid="{00000000-0005-0000-0000-00006B080000}"/>
    <cellStyle name="Separador de milhares 50 3" xfId="1401" xr:uid="{00000000-0005-0000-0000-00006C080000}"/>
    <cellStyle name="Separador de milhares 50 3 2" xfId="2403" xr:uid="{00000000-0005-0000-0000-00006D080000}"/>
    <cellStyle name="Separador de milhares 50 4" xfId="1772" xr:uid="{00000000-0005-0000-0000-00006E080000}"/>
    <cellStyle name="Separador de milhares 51" xfId="609" xr:uid="{00000000-0005-0000-0000-00006F080000}"/>
    <cellStyle name="Separador de milhares 51 2" xfId="984" xr:uid="{00000000-0005-0000-0000-000070080000}"/>
    <cellStyle name="Separador de milhares 51 2 2" xfId="2043" xr:uid="{00000000-0005-0000-0000-000071080000}"/>
    <cellStyle name="Separador de milhares 51 3" xfId="1402" xr:uid="{00000000-0005-0000-0000-000072080000}"/>
    <cellStyle name="Separador de milhares 51 3 2" xfId="2404" xr:uid="{00000000-0005-0000-0000-000073080000}"/>
    <cellStyle name="Separador de milhares 51 4" xfId="1773" xr:uid="{00000000-0005-0000-0000-000074080000}"/>
    <cellStyle name="Separador de milhares 52" xfId="610" xr:uid="{00000000-0005-0000-0000-000075080000}"/>
    <cellStyle name="Separador de milhares 52 2" xfId="1056" xr:uid="{00000000-0005-0000-0000-000076080000}"/>
    <cellStyle name="Separador de milhares 52 2 2" xfId="2112" xr:uid="{00000000-0005-0000-0000-000077080000}"/>
    <cellStyle name="Separador de milhares 52 3" xfId="1403" xr:uid="{00000000-0005-0000-0000-000078080000}"/>
    <cellStyle name="Separador de milhares 52 3 2" xfId="2405" xr:uid="{00000000-0005-0000-0000-000079080000}"/>
    <cellStyle name="Separador de milhares 52 4" xfId="1774" xr:uid="{00000000-0005-0000-0000-00007A080000}"/>
    <cellStyle name="Separador de milhares 53" xfId="611" xr:uid="{00000000-0005-0000-0000-00007B080000}"/>
    <cellStyle name="Separador de milhares 53 2" xfId="1057" xr:uid="{00000000-0005-0000-0000-00007C080000}"/>
    <cellStyle name="Separador de milhares 53 2 2" xfId="2113" xr:uid="{00000000-0005-0000-0000-00007D080000}"/>
    <cellStyle name="Separador de milhares 53 3" xfId="1404" xr:uid="{00000000-0005-0000-0000-00007E080000}"/>
    <cellStyle name="Separador de milhares 53 3 2" xfId="2406" xr:uid="{00000000-0005-0000-0000-00007F080000}"/>
    <cellStyle name="Separador de milhares 53 4" xfId="1775" xr:uid="{00000000-0005-0000-0000-000080080000}"/>
    <cellStyle name="Separador de milhares 54" xfId="612" xr:uid="{00000000-0005-0000-0000-000081080000}"/>
    <cellStyle name="Separador de milhares 54 2" xfId="1058" xr:uid="{00000000-0005-0000-0000-000082080000}"/>
    <cellStyle name="Separador de milhares 54 2 2" xfId="2114" xr:uid="{00000000-0005-0000-0000-000083080000}"/>
    <cellStyle name="Separador de milhares 54 3" xfId="1405" xr:uid="{00000000-0005-0000-0000-000084080000}"/>
    <cellStyle name="Separador de milhares 54 3 2" xfId="2407" xr:uid="{00000000-0005-0000-0000-000085080000}"/>
    <cellStyle name="Separador de milhares 54 4" xfId="1776" xr:uid="{00000000-0005-0000-0000-000086080000}"/>
    <cellStyle name="Separador de milhares 55" xfId="613" xr:uid="{00000000-0005-0000-0000-000087080000}"/>
    <cellStyle name="Separador de milhares 55 2" xfId="1059" xr:uid="{00000000-0005-0000-0000-000088080000}"/>
    <cellStyle name="Separador de milhares 55 2 2" xfId="2115" xr:uid="{00000000-0005-0000-0000-000089080000}"/>
    <cellStyle name="Separador de milhares 55 3" xfId="1406" xr:uid="{00000000-0005-0000-0000-00008A080000}"/>
    <cellStyle name="Separador de milhares 55 3 2" xfId="2408" xr:uid="{00000000-0005-0000-0000-00008B080000}"/>
    <cellStyle name="Separador de milhares 55 4" xfId="1777" xr:uid="{00000000-0005-0000-0000-00008C080000}"/>
    <cellStyle name="Separador de milhares 56" xfId="614" xr:uid="{00000000-0005-0000-0000-00008D080000}"/>
    <cellStyle name="Separador de milhares 56 2" xfId="1060" xr:uid="{00000000-0005-0000-0000-00008E080000}"/>
    <cellStyle name="Separador de milhares 56 2 2" xfId="2116" xr:uid="{00000000-0005-0000-0000-00008F080000}"/>
    <cellStyle name="Separador de milhares 56 3" xfId="1407" xr:uid="{00000000-0005-0000-0000-000090080000}"/>
    <cellStyle name="Separador de milhares 56 3 2" xfId="2409" xr:uid="{00000000-0005-0000-0000-000091080000}"/>
    <cellStyle name="Separador de milhares 56 4" xfId="1778" xr:uid="{00000000-0005-0000-0000-000092080000}"/>
    <cellStyle name="Separador de milhares 57" xfId="615" xr:uid="{00000000-0005-0000-0000-000093080000}"/>
    <cellStyle name="Separador de milhares 57 2" xfId="1061" xr:uid="{00000000-0005-0000-0000-000094080000}"/>
    <cellStyle name="Separador de milhares 57 2 2" xfId="2117" xr:uid="{00000000-0005-0000-0000-000095080000}"/>
    <cellStyle name="Separador de milhares 57 3" xfId="1408" xr:uid="{00000000-0005-0000-0000-000096080000}"/>
    <cellStyle name="Separador de milhares 57 3 2" xfId="2410" xr:uid="{00000000-0005-0000-0000-000097080000}"/>
    <cellStyle name="Separador de milhares 57 4" xfId="1779" xr:uid="{00000000-0005-0000-0000-000098080000}"/>
    <cellStyle name="Separador de milhares 58" xfId="616" xr:uid="{00000000-0005-0000-0000-000099080000}"/>
    <cellStyle name="Separador de milhares 58 2" xfId="1062" xr:uid="{00000000-0005-0000-0000-00009A080000}"/>
    <cellStyle name="Separador de milhares 58 2 2" xfId="2118" xr:uid="{00000000-0005-0000-0000-00009B080000}"/>
    <cellStyle name="Separador de milhares 58 3" xfId="1409" xr:uid="{00000000-0005-0000-0000-00009C080000}"/>
    <cellStyle name="Separador de milhares 58 3 2" xfId="2411" xr:uid="{00000000-0005-0000-0000-00009D080000}"/>
    <cellStyle name="Separador de milhares 58 4" xfId="1780" xr:uid="{00000000-0005-0000-0000-00009E080000}"/>
    <cellStyle name="Separador de milhares 59" xfId="617" xr:uid="{00000000-0005-0000-0000-00009F080000}"/>
    <cellStyle name="Separador de milhares 59 2" xfId="1063" xr:uid="{00000000-0005-0000-0000-0000A0080000}"/>
    <cellStyle name="Separador de milhares 59 2 2" xfId="2119" xr:uid="{00000000-0005-0000-0000-0000A1080000}"/>
    <cellStyle name="Separador de milhares 59 3" xfId="1410" xr:uid="{00000000-0005-0000-0000-0000A2080000}"/>
    <cellStyle name="Separador de milhares 59 3 2" xfId="2412" xr:uid="{00000000-0005-0000-0000-0000A3080000}"/>
    <cellStyle name="Separador de milhares 59 4" xfId="1781" xr:uid="{00000000-0005-0000-0000-0000A4080000}"/>
    <cellStyle name="Separador de milhares 6" xfId="110" xr:uid="{00000000-0005-0000-0000-0000A5080000}"/>
    <cellStyle name="Separador de milhares 6 2" xfId="509" xr:uid="{00000000-0005-0000-0000-0000A6080000}"/>
    <cellStyle name="Separador de milhares 6 2 2" xfId="898" xr:uid="{00000000-0005-0000-0000-0000A7080000}"/>
    <cellStyle name="Separador de milhares 6 2 2 2" xfId="1992" xr:uid="{00000000-0005-0000-0000-0000A8080000}"/>
    <cellStyle name="Separador de milhares 6 2 3" xfId="1319" xr:uid="{00000000-0005-0000-0000-0000A9080000}"/>
    <cellStyle name="Separador de milhares 6 2 3 2" xfId="2323" xr:uid="{00000000-0005-0000-0000-0000AA080000}"/>
    <cellStyle name="Separador de milhares 6 3" xfId="510" xr:uid="{00000000-0005-0000-0000-0000AB080000}"/>
    <cellStyle name="Separador de milhares 6 3 2" xfId="899" xr:uid="{00000000-0005-0000-0000-0000AC080000}"/>
    <cellStyle name="Separador de milhares 6 3 2 2" xfId="1993" xr:uid="{00000000-0005-0000-0000-0000AD080000}"/>
    <cellStyle name="Separador de milhares 6 3 3" xfId="1320" xr:uid="{00000000-0005-0000-0000-0000AE080000}"/>
    <cellStyle name="Separador de milhares 6 3 3 2" xfId="2324" xr:uid="{00000000-0005-0000-0000-0000AF080000}"/>
    <cellStyle name="Separador de milhares 6 4" xfId="759" xr:uid="{00000000-0005-0000-0000-0000B0080000}"/>
    <cellStyle name="Separador de milhares 6 4 2" xfId="1866" xr:uid="{00000000-0005-0000-0000-0000B1080000}"/>
    <cellStyle name="Separador de milhares 6 5" xfId="1157" xr:uid="{00000000-0005-0000-0000-0000B2080000}"/>
    <cellStyle name="Separador de milhares 6 5 2" xfId="2167" xr:uid="{00000000-0005-0000-0000-0000B3080000}"/>
    <cellStyle name="Separador de milhares 60" xfId="618" xr:uid="{00000000-0005-0000-0000-0000B4080000}"/>
    <cellStyle name="Separador de milhares 60 2" xfId="1064" xr:uid="{00000000-0005-0000-0000-0000B5080000}"/>
    <cellStyle name="Separador de milhares 60 2 2" xfId="2120" xr:uid="{00000000-0005-0000-0000-0000B6080000}"/>
    <cellStyle name="Separador de milhares 60 3" xfId="1411" xr:uid="{00000000-0005-0000-0000-0000B7080000}"/>
    <cellStyle name="Separador de milhares 60 3 2" xfId="2413" xr:uid="{00000000-0005-0000-0000-0000B8080000}"/>
    <cellStyle name="Separador de milhares 60 4" xfId="1782" xr:uid="{00000000-0005-0000-0000-0000B9080000}"/>
    <cellStyle name="Separador de milhares 61" xfId="619" xr:uid="{00000000-0005-0000-0000-0000BA080000}"/>
    <cellStyle name="Separador de milhares 61 2" xfId="721" xr:uid="{00000000-0005-0000-0000-0000BB080000}"/>
    <cellStyle name="Separador de milhares 61 2 2" xfId="1467" xr:uid="{00000000-0005-0000-0000-0000BC080000}"/>
    <cellStyle name="Separador de milhares 61 2 2 2" xfId="2468" xr:uid="{00000000-0005-0000-0000-0000BD080000}"/>
    <cellStyle name="Separador de milhares 61 2 3" xfId="1835" xr:uid="{00000000-0005-0000-0000-0000BE080000}"/>
    <cellStyle name="Separador de milhares 61 3" xfId="1065" xr:uid="{00000000-0005-0000-0000-0000BF080000}"/>
    <cellStyle name="Separador de milhares 61 3 2" xfId="2121" xr:uid="{00000000-0005-0000-0000-0000C0080000}"/>
    <cellStyle name="Separador de milhares 61 4" xfId="1412" xr:uid="{00000000-0005-0000-0000-0000C1080000}"/>
    <cellStyle name="Separador de milhares 61 4 2" xfId="2414" xr:uid="{00000000-0005-0000-0000-0000C2080000}"/>
    <cellStyle name="Separador de milhares 61 5" xfId="1783" xr:uid="{00000000-0005-0000-0000-0000C3080000}"/>
    <cellStyle name="Separador de milhares 62" xfId="620" xr:uid="{00000000-0005-0000-0000-0000C4080000}"/>
    <cellStyle name="Separador de milhares 62 2" xfId="1066" xr:uid="{00000000-0005-0000-0000-0000C5080000}"/>
    <cellStyle name="Separador de milhares 62 2 2" xfId="2122" xr:uid="{00000000-0005-0000-0000-0000C6080000}"/>
    <cellStyle name="Separador de milhares 62 3" xfId="1413" xr:uid="{00000000-0005-0000-0000-0000C7080000}"/>
    <cellStyle name="Separador de milhares 62 3 2" xfId="2415" xr:uid="{00000000-0005-0000-0000-0000C8080000}"/>
    <cellStyle name="Separador de milhares 62 4" xfId="1784" xr:uid="{00000000-0005-0000-0000-0000C9080000}"/>
    <cellStyle name="Separador de milhares 63" xfId="621" xr:uid="{00000000-0005-0000-0000-0000CA080000}"/>
    <cellStyle name="Separador de milhares 64" xfId="622" xr:uid="{00000000-0005-0000-0000-0000CB080000}"/>
    <cellStyle name="Separador de milhares 64 2" xfId="1067" xr:uid="{00000000-0005-0000-0000-0000CC080000}"/>
    <cellStyle name="Separador de milhares 64 2 2" xfId="2123" xr:uid="{00000000-0005-0000-0000-0000CD080000}"/>
    <cellStyle name="Separador de milhares 64 3" xfId="1414" xr:uid="{00000000-0005-0000-0000-0000CE080000}"/>
    <cellStyle name="Separador de milhares 64 3 2" xfId="2416" xr:uid="{00000000-0005-0000-0000-0000CF080000}"/>
    <cellStyle name="Separador de milhares 64 4" xfId="1785" xr:uid="{00000000-0005-0000-0000-0000D0080000}"/>
    <cellStyle name="Separador de milhares 65" xfId="623" xr:uid="{00000000-0005-0000-0000-0000D1080000}"/>
    <cellStyle name="Separador de milhares 65 2" xfId="1068" xr:uid="{00000000-0005-0000-0000-0000D2080000}"/>
    <cellStyle name="Separador de milhares 65 2 2" xfId="2124" xr:uid="{00000000-0005-0000-0000-0000D3080000}"/>
    <cellStyle name="Separador de milhares 65 3" xfId="1415" xr:uid="{00000000-0005-0000-0000-0000D4080000}"/>
    <cellStyle name="Separador de milhares 65 3 2" xfId="2417" xr:uid="{00000000-0005-0000-0000-0000D5080000}"/>
    <cellStyle name="Separador de milhares 65 4" xfId="1786" xr:uid="{00000000-0005-0000-0000-0000D6080000}"/>
    <cellStyle name="Separador de milhares 66" xfId="722" xr:uid="{00000000-0005-0000-0000-0000D7080000}"/>
    <cellStyle name="Separador de milhares 66 2" xfId="1069" xr:uid="{00000000-0005-0000-0000-0000D8080000}"/>
    <cellStyle name="Separador de milhares 66 2 2" xfId="2125" xr:uid="{00000000-0005-0000-0000-0000D9080000}"/>
    <cellStyle name="Separador de milhares 66 3" xfId="1468" xr:uid="{00000000-0005-0000-0000-0000DA080000}"/>
    <cellStyle name="Separador de milhares 66 3 2" xfId="2469" xr:uid="{00000000-0005-0000-0000-0000DB080000}"/>
    <cellStyle name="Separador de milhares 66 4" xfId="1836" xr:uid="{00000000-0005-0000-0000-0000DC080000}"/>
    <cellStyle name="Separador de milhares 67" xfId="723" xr:uid="{00000000-0005-0000-0000-0000DD080000}"/>
    <cellStyle name="Separador de milhares 67 2" xfId="1107" xr:uid="{00000000-0005-0000-0000-0000DE080000}"/>
    <cellStyle name="Separador de milhares 67 2 2" xfId="2150" xr:uid="{00000000-0005-0000-0000-0000DF080000}"/>
    <cellStyle name="Separador de milhares 67 3" xfId="1469" xr:uid="{00000000-0005-0000-0000-0000E0080000}"/>
    <cellStyle name="Separador de milhares 67 3 2" xfId="2470" xr:uid="{00000000-0005-0000-0000-0000E1080000}"/>
    <cellStyle name="Separador de milhares 67 4" xfId="1837" xr:uid="{00000000-0005-0000-0000-0000E2080000}"/>
    <cellStyle name="Separador de milhares 7" xfId="111" xr:uid="{00000000-0005-0000-0000-0000E3080000}"/>
    <cellStyle name="Separador de milhares 7 2" xfId="163" xr:uid="{00000000-0005-0000-0000-0000E4080000}"/>
    <cellStyle name="Separador de milhares 7 2 2" xfId="287" xr:uid="{00000000-0005-0000-0000-0000E5080000}"/>
    <cellStyle name="Separador de milhares 7 2 3" xfId="784" xr:uid="{00000000-0005-0000-0000-0000E6080000}"/>
    <cellStyle name="Separador de milhares 7 2 3 2" xfId="1888" xr:uid="{00000000-0005-0000-0000-0000E7080000}"/>
    <cellStyle name="Separador de milhares 7 2 4" xfId="1185" xr:uid="{00000000-0005-0000-0000-0000E8080000}"/>
    <cellStyle name="Separador de milhares 7 2 4 2" xfId="2189" xr:uid="{00000000-0005-0000-0000-0000E9080000}"/>
    <cellStyle name="Separador de milhares 7 3" xfId="164" xr:uid="{00000000-0005-0000-0000-0000EA080000}"/>
    <cellStyle name="Separador de milhares 7 3 2" xfId="165" xr:uid="{00000000-0005-0000-0000-0000EB080000}"/>
    <cellStyle name="Separador de milhares 7 4" xfId="511" xr:uid="{00000000-0005-0000-0000-0000EC080000}"/>
    <cellStyle name="Separador de milhares 7 4 2" xfId="900" xr:uid="{00000000-0005-0000-0000-0000ED080000}"/>
    <cellStyle name="Separador de milhares 7 4 2 2" xfId="1994" xr:uid="{00000000-0005-0000-0000-0000EE080000}"/>
    <cellStyle name="Separador de milhares 7 4 3" xfId="1321" xr:uid="{00000000-0005-0000-0000-0000EF080000}"/>
    <cellStyle name="Separador de milhares 7 4 3 2" xfId="2325" xr:uid="{00000000-0005-0000-0000-0000F0080000}"/>
    <cellStyle name="Separador de milhares 7 5" xfId="760" xr:uid="{00000000-0005-0000-0000-0000F1080000}"/>
    <cellStyle name="Separador de milhares 7 5 2" xfId="1867" xr:uid="{00000000-0005-0000-0000-0000F2080000}"/>
    <cellStyle name="Separador de milhares 7 6" xfId="1158" xr:uid="{00000000-0005-0000-0000-0000F3080000}"/>
    <cellStyle name="Separador de milhares 7 6 2" xfId="2168" xr:uid="{00000000-0005-0000-0000-0000F4080000}"/>
    <cellStyle name="Separador de milhares 77 2" xfId="512" xr:uid="{00000000-0005-0000-0000-0000F5080000}"/>
    <cellStyle name="Separador de milhares 77 2 2" xfId="901" xr:uid="{00000000-0005-0000-0000-0000F6080000}"/>
    <cellStyle name="Separador de milhares 77 2 2 2" xfId="1995" xr:uid="{00000000-0005-0000-0000-0000F7080000}"/>
    <cellStyle name="Separador de milhares 77 2 3" xfId="1322" xr:uid="{00000000-0005-0000-0000-0000F8080000}"/>
    <cellStyle name="Separador de milhares 77 2 3 2" xfId="2326" xr:uid="{00000000-0005-0000-0000-0000F9080000}"/>
    <cellStyle name="Separador de milhares 8" xfId="112" xr:uid="{00000000-0005-0000-0000-0000FA080000}"/>
    <cellStyle name="Separador de milhares 8 2" xfId="288" xr:uid="{00000000-0005-0000-0000-0000FB080000}"/>
    <cellStyle name="Separador de milhares 8 2 2" xfId="841" xr:uid="{00000000-0005-0000-0000-0000FC080000}"/>
    <cellStyle name="Separador de milhares 8 2 2 2" xfId="1943" xr:uid="{00000000-0005-0000-0000-0000FD080000}"/>
    <cellStyle name="Separador de milhares 8 2 3" xfId="1244" xr:uid="{00000000-0005-0000-0000-0000FE080000}"/>
    <cellStyle name="Separador de milhares 8 2 3 2" xfId="2248" xr:uid="{00000000-0005-0000-0000-0000FF080000}"/>
    <cellStyle name="Separador de milhares 8 3" xfId="761" xr:uid="{00000000-0005-0000-0000-000000090000}"/>
    <cellStyle name="Separador de milhares 8 3 2" xfId="1868" xr:uid="{00000000-0005-0000-0000-000001090000}"/>
    <cellStyle name="Separador de milhares 8 4" xfId="1159" xr:uid="{00000000-0005-0000-0000-000002090000}"/>
    <cellStyle name="Separador de milhares 8 4 2" xfId="2169" xr:uid="{00000000-0005-0000-0000-000003090000}"/>
    <cellStyle name="Separador de milhares 9" xfId="166" xr:uid="{00000000-0005-0000-0000-000004090000}"/>
    <cellStyle name="Separador de milhares 9 2" xfId="513" xr:uid="{00000000-0005-0000-0000-000005090000}"/>
    <cellStyle name="Separador de milhares 9 2 2" xfId="1070" xr:uid="{00000000-0005-0000-0000-000006090000}"/>
    <cellStyle name="Separador de milhares 9 2 3" xfId="902" xr:uid="{00000000-0005-0000-0000-000007090000}"/>
    <cellStyle name="Separador de milhares 9 2 3 2" xfId="1996" xr:uid="{00000000-0005-0000-0000-000008090000}"/>
    <cellStyle name="Separador de milhares 9 2 4" xfId="1323" xr:uid="{00000000-0005-0000-0000-000009090000}"/>
    <cellStyle name="Separador de milhares 9 2 4 2" xfId="2327" xr:uid="{00000000-0005-0000-0000-00000A090000}"/>
    <cellStyle name="Separador de milhares 9 3" xfId="785" xr:uid="{00000000-0005-0000-0000-00000B090000}"/>
    <cellStyle name="Separador de milhares 9 3 2" xfId="1889" xr:uid="{00000000-0005-0000-0000-00000C090000}"/>
    <cellStyle name="Separador de milhares 9 4" xfId="1186" xr:uid="{00000000-0005-0000-0000-00000D090000}"/>
    <cellStyle name="Separador de milhares 9 4 2" xfId="2190" xr:uid="{00000000-0005-0000-0000-00000E090000}"/>
    <cellStyle name="Style 1" xfId="113" xr:uid="{00000000-0005-0000-0000-00000F090000}"/>
    <cellStyle name="Table Head" xfId="114" xr:uid="{00000000-0005-0000-0000-000010090000}"/>
    <cellStyle name="taples Plaza" xfId="115" xr:uid="{00000000-0005-0000-0000-000011090000}"/>
    <cellStyle name="Texto de Aviso" xfId="116" builtinId="11" customBuiltin="1"/>
    <cellStyle name="Texto de Aviso 2" xfId="289" xr:uid="{00000000-0005-0000-0000-000013090000}"/>
    <cellStyle name="Texto de Aviso 3" xfId="1160" xr:uid="{00000000-0005-0000-0000-000014090000}"/>
    <cellStyle name="Texto Explicativo" xfId="117" builtinId="53" customBuiltin="1"/>
    <cellStyle name="Texto Explicativo 2" xfId="290" xr:uid="{00000000-0005-0000-0000-000016090000}"/>
    <cellStyle name="Texto Explicativo 3" xfId="1161" xr:uid="{00000000-0005-0000-0000-000017090000}"/>
    <cellStyle name="Title" xfId="118" xr:uid="{00000000-0005-0000-0000-000018090000}"/>
    <cellStyle name="Título" xfId="119" builtinId="15" customBuiltin="1"/>
    <cellStyle name="Título 1" xfId="120" builtinId="16" customBuiltin="1"/>
    <cellStyle name="Título 1 2" xfId="291" xr:uid="{00000000-0005-0000-0000-00001B090000}"/>
    <cellStyle name="Título 1 3" xfId="1163" xr:uid="{00000000-0005-0000-0000-00001C090000}"/>
    <cellStyle name="Título 2" xfId="121" builtinId="17" customBuiltin="1"/>
    <cellStyle name="Título 2 2" xfId="292" xr:uid="{00000000-0005-0000-0000-00001E090000}"/>
    <cellStyle name="Título 2 3" xfId="1164" xr:uid="{00000000-0005-0000-0000-00001F090000}"/>
    <cellStyle name="Título 3" xfId="122" builtinId="18" customBuiltin="1"/>
    <cellStyle name="Título 3 2" xfId="293" xr:uid="{00000000-0005-0000-0000-000021090000}"/>
    <cellStyle name="Título 3 2 2" xfId="842" xr:uid="{00000000-0005-0000-0000-000022090000}"/>
    <cellStyle name="Título 3 2 2 2" xfId="1944" xr:uid="{00000000-0005-0000-0000-000023090000}"/>
    <cellStyle name="Título 3 2 3" xfId="1628" xr:uid="{00000000-0005-0000-0000-000024090000}"/>
    <cellStyle name="Título 3 3" xfId="762" xr:uid="{00000000-0005-0000-0000-000025090000}"/>
    <cellStyle name="Título 3 3 2" xfId="1869" xr:uid="{00000000-0005-0000-0000-000026090000}"/>
    <cellStyle name="Título 3 4" xfId="1566" xr:uid="{00000000-0005-0000-0000-000027090000}"/>
    <cellStyle name="Título 4" xfId="123" builtinId="19" customBuiltin="1"/>
    <cellStyle name="Título 4 2" xfId="294" xr:uid="{00000000-0005-0000-0000-000029090000}"/>
    <cellStyle name="Título 4 3" xfId="1165" xr:uid="{00000000-0005-0000-0000-00002A090000}"/>
    <cellStyle name="Título 5" xfId="295" xr:uid="{00000000-0005-0000-0000-00002B090000}"/>
    <cellStyle name="Título 6" xfId="1162" xr:uid="{00000000-0005-0000-0000-00002C090000}"/>
    <cellStyle name="Total" xfId="124" builtinId="25" customBuiltin="1"/>
    <cellStyle name="Total 2" xfId="296" xr:uid="{00000000-0005-0000-0000-00002E090000}"/>
    <cellStyle name="Total 2 2" xfId="1245" xr:uid="{00000000-0005-0000-0000-00002F090000}"/>
    <cellStyle name="Total 2 2 2" xfId="2249" xr:uid="{00000000-0005-0000-0000-000030090000}"/>
    <cellStyle name="Total 2 3" xfId="1629" xr:uid="{00000000-0005-0000-0000-000031090000}"/>
    <cellStyle name="Total 3" xfId="1166" xr:uid="{00000000-0005-0000-0000-000032090000}"/>
    <cellStyle name="Total 3 2" xfId="2170" xr:uid="{00000000-0005-0000-0000-000033090000}"/>
    <cellStyle name="Total 4" xfId="1567" xr:uid="{00000000-0005-0000-0000-000034090000}"/>
    <cellStyle name="Vírgula" xfId="125" builtinId="3"/>
    <cellStyle name="Vírgula 10" xfId="297" xr:uid="{00000000-0005-0000-0000-000036090000}"/>
    <cellStyle name="Vírgula 10 2" xfId="965" xr:uid="{00000000-0005-0000-0000-000037090000}"/>
    <cellStyle name="Vírgula 10 2 2" xfId="2033" xr:uid="{00000000-0005-0000-0000-000038090000}"/>
    <cellStyle name="Vírgula 10 3" xfId="843" xr:uid="{00000000-0005-0000-0000-000039090000}"/>
    <cellStyle name="Vírgula 10 3 2" xfId="1945" xr:uid="{00000000-0005-0000-0000-00003A090000}"/>
    <cellStyle name="Vírgula 10 4" xfId="1246" xr:uid="{00000000-0005-0000-0000-00003B090000}"/>
    <cellStyle name="Vírgula 10 4 2" xfId="2250" xr:uid="{00000000-0005-0000-0000-00003C090000}"/>
    <cellStyle name="Vírgula 10 5" xfId="1630" xr:uid="{00000000-0005-0000-0000-00003D090000}"/>
    <cellStyle name="Vírgula 11" xfId="514" xr:uid="{00000000-0005-0000-0000-00003E090000}"/>
    <cellStyle name="Vírgula 11 2" xfId="903" xr:uid="{00000000-0005-0000-0000-00003F090000}"/>
    <cellStyle name="Vírgula 11 2 2" xfId="1997" xr:uid="{00000000-0005-0000-0000-000040090000}"/>
    <cellStyle name="Vírgula 11 3" xfId="1324" xr:uid="{00000000-0005-0000-0000-000041090000}"/>
    <cellStyle name="Vírgula 11 3 2" xfId="2328" xr:uid="{00000000-0005-0000-0000-000042090000}"/>
    <cellStyle name="Vírgula 11 4" xfId="1699" xr:uid="{00000000-0005-0000-0000-000043090000}"/>
    <cellStyle name="Vírgula 12" xfId="515" xr:uid="{00000000-0005-0000-0000-000044090000}"/>
    <cellStyle name="Vírgula 12 2" xfId="904" xr:uid="{00000000-0005-0000-0000-000045090000}"/>
    <cellStyle name="Vírgula 12 2 2" xfId="1998" xr:uid="{00000000-0005-0000-0000-000046090000}"/>
    <cellStyle name="Vírgula 12 3" xfId="1325" xr:uid="{00000000-0005-0000-0000-000047090000}"/>
    <cellStyle name="Vírgula 12 3 2" xfId="2329" xr:uid="{00000000-0005-0000-0000-000048090000}"/>
    <cellStyle name="Vírgula 12 4" xfId="1700" xr:uid="{00000000-0005-0000-0000-000049090000}"/>
    <cellStyle name="Vírgula 13" xfId="516" xr:uid="{00000000-0005-0000-0000-00004A090000}"/>
    <cellStyle name="Vírgula 13 2" xfId="905" xr:uid="{00000000-0005-0000-0000-00004B090000}"/>
    <cellStyle name="Vírgula 13 2 2" xfId="1999" xr:uid="{00000000-0005-0000-0000-00004C090000}"/>
    <cellStyle name="Vírgula 13 3" xfId="1326" xr:uid="{00000000-0005-0000-0000-00004D090000}"/>
    <cellStyle name="Vírgula 13 3 2" xfId="2330" xr:uid="{00000000-0005-0000-0000-00004E090000}"/>
    <cellStyle name="Vírgula 13 4" xfId="1701" xr:uid="{00000000-0005-0000-0000-00004F090000}"/>
    <cellStyle name="Vírgula 14" xfId="517" xr:uid="{00000000-0005-0000-0000-000050090000}"/>
    <cellStyle name="Vírgula 14 2" xfId="1071" xr:uid="{00000000-0005-0000-0000-000051090000}"/>
    <cellStyle name="Vírgula 14 2 2" xfId="2126" xr:uid="{00000000-0005-0000-0000-000052090000}"/>
    <cellStyle name="Vírgula 14 3" xfId="1327" xr:uid="{00000000-0005-0000-0000-000053090000}"/>
    <cellStyle name="Vírgula 14 3 2" xfId="2331" xr:uid="{00000000-0005-0000-0000-000054090000}"/>
    <cellStyle name="Vírgula 14 4" xfId="1702" xr:uid="{00000000-0005-0000-0000-000055090000}"/>
    <cellStyle name="Vírgula 15" xfId="624" xr:uid="{00000000-0005-0000-0000-000056090000}"/>
    <cellStyle name="Vírgula 15 2" xfId="1072" xr:uid="{00000000-0005-0000-0000-000057090000}"/>
    <cellStyle name="Vírgula 15 2 2" xfId="2127" xr:uid="{00000000-0005-0000-0000-000058090000}"/>
    <cellStyle name="Vírgula 15 3" xfId="1416" xr:uid="{00000000-0005-0000-0000-000059090000}"/>
    <cellStyle name="Vírgula 15 3 2" xfId="2418" xr:uid="{00000000-0005-0000-0000-00005A090000}"/>
    <cellStyle name="Vírgula 15 4" xfId="1787" xr:uid="{00000000-0005-0000-0000-00005B090000}"/>
    <cellStyle name="Vírgula 16" xfId="625" xr:uid="{00000000-0005-0000-0000-00005C090000}"/>
    <cellStyle name="Vírgula 16 2" xfId="724" xr:uid="{00000000-0005-0000-0000-00005D090000}"/>
    <cellStyle name="Vírgula 16 2 2" xfId="1470" xr:uid="{00000000-0005-0000-0000-00005E090000}"/>
    <cellStyle name="Vírgula 16 2 2 2" xfId="2471" xr:uid="{00000000-0005-0000-0000-00005F090000}"/>
    <cellStyle name="Vírgula 16 2 3" xfId="1838" xr:uid="{00000000-0005-0000-0000-000060090000}"/>
    <cellStyle name="Vírgula 16 3" xfId="1073" xr:uid="{00000000-0005-0000-0000-000061090000}"/>
    <cellStyle name="Vírgula 16 3 2" xfId="2128" xr:uid="{00000000-0005-0000-0000-000062090000}"/>
    <cellStyle name="Vírgula 16 4" xfId="1417" xr:uid="{00000000-0005-0000-0000-000063090000}"/>
    <cellStyle name="Vírgula 16 4 2" xfId="2419" xr:uid="{00000000-0005-0000-0000-000064090000}"/>
    <cellStyle name="Vírgula 16 5" xfId="1788" xr:uid="{00000000-0005-0000-0000-000065090000}"/>
    <cellStyle name="Vírgula 17" xfId="629" xr:uid="{00000000-0005-0000-0000-000066090000}"/>
    <cellStyle name="Vírgula 17 2" xfId="632" xr:uid="{00000000-0005-0000-0000-000067090000}"/>
    <cellStyle name="Vírgula 17 2 2" xfId="730" xr:uid="{00000000-0005-0000-0000-000068090000}"/>
    <cellStyle name="Vírgula 17 2 2 2" xfId="1475" xr:uid="{00000000-0005-0000-0000-000069090000}"/>
    <cellStyle name="Vírgula 17 2 2 2 2" xfId="2476" xr:uid="{00000000-0005-0000-0000-00006A090000}"/>
    <cellStyle name="Vírgula 17 2 2 3" xfId="1843" xr:uid="{00000000-0005-0000-0000-00006B090000}"/>
    <cellStyle name="Vírgula 17 2 3" xfId="735" xr:uid="{00000000-0005-0000-0000-00006C090000}"/>
    <cellStyle name="Vírgula 17 2 3 2" xfId="1480" xr:uid="{00000000-0005-0000-0000-00006D090000}"/>
    <cellStyle name="Vírgula 17 2 3 2 2" xfId="2481" xr:uid="{00000000-0005-0000-0000-00006E090000}"/>
    <cellStyle name="Vírgula 17 2 3 3" xfId="1848" xr:uid="{00000000-0005-0000-0000-00006F090000}"/>
    <cellStyle name="Vírgula 17 2 4" xfId="1497" xr:uid="{00000000-0005-0000-0000-000070090000}"/>
    <cellStyle name="Vírgula 17 2 4 2" xfId="2493" xr:uid="{00000000-0005-0000-0000-000071090000}"/>
    <cellStyle name="Vírgula 17 2 5" xfId="1423" xr:uid="{00000000-0005-0000-0000-000072090000}"/>
    <cellStyle name="Vírgula 17 2 5 2" xfId="2425" xr:uid="{00000000-0005-0000-0000-000073090000}"/>
    <cellStyle name="Vírgula 17 2 6" xfId="1794" xr:uid="{00000000-0005-0000-0000-000074090000}"/>
    <cellStyle name="Vírgula 17 3" xfId="1088" xr:uid="{00000000-0005-0000-0000-000075090000}"/>
    <cellStyle name="Vírgula 17 3 2" xfId="2142" xr:uid="{00000000-0005-0000-0000-000076090000}"/>
    <cellStyle name="Vírgula 17 4" xfId="1420" xr:uid="{00000000-0005-0000-0000-000077090000}"/>
    <cellStyle name="Vírgula 17 4 2" xfId="2422" xr:uid="{00000000-0005-0000-0000-000078090000}"/>
    <cellStyle name="Vírgula 17 5" xfId="1523" xr:uid="{00000000-0005-0000-0000-000079090000}"/>
    <cellStyle name="Vírgula 17 5 2" xfId="2508" xr:uid="{00000000-0005-0000-0000-00007A090000}"/>
    <cellStyle name="Vírgula 17 6" xfId="1791" xr:uid="{00000000-0005-0000-0000-00007B090000}"/>
    <cellStyle name="Vírgula 18" xfId="635" xr:uid="{00000000-0005-0000-0000-00007C090000}"/>
    <cellStyle name="Vírgula 18 2" xfId="1098" xr:uid="{00000000-0005-0000-0000-00007D090000}"/>
    <cellStyle name="Vírgula 18 2 2" xfId="2148" xr:uid="{00000000-0005-0000-0000-00007E090000}"/>
    <cellStyle name="Vírgula 18 3" xfId="1426" xr:uid="{00000000-0005-0000-0000-00007F090000}"/>
    <cellStyle name="Vírgula 18 3 2" xfId="2428" xr:uid="{00000000-0005-0000-0000-000080090000}"/>
    <cellStyle name="Vírgula 18 4" xfId="1797" xr:uid="{00000000-0005-0000-0000-000081090000}"/>
    <cellStyle name="Vírgula 19" xfId="725" xr:uid="{00000000-0005-0000-0000-000082090000}"/>
    <cellStyle name="Vírgula 19 2" xfId="1471" xr:uid="{00000000-0005-0000-0000-000083090000}"/>
    <cellStyle name="Vírgula 19 2 2" xfId="2472" xr:uid="{00000000-0005-0000-0000-000084090000}"/>
    <cellStyle name="Vírgula 19 3" xfId="1839" xr:uid="{00000000-0005-0000-0000-000085090000}"/>
    <cellStyle name="Vírgula 2" xfId="129" xr:uid="{00000000-0005-0000-0000-000086090000}"/>
    <cellStyle name="Vírgula 2 2" xfId="518" xr:uid="{00000000-0005-0000-0000-000087090000}"/>
    <cellStyle name="Vírgula 2 2 2" xfId="906" xr:uid="{00000000-0005-0000-0000-000088090000}"/>
    <cellStyle name="Vírgula 2 2 2 2" xfId="2000" xr:uid="{00000000-0005-0000-0000-000089090000}"/>
    <cellStyle name="Vírgula 2 2 3" xfId="1328" xr:uid="{00000000-0005-0000-0000-00008A090000}"/>
    <cellStyle name="Vírgula 2 2 3 2" xfId="2332" xr:uid="{00000000-0005-0000-0000-00008B090000}"/>
    <cellStyle name="Vírgula 2 3" xfId="726" xr:uid="{00000000-0005-0000-0000-00008C090000}"/>
    <cellStyle name="Vírgula 2 3 2" xfId="1074" xr:uid="{00000000-0005-0000-0000-00008D090000}"/>
    <cellStyle name="Vírgula 2 3 2 2" xfId="2129" xr:uid="{00000000-0005-0000-0000-00008E090000}"/>
    <cellStyle name="Vírgula 2 4" xfId="1075" xr:uid="{00000000-0005-0000-0000-00008F090000}"/>
    <cellStyle name="Vírgula 2 4 2" xfId="2130" xr:uid="{00000000-0005-0000-0000-000090090000}"/>
    <cellStyle name="Vírgula 2 5" xfId="765" xr:uid="{00000000-0005-0000-0000-000091090000}"/>
    <cellStyle name="Vírgula 2 5 2" xfId="1871" xr:uid="{00000000-0005-0000-0000-000092090000}"/>
    <cellStyle name="Vírgula 2 6" xfId="1168" xr:uid="{00000000-0005-0000-0000-000093090000}"/>
    <cellStyle name="Vírgula 2 6 2" xfId="2172" xr:uid="{00000000-0005-0000-0000-000094090000}"/>
    <cellStyle name="Vírgula 20" xfId="740" xr:uid="{00000000-0005-0000-0000-000095090000}"/>
    <cellStyle name="Vírgula 20 2" xfId="1485" xr:uid="{00000000-0005-0000-0000-000096090000}"/>
    <cellStyle name="Vírgula 20 2 2" xfId="2486" xr:uid="{00000000-0005-0000-0000-000097090000}"/>
    <cellStyle name="Vírgula 20 3" xfId="1853" xr:uid="{00000000-0005-0000-0000-000098090000}"/>
    <cellStyle name="Vírgula 21" xfId="763" xr:uid="{00000000-0005-0000-0000-000099090000}"/>
    <cellStyle name="Vírgula 21 2" xfId="1167" xr:uid="{00000000-0005-0000-0000-00009A090000}"/>
    <cellStyle name="Vírgula 21 2 2" xfId="2171" xr:uid="{00000000-0005-0000-0000-00009B090000}"/>
    <cellStyle name="Vírgula 21 3" xfId="1528" xr:uid="{00000000-0005-0000-0000-00009C090000}"/>
    <cellStyle name="Vírgula 21 3 2" xfId="2511" xr:uid="{00000000-0005-0000-0000-00009D090000}"/>
    <cellStyle name="Vírgula 21 4" xfId="1870" xr:uid="{00000000-0005-0000-0000-00009E090000}"/>
    <cellStyle name="Vírgula 22" xfId="1512" xr:uid="{00000000-0005-0000-0000-00009F090000}"/>
    <cellStyle name="Vírgula 22 2" xfId="2503" xr:uid="{00000000-0005-0000-0000-0000A0090000}"/>
    <cellStyle name="Vírgula 23" xfId="1544" xr:uid="{00000000-0005-0000-0000-0000A1090000}"/>
    <cellStyle name="Vírgula 23 2" xfId="2521" xr:uid="{00000000-0005-0000-0000-0000A2090000}"/>
    <cellStyle name="Vírgula 24" xfId="1550" xr:uid="{00000000-0005-0000-0000-0000A3090000}"/>
    <cellStyle name="Vírgula 25" xfId="2527" xr:uid="{00000000-0005-0000-0000-0000A4090000}"/>
    <cellStyle name="Vírgula 26" xfId="2537" xr:uid="{00000000-0005-0000-0000-0000A5090000}"/>
    <cellStyle name="Vírgula 27" xfId="2540" xr:uid="{00000000-0005-0000-0000-0000A6090000}"/>
    <cellStyle name="Vírgula 28" xfId="2547" xr:uid="{00000000-0005-0000-0000-0000A7090000}"/>
    <cellStyle name="Vírgula 29" xfId="2551" xr:uid="{00000000-0005-0000-0000-0000A8090000}"/>
    <cellStyle name="Vírgula 3" xfId="131" xr:uid="{00000000-0005-0000-0000-0000A9090000}"/>
    <cellStyle name="Vírgula 3 2" xfId="519" xr:uid="{00000000-0005-0000-0000-0000AA090000}"/>
    <cellStyle name="Vírgula 3 2 2" xfId="907" xr:uid="{00000000-0005-0000-0000-0000AB090000}"/>
    <cellStyle name="Vírgula 3 2 2 2" xfId="2001" xr:uid="{00000000-0005-0000-0000-0000AC090000}"/>
    <cellStyle name="Vírgula 3 2 3" xfId="1329" xr:uid="{00000000-0005-0000-0000-0000AD090000}"/>
    <cellStyle name="Vírgula 3 2 3 2" xfId="2333" xr:uid="{00000000-0005-0000-0000-0000AE090000}"/>
    <cellStyle name="Vírgula 3 2 4" xfId="1703" xr:uid="{00000000-0005-0000-0000-0000AF090000}"/>
    <cellStyle name="Vírgula 3 3" xfId="767" xr:uid="{00000000-0005-0000-0000-0000B0090000}"/>
    <cellStyle name="Vírgula 3 3 2" xfId="1872" xr:uid="{00000000-0005-0000-0000-0000B1090000}"/>
    <cellStyle name="Vírgula 3 4" xfId="1169" xr:uid="{00000000-0005-0000-0000-0000B2090000}"/>
    <cellStyle name="Vírgula 3 4 2" xfId="2173" xr:uid="{00000000-0005-0000-0000-0000B3090000}"/>
    <cellStyle name="Vírgula 30" xfId="1680" xr:uid="{00000000-0005-0000-0000-0000B4090000}"/>
    <cellStyle name="Vírgula 31" xfId="2533" xr:uid="{00000000-0005-0000-0000-0000B5090000}"/>
    <cellStyle name="Vírgula 32" xfId="2559" xr:uid="{6AA6FE5B-F9BE-4B07-BA28-AA87E75E6F58}"/>
    <cellStyle name="Vírgula 38" xfId="2543" xr:uid="{00000000-0005-0000-0000-0000B6090000}"/>
    <cellStyle name="Vírgula 4" xfId="133" xr:uid="{00000000-0005-0000-0000-0000B7090000}"/>
    <cellStyle name="Vírgula 4 2" xfId="298" xr:uid="{00000000-0005-0000-0000-0000B8090000}"/>
    <cellStyle name="Vírgula 4 2 2" xfId="844" xr:uid="{00000000-0005-0000-0000-0000B9090000}"/>
    <cellStyle name="Vírgula 4 2 2 2" xfId="1946" xr:uid="{00000000-0005-0000-0000-0000BA090000}"/>
    <cellStyle name="Vírgula 4 2 3" xfId="1247" xr:uid="{00000000-0005-0000-0000-0000BB090000}"/>
    <cellStyle name="Vírgula 4 2 3 2" xfId="2251" xr:uid="{00000000-0005-0000-0000-0000BC090000}"/>
    <cellStyle name="Vírgula 4 2 4" xfId="1631" xr:uid="{00000000-0005-0000-0000-0000BD090000}"/>
    <cellStyle name="Vírgula 4 3" xfId="769" xr:uid="{00000000-0005-0000-0000-0000BE090000}"/>
    <cellStyle name="Vírgula 4 3 2" xfId="1873" xr:uid="{00000000-0005-0000-0000-0000BF090000}"/>
    <cellStyle name="Vírgula 4 4" xfId="1170" xr:uid="{00000000-0005-0000-0000-0000C0090000}"/>
    <cellStyle name="Vírgula 4 4 2" xfId="2174" xr:uid="{00000000-0005-0000-0000-0000C1090000}"/>
    <cellStyle name="Vírgula 4 5" xfId="1568" xr:uid="{00000000-0005-0000-0000-0000C2090000}"/>
    <cellStyle name="Vírgula 5" xfId="167" xr:uid="{00000000-0005-0000-0000-0000C3090000}"/>
    <cellStyle name="Vírgula 5 2" xfId="170" xr:uid="{00000000-0005-0000-0000-0000C4090000}"/>
    <cellStyle name="Vírgula 5 2 2" xfId="788" xr:uid="{00000000-0005-0000-0000-0000C5090000}"/>
    <cellStyle name="Vírgula 5 2 2 2" xfId="1892" xr:uid="{00000000-0005-0000-0000-0000C6090000}"/>
    <cellStyle name="Vírgula 5 2 3" xfId="1189" xr:uid="{00000000-0005-0000-0000-0000C7090000}"/>
    <cellStyle name="Vírgula 5 2 3 2" xfId="2193" xr:uid="{00000000-0005-0000-0000-0000C8090000}"/>
    <cellStyle name="Vírgula 5 2 4" xfId="1577" xr:uid="{00000000-0005-0000-0000-0000C9090000}"/>
    <cellStyle name="Vírgula 5 3" xfId="626" xr:uid="{00000000-0005-0000-0000-0000CA090000}"/>
    <cellStyle name="Vírgula 5 3 2" xfId="1076" xr:uid="{00000000-0005-0000-0000-0000CB090000}"/>
    <cellStyle name="Vírgula 5 3 2 2" xfId="2131" xr:uid="{00000000-0005-0000-0000-0000CC090000}"/>
    <cellStyle name="Vírgula 5 3 3" xfId="1418" xr:uid="{00000000-0005-0000-0000-0000CD090000}"/>
    <cellStyle name="Vírgula 5 3 3 2" xfId="2420" xr:uid="{00000000-0005-0000-0000-0000CE090000}"/>
    <cellStyle name="Vírgula 5 3 4" xfId="1789" xr:uid="{00000000-0005-0000-0000-0000CF090000}"/>
    <cellStyle name="Vírgula 5 4" xfId="786" xr:uid="{00000000-0005-0000-0000-0000D0090000}"/>
    <cellStyle name="Vírgula 5 4 2" xfId="1890" xr:uid="{00000000-0005-0000-0000-0000D1090000}"/>
    <cellStyle name="Vírgula 5 5" xfId="1187" xr:uid="{00000000-0005-0000-0000-0000D2090000}"/>
    <cellStyle name="Vírgula 5 5 2" xfId="2191" xr:uid="{00000000-0005-0000-0000-0000D3090000}"/>
    <cellStyle name="Vírgula 5 6" xfId="1575" xr:uid="{00000000-0005-0000-0000-0000D4090000}"/>
    <cellStyle name="Vírgula 6" xfId="174" xr:uid="{00000000-0005-0000-0000-0000D5090000}"/>
    <cellStyle name="Vírgula 6 2" xfId="1077" xr:uid="{00000000-0005-0000-0000-0000D6090000}"/>
    <cellStyle name="Vírgula 6 2 2" xfId="2132" xr:uid="{00000000-0005-0000-0000-0000D7090000}"/>
    <cellStyle name="Vírgula 6 3" xfId="791" xr:uid="{00000000-0005-0000-0000-0000D8090000}"/>
    <cellStyle name="Vírgula 6 3 2" xfId="1895" xr:uid="{00000000-0005-0000-0000-0000D9090000}"/>
    <cellStyle name="Vírgula 6 4" xfId="1192" xr:uid="{00000000-0005-0000-0000-0000DA090000}"/>
    <cellStyle name="Vírgula 6 4 2" xfId="2196" xr:uid="{00000000-0005-0000-0000-0000DB090000}"/>
    <cellStyle name="Vírgula 6 5" xfId="1580" xr:uid="{00000000-0005-0000-0000-0000DC090000}"/>
    <cellStyle name="Vírgula 7" xfId="177" xr:uid="{00000000-0005-0000-0000-0000DD090000}"/>
    <cellStyle name="Vírgula 7 2" xfId="727" xr:uid="{00000000-0005-0000-0000-0000DE090000}"/>
    <cellStyle name="Vírgula 7 2 2" xfId="1078" xr:uid="{00000000-0005-0000-0000-0000DF090000}"/>
    <cellStyle name="Vírgula 7 2 2 2" xfId="2133" xr:uid="{00000000-0005-0000-0000-0000E0090000}"/>
    <cellStyle name="Vírgula 7 2 3" xfId="1472" xr:uid="{00000000-0005-0000-0000-0000E1090000}"/>
    <cellStyle name="Vírgula 7 2 3 2" xfId="2473" xr:uid="{00000000-0005-0000-0000-0000E2090000}"/>
    <cellStyle name="Vírgula 7 2 4" xfId="1840" xr:uid="{00000000-0005-0000-0000-0000E3090000}"/>
    <cellStyle name="Vírgula 7 3" xfId="794" xr:uid="{00000000-0005-0000-0000-0000E4090000}"/>
    <cellStyle name="Vírgula 7 3 2" xfId="1898" xr:uid="{00000000-0005-0000-0000-0000E5090000}"/>
    <cellStyle name="Vírgula 7 4" xfId="1195" xr:uid="{00000000-0005-0000-0000-0000E6090000}"/>
    <cellStyle name="Vírgula 7 4 2" xfId="1527" xr:uid="{00000000-0005-0000-0000-0000E7090000}"/>
    <cellStyle name="Vírgula 7 4 2 2" xfId="1535" xr:uid="{00000000-0005-0000-0000-0000E8090000}"/>
    <cellStyle name="Vírgula 7 4 2 2 2" xfId="2515" xr:uid="{00000000-0005-0000-0000-0000E9090000}"/>
    <cellStyle name="Vírgula 7 4 2 3" xfId="2510" xr:uid="{00000000-0005-0000-0000-0000EA090000}"/>
    <cellStyle name="Vírgula 7 4 2 4" xfId="2564" xr:uid="{BCFCD7D4-829F-442B-A4E9-C470AF10F44F}"/>
    <cellStyle name="Vírgula 7 4 3" xfId="2199" xr:uid="{00000000-0005-0000-0000-0000EB090000}"/>
    <cellStyle name="Vírgula 7 5" xfId="1583" xr:uid="{00000000-0005-0000-0000-0000EC090000}"/>
    <cellStyle name="Vírgula 8" xfId="179" xr:uid="{00000000-0005-0000-0000-0000ED090000}"/>
    <cellStyle name="Vírgula 8 2" xfId="796" xr:uid="{00000000-0005-0000-0000-0000EE090000}"/>
    <cellStyle name="Vírgula 8 2 2" xfId="1900" xr:uid="{00000000-0005-0000-0000-0000EF090000}"/>
    <cellStyle name="Vírgula 8 3" xfId="1197" xr:uid="{00000000-0005-0000-0000-0000F0090000}"/>
    <cellStyle name="Vírgula 8 3 2" xfId="2201" xr:uid="{00000000-0005-0000-0000-0000F1090000}"/>
    <cellStyle name="Vírgula 8 4" xfId="1585" xr:uid="{00000000-0005-0000-0000-0000F2090000}"/>
    <cellStyle name="Vírgula 9" xfId="180" xr:uid="{00000000-0005-0000-0000-0000F3090000}"/>
    <cellStyle name="Vírgula 9 2" xfId="797" xr:uid="{00000000-0005-0000-0000-0000F4090000}"/>
    <cellStyle name="Vírgula 9 2 2" xfId="1901" xr:uid="{00000000-0005-0000-0000-0000F5090000}"/>
    <cellStyle name="Vírgula 9 3" xfId="1198" xr:uid="{00000000-0005-0000-0000-0000F6090000}"/>
    <cellStyle name="Vírgula 9 3 2" xfId="2202" xr:uid="{00000000-0005-0000-0000-0000F7090000}"/>
    <cellStyle name="Warning Text" xfId="126" xr:uid="{00000000-0005-0000-0000-0000F8090000}"/>
    <cellStyle name="Year" xfId="520" xr:uid="{00000000-0005-0000-0000-0000F9090000}"/>
  </cellStyles>
  <dxfs count="151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004462"/>
      <color rgb="FF0000FF"/>
      <color rgb="FF009999"/>
      <color rgb="FF2ACA14"/>
      <color rgb="FF33CCCC"/>
      <color rgb="FF008080"/>
      <color rgb="FFFFFF99"/>
      <color rgb="FF99FF99"/>
      <color rgb="FFFF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9991168608950387E-2"/>
          <c:y val="4.190396373402425E-4"/>
          <c:w val="0.96110941844620945"/>
          <c:h val="0.9582980084942651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Indicadores!$F$31</c:f>
              <c:strCache>
                <c:ptCount val="1"/>
                <c:pt idx="0">
                  <c:v>SEM ALAVANCAGEM</c:v>
                </c:pt>
              </c:strCache>
            </c:strRef>
          </c:tx>
          <c:spPr>
            <a:solidFill>
              <a:srgbClr val="00446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371887445557624E-3"/>
                  <c:y val="0.3368199417484707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303-4E83-BF2B-4EFD36162036}"/>
                </c:ext>
              </c:extLst>
            </c:dLbl>
            <c:dLbl>
              <c:idx val="1"/>
              <c:layout>
                <c:manualLayout>
                  <c:x val="-7.1850991347264947E-6"/>
                  <c:y val="0.3279401107582385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303-4E83-BF2B-4EFD36162036}"/>
                </c:ext>
              </c:extLst>
            </c:dLbl>
            <c:dLbl>
              <c:idx val="2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303-4E83-BF2B-4EFD36162036}"/>
                </c:ext>
              </c:extLst>
            </c:dLbl>
            <c:dLbl>
              <c:idx val="3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D303-4E83-BF2B-4EFD36162036}"/>
                </c:ext>
              </c:extLst>
            </c:dLbl>
            <c:dLbl>
              <c:idx val="4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D303-4E83-BF2B-4EFD36162036}"/>
                </c:ext>
              </c:extLst>
            </c:dLbl>
            <c:dLbl>
              <c:idx val="5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D303-4E83-BF2B-4EFD36162036}"/>
                </c:ext>
              </c:extLst>
            </c:dLbl>
            <c:dLbl>
              <c:idx val="6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D303-4E83-BF2B-4EFD36162036}"/>
                </c:ext>
              </c:extLst>
            </c:dLbl>
            <c:dLbl>
              <c:idx val="7"/>
              <c:numFmt formatCode="#,##0_ ;\(#,##0\ \)" sourceLinked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D303-4E83-BF2B-4EFD36162036}"/>
                </c:ext>
              </c:extLst>
            </c:dLbl>
            <c:dLbl>
              <c:idx val="8"/>
              <c:layout>
                <c:manualLayout>
                  <c:x val="0"/>
                  <c:y val="1.769876335890304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303-4E83-BF2B-4EFD36162036}"/>
                </c:ext>
              </c:extLst>
            </c:dLbl>
            <c:dLbl>
              <c:idx val="9"/>
              <c:layout>
                <c:manualLayout>
                  <c:x val="0"/>
                  <c:y val="7.80678943406882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303-4E83-BF2B-4EFD36162036}"/>
                </c:ext>
              </c:extLst>
            </c:dLbl>
            <c:numFmt formatCode="#,##0_ ;\(#,##0\ 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Indicadores!$B$32:$B$48</c15:sqref>
                  </c15:fullRef>
                </c:ext>
              </c:extLst>
              <c:f>Indicadores!$B$38:$B$48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Indicadores!$F$32:$F$48</c15:sqref>
                  </c15:fullRef>
                </c:ext>
              </c:extLst>
              <c:f>Indicadores!$F$38:$F$48</c:f>
              <c:numCache>
                <c:formatCode>#,##0_ ;[Red]\-#,##0\ </c:formatCode>
                <c:ptCount val="11"/>
                <c:pt idx="0">
                  <c:v>-7436490.6498652473</c:v>
                </c:pt>
                <c:pt idx="1">
                  <c:v>-9204464.4647516608</c:v>
                </c:pt>
                <c:pt idx="2">
                  <c:v>26678324.60523288</c:v>
                </c:pt>
                <c:pt idx="3">
                  <c:v>40254086.303621016</c:v>
                </c:pt>
                <c:pt idx="4">
                  <c:v>39707619.792631976</c:v>
                </c:pt>
                <c:pt idx="5">
                  <c:v>38226745.118557811</c:v>
                </c:pt>
                <c:pt idx="6">
                  <c:v>36479902.999464869</c:v>
                </c:pt>
                <c:pt idx="7">
                  <c:v>27624713.29638705</c:v>
                </c:pt>
                <c:pt idx="8">
                  <c:v>10445698.45764875</c:v>
                </c:pt>
                <c:pt idx="9">
                  <c:v>2649475.4340554574</c:v>
                </c:pt>
                <c:pt idx="10">
                  <c:v>141896.8404790787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Indicadores!$F$35</c15:sqref>
                  <c15:dLbl>
                    <c:idx val="-1"/>
                    <c:layout>
                      <c:manualLayout>
                        <c:x val="-1.7189835474325085E-3"/>
                        <c:y val="0.14250617505359864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4492-4C07-8498-31C889ECFDA5}"/>
                      </c:ext>
                    </c:extLst>
                  </c15:dLbl>
                </c15:categoryFilterException>
                <c15:categoryFilterException>
                  <c15:sqref>Indicadores!$F$37</c15:sqref>
                  <c15:dLbl>
                    <c:idx val="-1"/>
                    <c:layout>
                      <c:manualLayout>
                        <c:x val="0"/>
                        <c:y val="0.15273933223676103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4492-4C07-8498-31C889ECFDA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A-D303-4E83-BF2B-4EFD36162036}"/>
            </c:ext>
          </c:extLst>
        </c:ser>
        <c:ser>
          <c:idx val="2"/>
          <c:order val="2"/>
          <c:tx>
            <c:strRef>
              <c:f>Indicadores!$L$31</c:f>
              <c:strCache>
                <c:ptCount val="1"/>
                <c:pt idx="0">
                  <c:v>COM ALAVANCAGEM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7172386931958601E-3"/>
                  <c:y val="0.327254242711555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303-4E83-BF2B-4EFD36162036}"/>
                </c:ext>
              </c:extLst>
            </c:dLbl>
            <c:dLbl>
              <c:idx val="8"/>
              <c:layout>
                <c:manualLayout>
                  <c:x val="0"/>
                  <c:y val="0.102496984740163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303-4E83-BF2B-4EFD36162036}"/>
                </c:ext>
              </c:extLst>
            </c:dLbl>
            <c:dLbl>
              <c:idx val="10"/>
              <c:layout>
                <c:manualLayout>
                  <c:x val="5.1681849442216906E-3"/>
                  <c:y val="0.235874819639523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303-4E83-BF2B-4EFD36162036}"/>
                </c:ext>
              </c:extLst>
            </c:dLbl>
            <c:numFmt formatCode="#,##0_ ;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0">
                <a:spAutoFit/>
              </a:bodyPr>
              <a:lstStyle/>
              <a:p>
                <a:pPr algn="ctr">
                  <a:defRPr lang="pt-BR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Indicadores!$B$32:$B$48</c15:sqref>
                  </c15:fullRef>
                </c:ext>
              </c:extLst>
              <c:f>Indicadores!$B$38:$B$48</c:f>
              <c:numCache>
                <c:formatCode>General</c:formatCode>
                <c:ptCount val="11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Indicadores!$L$32:$L$48</c15:sqref>
                  </c15:fullRef>
                </c:ext>
              </c:extLst>
              <c:f>Indicadores!$L$38:$L$48</c:f>
              <c:numCache>
                <c:formatCode>#,##0_ ;[Red]\-#,##0\ </c:formatCode>
                <c:ptCount val="11"/>
                <c:pt idx="0">
                  <c:v>4573149.7927359305</c:v>
                </c:pt>
                <c:pt idx="1">
                  <c:v>7625157.5620084889</c:v>
                </c:pt>
                <c:pt idx="2">
                  <c:v>18545152.814764455</c:v>
                </c:pt>
                <c:pt idx="3">
                  <c:v>28924881.414849799</c:v>
                </c:pt>
                <c:pt idx="4">
                  <c:v>29280301.53784471</c:v>
                </c:pt>
                <c:pt idx="5">
                  <c:v>28652409.492834974</c:v>
                </c:pt>
                <c:pt idx="6">
                  <c:v>27723920.551994525</c:v>
                </c:pt>
                <c:pt idx="7">
                  <c:v>19662562.5413418</c:v>
                </c:pt>
                <c:pt idx="8">
                  <c:v>3260015.4677041788</c:v>
                </c:pt>
                <c:pt idx="9">
                  <c:v>-3772035.3741087113</c:v>
                </c:pt>
                <c:pt idx="10">
                  <c:v>-4181979.7025997089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Indicadores!$L$35</c15:sqref>
                  <c15:dLbl>
                    <c:idx val="-1"/>
                    <c:layout>
                      <c:manualLayout>
                        <c:x val="5.1666512376907607E-3"/>
                        <c:y val="0.14084125616821933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492-4C07-8498-31C889ECFDA5}"/>
                      </c:ext>
                    </c:extLst>
                  </c15:dLbl>
                </c15:categoryFilterException>
                <c15:categoryFilterException>
                  <c15:sqref>Indicadores!$L$37</c15:sqref>
                  <c15:dLbl>
                    <c:idx val="-1"/>
                    <c:layout>
                      <c:manualLayout>
                        <c:x val="3.4379734159874641E-3"/>
                        <c:y val="0.14615556803578317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4492-4C07-8498-31C889ECFDA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B-D303-4E83-BF2B-4EFD36162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57705648"/>
        <c:axId val="8893154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Indicadores!$B$31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Indicadores!$B$32:$B$48</c15:sqref>
                        </c15:fullRef>
                        <c15:formulaRef>
                          <c15:sqref>Indicadores!$B$38:$B$48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Indicadores!$B$32:$B$48</c15:sqref>
                        </c15:fullRef>
                        <c15:formulaRef>
                          <c15:sqref>Indicadores!$B$38:$B$48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  <c:pt idx="8">
                        <c:v>2026</c:v>
                      </c:pt>
                      <c:pt idx="9">
                        <c:v>2027</c:v>
                      </c:pt>
                      <c:pt idx="10">
                        <c:v>2028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D303-4E83-BF2B-4EFD36162036}"/>
                  </c:ext>
                </c:extLst>
              </c15:ser>
            </c15:filteredBarSeries>
          </c:ext>
        </c:extLst>
      </c:barChart>
      <c:catAx>
        <c:axId val="95770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080000" spcFirstLastPara="1" vertOverflow="ellipsis" wrap="square" anchor="b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9315440"/>
        <c:crosses val="autoZero"/>
        <c:auto val="0"/>
        <c:lblAlgn val="ctr"/>
        <c:lblOffset val="100"/>
        <c:noMultiLvlLbl val="0"/>
      </c:catAx>
      <c:valAx>
        <c:axId val="889315440"/>
        <c:scaling>
          <c:orientation val="minMax"/>
          <c:max val="42000000"/>
          <c:min val="-18000000"/>
        </c:scaling>
        <c:delete val="1"/>
        <c:axPos val="r"/>
        <c:numFmt formatCode="#,##0" sourceLinked="1"/>
        <c:majorTickMark val="out"/>
        <c:minorTickMark val="none"/>
        <c:tickLblPos val="nextTo"/>
        <c:crossAx val="95770564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09834670328048"/>
          <c:y val="0.92810206432924924"/>
          <c:w val="0.32020380924087105"/>
          <c:h val="6.6489961594716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24688389188588"/>
          <c:y val="5.3240740740740741E-2"/>
          <c:w val="0.45678639483963135"/>
          <c:h val="0.8865740740740740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44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F4-4273-8F8E-A67EED23CA7D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F4-4273-8F8E-A67EED23CA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F4-4273-8F8E-A67EED23CA7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F4-4273-8F8E-A67EED23CA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F4-4273-8F8E-A67EED23CA7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F4-4273-8F8E-A67EED23CA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AEF4-4273-8F8E-A67EED23CA7D}"/>
                </c:ext>
              </c:extLst>
            </c:dLbl>
            <c:dLbl>
              <c:idx val="1"/>
              <c:layout>
                <c:manualLayout>
                  <c:x val="1.6283730215474173E-3"/>
                  <c:y val="-7.0603381505339258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F4-4273-8F8E-A67EED23CA7D}"/>
                </c:ext>
              </c:extLst>
            </c:dLbl>
            <c:dLbl>
              <c:idx val="2"/>
              <c:layout>
                <c:manualLayout>
                  <c:x val="6.2145535829746356E-4"/>
                  <c:y val="-1.810004706593298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F4-4273-8F8E-A67EED23CA7D}"/>
                </c:ext>
              </c:extLst>
            </c:dLbl>
            <c:dLbl>
              <c:idx val="3"/>
              <c:layout>
                <c:manualLayout>
                  <c:x val="2.8477582161792344E-3"/>
                  <c:y val="-3.224888000511350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F4-4273-8F8E-A67EED23CA7D}"/>
                </c:ext>
              </c:extLst>
            </c:dLbl>
            <c:dLbl>
              <c:idx val="5"/>
              <c:layout>
                <c:manualLayout>
                  <c:x val="-4.1221481221481223E-3"/>
                  <c:y val="1.2155794048774253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F4-4273-8F8E-A67EED23CA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'DRE - Grafico'!$B$4:$B$8</c:f>
              <c:strCache>
                <c:ptCount val="5"/>
                <c:pt idx="0">
                  <c:v>(+) Carteira</c:v>
                </c:pt>
                <c:pt idx="1">
                  <c:v>(+) Aporte</c:v>
                </c:pt>
                <c:pt idx="2">
                  <c:v>(+) Outras Entradas</c:v>
                </c:pt>
                <c:pt idx="3">
                  <c:v>(+) Recebimento de Empréstimos</c:v>
                </c:pt>
                <c:pt idx="4">
                  <c:v>(-) Devolução de Clientes</c:v>
                </c:pt>
              </c:strCache>
            </c:strRef>
          </c:cat>
          <c:val>
            <c:numRef>
              <c:f>'DRE - Grafico'!$K$4:$K$8</c:f>
              <c:numCache>
                <c:formatCode>0%</c:formatCode>
                <c:ptCount val="5"/>
                <c:pt idx="0">
                  <c:v>0.93463652033257949</c:v>
                </c:pt>
                <c:pt idx="1">
                  <c:v>7.7282538245730115E-2</c:v>
                </c:pt>
                <c:pt idx="2">
                  <c:v>3.3764531103417747E-2</c:v>
                </c:pt>
                <c:pt idx="3">
                  <c:v>2.2276884895850339E-2</c:v>
                </c:pt>
                <c:pt idx="4">
                  <c:v>-6.7960474577577729E-2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F4-4273-8F8E-A67EED23C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3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86792698393892"/>
          <c:y val="0.37034769773659237"/>
          <c:w val="0.32460351978547863"/>
          <c:h val="0.31328379786840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53494422270235E-2"/>
          <c:y val="3.0117003904501269E-2"/>
          <c:w val="0.47331629569774081"/>
          <c:h val="0.9309144779810387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44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CA-4353-97C1-C69DE2A792F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CA-4353-97C1-C69DE2A792F8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CA-4353-97C1-C69DE2A792F8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CA-4353-97C1-C69DE2A792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CA-4353-97C1-C69DE2A792F8}"/>
              </c:ext>
            </c:extLst>
          </c:dPt>
          <c:dPt>
            <c:idx val="5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CA-4353-97C1-C69DE2A792F8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2CA-4353-97C1-C69DE2A792F8}"/>
                </c:ext>
              </c:extLst>
            </c:dLbl>
            <c:dLbl>
              <c:idx val="4"/>
              <c:layout>
                <c:manualLayout>
                  <c:x val="1.8477626867458479E-3"/>
                  <c:y val="-1.1565067918069227E-2"/>
                </c:manualLayout>
              </c:layout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994345502729089E-2"/>
                      <c:h val="8.62767653580145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2CA-4353-97C1-C69DE2A792F8}"/>
                </c:ext>
              </c:extLst>
            </c:dLbl>
            <c:dLbl>
              <c:idx val="5"/>
              <c:layout>
                <c:manualLayout>
                  <c:x val="4.7042098418366863E-3"/>
                  <c:y val="-1.3878300057589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CA-4353-97C1-C69DE2A792F8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'DRE - Grafico'!$B$11:$B$19</c15:sqref>
                  </c15:fullRef>
                </c:ext>
              </c:extLst>
              <c:f>'DRE - Grafico'!$B$11:$B$16</c:f>
              <c:strCache>
                <c:ptCount val="6"/>
                <c:pt idx="0">
                  <c:v>(-) Custo de Obra</c:v>
                </c:pt>
                <c:pt idx="1">
                  <c:v>(-) Despesas Administrativas</c:v>
                </c:pt>
                <c:pt idx="2">
                  <c:v>(-) Despesas com Vendas</c:v>
                </c:pt>
                <c:pt idx="3">
                  <c:v>(-) Despesas com Marketing</c:v>
                </c:pt>
                <c:pt idx="4">
                  <c:v>(-) Despesas Financeiras</c:v>
                </c:pt>
                <c:pt idx="5">
                  <c:v>(-) Despesas Tributárias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'DRE - Grafico'!$K$11:$K$19</c15:sqref>
                  </c15:fullRef>
                </c:ext>
              </c:extLst>
              <c:f>'DRE - Grafico'!$K$11:$K$16</c:f>
              <c:numCache>
                <c:formatCode>0.00%</c:formatCode>
                <c:ptCount val="6"/>
                <c:pt idx="0">
                  <c:v>0.45466282828981985</c:v>
                </c:pt>
                <c:pt idx="1">
                  <c:v>7.8939622541293553E-2</c:v>
                </c:pt>
                <c:pt idx="2">
                  <c:v>0.32678806891162271</c:v>
                </c:pt>
                <c:pt idx="3">
                  <c:v>5.2275865803041693E-2</c:v>
                </c:pt>
                <c:pt idx="4">
                  <c:v>1.1186704941800416E-2</c:v>
                </c:pt>
                <c:pt idx="5">
                  <c:v>5.5077799065789239E-2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C-92CA-4353-97C1-C69DE2A792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551944385127376"/>
          <c:y val="0.16142065710290307"/>
          <c:w val="0.37579588472402903"/>
          <c:h val="0.47774354139977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'DRE - Grafico'!$B$28</c:f>
              <c:strCache>
                <c:ptCount val="1"/>
                <c:pt idx="0">
                  <c:v>(=) Total de Receitas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- Grafico'!$C$27:$I$27</c:f>
              <c:numCache>
                <c:formatCode>[$-416]mmm\-yy;@</c:formatCode>
                <c:ptCount val="7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43163</c:v>
                </c:pt>
                <c:pt idx="4">
                  <c:v>43194</c:v>
                </c:pt>
                <c:pt idx="5">
                  <c:v>43225</c:v>
                </c:pt>
                <c:pt idx="6">
                  <c:v>43256</c:v>
                </c:pt>
              </c:numCache>
            </c:numRef>
          </c:cat>
          <c:val>
            <c:numRef>
              <c:f>'DRE - Grafico'!$C$28:$I$28</c:f>
              <c:numCache>
                <c:formatCode>_(* #,##0_);_(* \(#,##0\);_(* "-"??_);_(@_)</c:formatCode>
                <c:ptCount val="7"/>
                <c:pt idx="0">
                  <c:v>1541685.9600000002</c:v>
                </c:pt>
                <c:pt idx="1">
                  <c:v>1594980.05</c:v>
                </c:pt>
                <c:pt idx="2">
                  <c:v>1532650.01</c:v>
                </c:pt>
                <c:pt idx="3">
                  <c:v>1444898.7400000002</c:v>
                </c:pt>
                <c:pt idx="4">
                  <c:v>1699401.8900000001</c:v>
                </c:pt>
                <c:pt idx="5">
                  <c:v>1789904.52</c:v>
                </c:pt>
                <c:pt idx="6">
                  <c:v>1642679.4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2-4D79-88F1-4B69FB570EA2}"/>
            </c:ext>
          </c:extLst>
        </c:ser>
        <c:ser>
          <c:idx val="1"/>
          <c:order val="1"/>
          <c:tx>
            <c:strRef>
              <c:f>'DRE - Grafico'!$B$29</c:f>
              <c:strCache>
                <c:ptCount val="1"/>
                <c:pt idx="0">
                  <c:v>(=) Total de Despesas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- Grafico'!$C$27:$I$27</c:f>
              <c:numCache>
                <c:formatCode>[$-416]mmm\-yy;@</c:formatCode>
                <c:ptCount val="7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43163</c:v>
                </c:pt>
                <c:pt idx="4">
                  <c:v>43194</c:v>
                </c:pt>
                <c:pt idx="5">
                  <c:v>43225</c:v>
                </c:pt>
                <c:pt idx="6">
                  <c:v>43256</c:v>
                </c:pt>
              </c:numCache>
            </c:numRef>
          </c:cat>
          <c:val>
            <c:numRef>
              <c:f>'DRE - Grafico'!$C$29:$I$29</c:f>
              <c:numCache>
                <c:formatCode>_(* #,##0_);_(* \(#,##0\);_(* "-"??_);_(@_)</c:formatCode>
                <c:ptCount val="7"/>
                <c:pt idx="0">
                  <c:v>1607729.75</c:v>
                </c:pt>
                <c:pt idx="1">
                  <c:v>1500519.11</c:v>
                </c:pt>
                <c:pt idx="2">
                  <c:v>1574604.5899999999</c:v>
                </c:pt>
                <c:pt idx="3">
                  <c:v>1406702.44</c:v>
                </c:pt>
                <c:pt idx="4">
                  <c:v>1711218.3800000001</c:v>
                </c:pt>
                <c:pt idx="5">
                  <c:v>1720976.5899999999</c:v>
                </c:pt>
                <c:pt idx="6">
                  <c:v>1697144.5299999998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2-4D79-88F1-4B69FB570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5028800"/>
        <c:axId val="702528400"/>
      </c:barChart>
      <c:lineChart>
        <c:grouping val="standard"/>
        <c:varyColors val="0"/>
        <c:ser>
          <c:idx val="2"/>
          <c:order val="2"/>
          <c:tx>
            <c:strRef>
              <c:f>'DRE - Grafico'!$B$30</c:f>
              <c:strCache>
                <c:ptCount val="1"/>
                <c:pt idx="0">
                  <c:v>(=) Resultado Líquido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bg1">
                  <a:lumMod val="95000"/>
                  <a:alpha val="98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'DRE - Grafico'!$C$27:$I$27</c:f>
              <c:numCache>
                <c:formatCode>[$-416]mmm\-yy;@</c:formatCode>
                <c:ptCount val="7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43163</c:v>
                </c:pt>
                <c:pt idx="4">
                  <c:v>43194</c:v>
                </c:pt>
                <c:pt idx="5">
                  <c:v>43225</c:v>
                </c:pt>
                <c:pt idx="6">
                  <c:v>43256</c:v>
                </c:pt>
              </c:numCache>
            </c:numRef>
          </c:cat>
          <c:val>
            <c:numRef>
              <c:f>'DRE - Grafico'!$C$30:$I$30</c:f>
              <c:numCache>
                <c:formatCode>_(* #,##0_);_(* \(#,##0\);_(* "-"??_);_(@_)</c:formatCode>
                <c:ptCount val="7"/>
                <c:pt idx="0">
                  <c:v>-66043.789999999804</c:v>
                </c:pt>
                <c:pt idx="1">
                  <c:v>94460.939999999944</c:v>
                </c:pt>
                <c:pt idx="2">
                  <c:v>-41954.579999999842</c:v>
                </c:pt>
                <c:pt idx="3">
                  <c:v>38196.300000000279</c:v>
                </c:pt>
                <c:pt idx="4">
                  <c:v>-11816.489999999991</c:v>
                </c:pt>
                <c:pt idx="5">
                  <c:v>68927.930000000168</c:v>
                </c:pt>
                <c:pt idx="6">
                  <c:v>-54465.129999999888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C2-4D79-88F1-4B69FB570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800912"/>
        <c:axId val="750176816"/>
      </c:lineChart>
      <c:dateAx>
        <c:axId val="425028800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528400"/>
        <c:crosses val="autoZero"/>
        <c:auto val="1"/>
        <c:lblOffset val="100"/>
        <c:baseTimeUnit val="months"/>
      </c:dateAx>
      <c:valAx>
        <c:axId val="702528400"/>
        <c:scaling>
          <c:orientation val="minMax"/>
          <c:max val="2600000"/>
          <c:min val="-100000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028800"/>
        <c:crosses val="autoZero"/>
        <c:crossBetween val="between"/>
        <c:majorUnit val="400000"/>
      </c:valAx>
      <c:valAx>
        <c:axId val="750176816"/>
        <c:scaling>
          <c:orientation val="minMax"/>
          <c:max val="200000"/>
          <c:min val="-80000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1800912"/>
        <c:crosses val="max"/>
        <c:crossBetween val="between"/>
      </c:valAx>
      <c:dateAx>
        <c:axId val="761800912"/>
        <c:scaling>
          <c:orientation val="minMax"/>
        </c:scaling>
        <c:delete val="1"/>
        <c:axPos val="t"/>
        <c:numFmt formatCode="[$-416]mmm\-yy;@" sourceLinked="1"/>
        <c:majorTickMark val="out"/>
        <c:minorTickMark val="none"/>
        <c:tickLblPos val="nextTo"/>
        <c:crossAx val="750176816"/>
        <c:crosses val="max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94561247221024E-2"/>
          <c:y val="5.464328033724794E-2"/>
          <c:w val="0.92748937455654745"/>
          <c:h val="0.78142613328582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'DRE - Grafico'!$B$33</c:f>
              <c:strCache>
                <c:ptCount val="1"/>
                <c:pt idx="0">
                  <c:v>Devolução R$ (CET)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- Grafico'!$C$32:$I$32</c:f>
              <c:numCache>
                <c:formatCode>[$-416]mmm\-yy;@</c:formatCode>
                <c:ptCount val="7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43163</c:v>
                </c:pt>
                <c:pt idx="4">
                  <c:v>43194</c:v>
                </c:pt>
                <c:pt idx="5">
                  <c:v>43225</c:v>
                </c:pt>
                <c:pt idx="6">
                  <c:v>43256</c:v>
                </c:pt>
              </c:numCache>
            </c:numRef>
          </c:cat>
          <c:val>
            <c:numRef>
              <c:f>'DRE - Grafico'!$C$33:$I$33</c:f>
              <c:numCache>
                <c:formatCode>_(* #,##0_);_(* \(#,##0\);_(* "-"??_);_(@_)</c:formatCode>
                <c:ptCount val="7"/>
                <c:pt idx="0">
                  <c:v>1951036</c:v>
                </c:pt>
                <c:pt idx="1">
                  <c:v>1985676</c:v>
                </c:pt>
                <c:pt idx="2">
                  <c:v>1911375</c:v>
                </c:pt>
                <c:pt idx="3">
                  <c:v>7531</c:v>
                </c:pt>
                <c:pt idx="4">
                  <c:v>7531</c:v>
                </c:pt>
                <c:pt idx="5">
                  <c:v>7531</c:v>
                </c:pt>
                <c:pt idx="6">
                  <c:v>7531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A-40E0-A986-11A044943F25}"/>
            </c:ext>
          </c:extLst>
        </c:ser>
        <c:ser>
          <c:idx val="1"/>
          <c:order val="1"/>
          <c:tx>
            <c:strRef>
              <c:f>'DRE - Grafico'!$B$34</c:f>
              <c:strCache>
                <c:ptCount val="1"/>
                <c:pt idx="0">
                  <c:v>Devolução R$ (DEV)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'DRE - Grafico'!$C$32:$I$32</c:f>
              <c:numCache>
                <c:formatCode>[$-416]mmm\-yy;@</c:formatCode>
                <c:ptCount val="7"/>
                <c:pt idx="0">
                  <c:v>43070</c:v>
                </c:pt>
                <c:pt idx="1">
                  <c:v>43101</c:v>
                </c:pt>
                <c:pt idx="2">
                  <c:v>43132</c:v>
                </c:pt>
                <c:pt idx="3">
                  <c:v>43163</c:v>
                </c:pt>
                <c:pt idx="4">
                  <c:v>43194</c:v>
                </c:pt>
                <c:pt idx="5">
                  <c:v>43225</c:v>
                </c:pt>
                <c:pt idx="6">
                  <c:v>43256</c:v>
                </c:pt>
              </c:numCache>
            </c:numRef>
          </c:cat>
          <c:val>
            <c:numRef>
              <c:f>'DRE - Grafico'!$C$34:$I$34</c:f>
              <c:numCache>
                <c:formatCode>_(* #,##0_);_(* \(#,##0\);_(* "-"??_);_(@_)</c:formatCode>
                <c:ptCount val="7"/>
                <c:pt idx="0">
                  <c:v>1448253</c:v>
                </c:pt>
                <c:pt idx="1">
                  <c:v>1629547</c:v>
                </c:pt>
                <c:pt idx="2">
                  <c:v>1644086</c:v>
                </c:pt>
                <c:pt idx="3">
                  <c:v>1070233</c:v>
                </c:pt>
                <c:pt idx="4">
                  <c:v>1117869</c:v>
                </c:pt>
                <c:pt idx="5">
                  <c:v>1107224</c:v>
                </c:pt>
                <c:pt idx="6">
                  <c:v>1139841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A-40E0-A986-11A044943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8066512"/>
        <c:axId val="799414160"/>
      </c:barChart>
      <c:dateAx>
        <c:axId val="708066512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414160"/>
        <c:crosses val="autoZero"/>
        <c:auto val="1"/>
        <c:lblOffset val="100"/>
        <c:baseTimeUnit val="months"/>
      </c:dateAx>
      <c:valAx>
        <c:axId val="799414160"/>
        <c:scaling>
          <c:orientation val="minMax"/>
          <c:max val="2000000"/>
          <c:min val="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806651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124239</xdr:colOff>
      <xdr:row>15</xdr:row>
      <xdr:rowOff>11596</xdr:rowOff>
    </xdr:from>
    <xdr:to>
      <xdr:col>17</xdr:col>
      <xdr:colOff>438978</xdr:colOff>
      <xdr:row>28</xdr:row>
      <xdr:rowOff>156178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235FE8-6897-445E-99C4-05FF62560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49694</xdr:colOff>
      <xdr:row>0</xdr:row>
      <xdr:rowOff>152398</xdr:rowOff>
    </xdr:from>
    <xdr:to>
      <xdr:col>16</xdr:col>
      <xdr:colOff>313764</xdr:colOff>
      <xdr:row>15</xdr:row>
      <xdr:rowOff>86693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468672-B063-44D1-88E4-DA5C18903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572023</xdr:colOff>
      <xdr:row>1</xdr:row>
      <xdr:rowOff>191128</xdr:rowOff>
    </xdr:from>
    <xdr:to>
      <xdr:col>23</xdr:col>
      <xdr:colOff>109904</xdr:colOff>
      <xdr:row>14</xdr:row>
      <xdr:rowOff>78921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AB4544-F356-4CB3-88A1-ECC1B43C7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61630</xdr:colOff>
      <xdr:row>29</xdr:row>
      <xdr:rowOff>33618</xdr:rowOff>
    </xdr:from>
    <xdr:to>
      <xdr:col>25</xdr:col>
      <xdr:colOff>224117</xdr:colOff>
      <xdr:row>56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C8ECAE8-A37D-4DE2-BD57-481AA0B7A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532278</xdr:colOff>
      <xdr:row>56</xdr:row>
      <xdr:rowOff>158003</xdr:rowOff>
    </xdr:from>
    <xdr:to>
      <xdr:col>23</xdr:col>
      <xdr:colOff>78440</xdr:colOff>
      <xdr:row>85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F5F372-7E36-4C6F-80EE-4C922727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95250</xdr:colOff>
      <xdr:row>0</xdr:row>
      <xdr:rowOff>0</xdr:rowOff>
    </xdr:from>
    <xdr:to>
      <xdr:col>22</xdr:col>
      <xdr:colOff>866775</xdr:colOff>
      <xdr:row>0</xdr:row>
      <xdr:rowOff>0</xdr:rowOff>
    </xdr:to>
    <xdr:pic>
      <xdr:nvPicPr>
        <xdr:cNvPr id="2" name="Imagem 1" descr="PRAIAS_dolago.png">
          <a:extLst>
            <a:ext uri="{FF2B5EF4-FFF2-40B4-BE49-F238E27FC236}">
              <a16:creationId xmlns:a16="http://schemas.microsoft.com/office/drawing/2014/main" id="{913BB300-B180-4863-8082-88B197F2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0" y="0"/>
          <a:ext cx="771525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RMAS\WINDOWS\TEMP\Fcaixa%2006_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Fcaixa%2006_%20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%20-%20Grupo%20-%20WPH\30%20-%20NG%2020%20-%20Praias%20do%20Lago\Caixa\2018\07-18\Fluxos%20-%20Praias%20do%20Lago%2007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senha"/>
      <sheetName val="atualiza"/>
      <sheetName val="Imp FCaixa"/>
      <sheetName val="Imp Revisão"/>
      <sheetName val="plano contas"/>
      <sheetName val="cadastro"/>
      <sheetName val="tabelas"/>
      <sheetName val="Aprovado"/>
      <sheetName val="Realizado"/>
      <sheetName val="projeção amm"/>
      <sheetName val="vagas"/>
      <sheetName val="prev locação"/>
      <sheetName val="inadimp"/>
      <sheetName val="confissão_outras"/>
      <sheetName val="areas comuns"/>
      <sheetName val="com gerais"/>
      <sheetName val="outras rec"/>
      <sheetName val="desp op adm"/>
      <sheetName val="QuadroFunc"/>
      <sheetName val="desp op inf"/>
      <sheetName val="desp op condom"/>
      <sheetName val="desp op prom_obras"/>
      <sheetName val="desp não oper"/>
      <sheetName val="desp administradora"/>
      <sheetName val="Comparativo P"/>
      <sheetName val="FC Sintético"/>
      <sheetName val="FC Analítico"/>
      <sheetName val="RelAdminstradora"/>
      <sheetName val="R AMM"/>
      <sheetName val="RD Inad AMM"/>
      <sheetName val="Aluguel %1"/>
      <sheetName val="Aluguel %2"/>
      <sheetName val="R CDívidas"/>
      <sheetName val="R AComuns"/>
      <sheetName val="R ComGerais"/>
      <sheetName val="R OutrasRec"/>
      <sheetName val="R DespAdm"/>
      <sheetName val="R Auditoria"/>
      <sheetName val="R AdmGerais"/>
      <sheetName val="R AdmGerais1"/>
      <sheetName val="R AdmGerais 2"/>
      <sheetName val="R Desp Inf"/>
      <sheetName val="R Desp Condm"/>
      <sheetName val="R Desp FProm"/>
      <sheetName val="R Desp NO Cond"/>
      <sheetName val="R Desp NO Ded"/>
      <sheetName val="R Proj AMM"/>
      <sheetName val="R Inad AMM"/>
      <sheetName val="R AV"/>
      <sheetName val="R locação AV"/>
      <sheetName val="RD CDividas"/>
      <sheetName val="FuncAdminist"/>
      <sheetName val="Comparativo Rev"/>
      <sheetName val="Sintético Rev"/>
      <sheetName val="Analítico Rev"/>
      <sheetName val="Ultimos 12"/>
      <sheetName val="Gráficos"/>
      <sheetName val="Sintético Acumul1"/>
      <sheetName val="Sintético Acumul2"/>
      <sheetName val="Sintético Acumul3"/>
      <sheetName val="Gráficos 1"/>
      <sheetName val="Fcaixa 06_ 2002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>
        <row r="3">
          <cell r="B3" t="str">
            <v>Cadastro de ABL por Loja</v>
          </cell>
        </row>
      </sheetData>
      <sheetData sheetId="7">
        <row r="3">
          <cell r="A3" t="str">
            <v>% de Retorno da Inadimplência</v>
          </cell>
        </row>
      </sheetData>
      <sheetData sheetId="8">
        <row r="14">
          <cell r="E14">
            <v>0</v>
          </cell>
        </row>
      </sheetData>
      <sheetData sheetId="9"/>
      <sheetData sheetId="10">
        <row r="7">
          <cell r="A7" t="str">
            <v>001/127</v>
          </cell>
        </row>
      </sheetData>
      <sheetData sheetId="11"/>
      <sheetData sheetId="12">
        <row r="6">
          <cell r="A6" t="str">
            <v>L005</v>
          </cell>
        </row>
      </sheetData>
      <sheetData sheetId="13">
        <row r="3">
          <cell r="A3" t="str">
            <v>Inadimplência no Aluguel Mínimo Mensal - situação em 31/03/03</v>
          </cell>
        </row>
      </sheetData>
      <sheetData sheetId="14">
        <row r="3">
          <cell r="Q3" t="str">
            <v>Previsão de Outras Receitas de Lojas</v>
          </cell>
        </row>
      </sheetData>
      <sheetData sheetId="15">
        <row r="3">
          <cell r="A3" t="str">
            <v>Receita de Quiosques - Contratos Vigentes - Faturamento</v>
          </cell>
        </row>
      </sheetData>
      <sheetData sheetId="16">
        <row r="3">
          <cell r="A3" t="str">
            <v>Receita Cessão de Direitos - Contratos Vigentes</v>
          </cell>
        </row>
      </sheetData>
      <sheetData sheetId="17">
        <row r="4">
          <cell r="A4" t="str">
            <v>SALAS</v>
          </cell>
        </row>
      </sheetData>
      <sheetData sheetId="18">
        <row r="3">
          <cell r="A3" t="str">
            <v>DESPESAS ADMINISTRATIVAS</v>
          </cell>
        </row>
      </sheetData>
      <sheetData sheetId="19">
        <row r="3">
          <cell r="A3" t="str">
            <v>Administração - Quadro de Funcionários - situação em 31/03/03</v>
          </cell>
        </row>
      </sheetData>
      <sheetData sheetId="20">
        <row r="3">
          <cell r="A3" t="str">
            <v>DESPESAS COM INFORMÁTICA</v>
          </cell>
        </row>
      </sheetData>
      <sheetData sheetId="21">
        <row r="3">
          <cell r="A3" t="str">
            <v>DESPESAS OPERACIONAIS DE CONDOMÍNIO</v>
          </cell>
        </row>
      </sheetData>
      <sheetData sheetId="22">
        <row r="3">
          <cell r="A3" t="str">
            <v>DESPESAS OPERACIONAIS DE PROMOÇÃO E PUBLICIDADE</v>
          </cell>
        </row>
      </sheetData>
      <sheetData sheetId="23">
        <row r="3">
          <cell r="A3" t="str">
            <v>DESPESAS NÃO OPERACIONAIS</v>
          </cell>
        </row>
      </sheetData>
      <sheetData sheetId="24">
        <row r="3">
          <cell r="B3" t="str">
            <v>RECEITAS DA ADMINISTRADORA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senha"/>
      <sheetName val="atualiza"/>
      <sheetName val="Imp FCaixa"/>
      <sheetName val="Imp Revisão"/>
      <sheetName val="plano contas"/>
      <sheetName val="cadastro"/>
      <sheetName val="tabelas"/>
      <sheetName val="Aprovado"/>
      <sheetName val="Realizado"/>
      <sheetName val="projeção amm"/>
      <sheetName val="vagas"/>
      <sheetName val="prev locação"/>
      <sheetName val="inadimp"/>
      <sheetName val="confissão_outras"/>
      <sheetName val="areas comuns"/>
      <sheetName val="com gerais"/>
      <sheetName val="outras rec"/>
      <sheetName val="desp op adm"/>
      <sheetName val="QuadroFunc"/>
      <sheetName val="desp op inf"/>
      <sheetName val="desp op condom"/>
      <sheetName val="desp op prom_obras"/>
      <sheetName val="desp não oper"/>
      <sheetName val="desp administradora"/>
      <sheetName val="Comparativo P"/>
      <sheetName val="FC Sintético"/>
      <sheetName val="FC Analítico"/>
      <sheetName val="RelAdminstradora"/>
      <sheetName val="R AMM"/>
      <sheetName val="RD Inad AMM"/>
      <sheetName val="Aluguel %1"/>
      <sheetName val="Aluguel %2"/>
      <sheetName val="R CDívidas"/>
      <sheetName val="R AComuns"/>
      <sheetName val="R ComGerais"/>
      <sheetName val="R OutrasRec"/>
      <sheetName val="R DespAdm"/>
      <sheetName val="R Auditoria"/>
      <sheetName val="R AdmGerais"/>
      <sheetName val="R AdmGerais1"/>
      <sheetName val="R AdmGerais 2"/>
      <sheetName val="R Desp Inf"/>
      <sheetName val="R Desp Condm"/>
      <sheetName val="R Desp FProm"/>
      <sheetName val="R Desp NO Cond"/>
      <sheetName val="R Desp NO Ded"/>
      <sheetName val="R Proj AMM"/>
      <sheetName val="R Inad AMM"/>
      <sheetName val="R AV"/>
      <sheetName val="R locação AV"/>
      <sheetName val="RD CDividas"/>
      <sheetName val="FuncAdminist"/>
      <sheetName val="Comparativo Rev"/>
      <sheetName val="Sintético Rev"/>
      <sheetName val="Analítico Rev"/>
      <sheetName val="Ultimos 12"/>
      <sheetName val="Gráficos"/>
      <sheetName val="Sintético Acumul1"/>
      <sheetName val="Sintético Acumul2"/>
      <sheetName val="Sintético Acumul3"/>
      <sheetName val="Gráficos 1"/>
      <sheetName val="Fcaixa 06_ 2002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>
        <row r="3">
          <cell r="B3" t="str">
            <v>Cadastro de ABL por Loja</v>
          </cell>
        </row>
      </sheetData>
      <sheetData sheetId="7">
        <row r="3">
          <cell r="A3" t="str">
            <v>% de Retorno da Inadimplência</v>
          </cell>
        </row>
      </sheetData>
      <sheetData sheetId="8">
        <row r="14">
          <cell r="E14">
            <v>0</v>
          </cell>
        </row>
      </sheetData>
      <sheetData sheetId="9"/>
      <sheetData sheetId="10">
        <row r="7">
          <cell r="A7" t="str">
            <v>001/127</v>
          </cell>
        </row>
      </sheetData>
      <sheetData sheetId="11"/>
      <sheetData sheetId="12">
        <row r="6">
          <cell r="A6" t="str">
            <v>L005</v>
          </cell>
        </row>
      </sheetData>
      <sheetData sheetId="13">
        <row r="3">
          <cell r="A3" t="str">
            <v>Inadimplência no Aluguel Mínimo Mensal - situação em 31/03/03</v>
          </cell>
        </row>
      </sheetData>
      <sheetData sheetId="14">
        <row r="3">
          <cell r="Q3" t="str">
            <v>Previsão de Outras Receitas de Lojas</v>
          </cell>
        </row>
      </sheetData>
      <sheetData sheetId="15">
        <row r="3">
          <cell r="A3" t="str">
            <v>Receita de Quiosques - Contratos Vigentes - Faturamento</v>
          </cell>
        </row>
      </sheetData>
      <sheetData sheetId="16">
        <row r="3">
          <cell r="A3" t="str">
            <v>Receita Cessão de Direitos - Contratos Vigentes</v>
          </cell>
        </row>
      </sheetData>
      <sheetData sheetId="17">
        <row r="4">
          <cell r="A4" t="str">
            <v>SALAS</v>
          </cell>
        </row>
      </sheetData>
      <sheetData sheetId="18">
        <row r="3">
          <cell r="A3" t="str">
            <v>DESPESAS ADMINISTRATIVAS</v>
          </cell>
        </row>
      </sheetData>
      <sheetData sheetId="19">
        <row r="3">
          <cell r="A3" t="str">
            <v>Administração - Quadro de Funcionários - situação em 31/03/03</v>
          </cell>
        </row>
      </sheetData>
      <sheetData sheetId="20">
        <row r="3">
          <cell r="A3" t="str">
            <v>DESPESAS COM INFORMÁTICA</v>
          </cell>
        </row>
      </sheetData>
      <sheetData sheetId="21">
        <row r="3">
          <cell r="A3" t="str">
            <v>DESPESAS OPERACIONAIS DE CONDOMÍNIO</v>
          </cell>
        </row>
      </sheetData>
      <sheetData sheetId="22">
        <row r="3">
          <cell r="A3" t="str">
            <v>DESPESAS OPERACIONAIS DE PROMOÇÃO E PUBLICIDADE</v>
          </cell>
        </row>
      </sheetData>
      <sheetData sheetId="23">
        <row r="3">
          <cell r="A3" t="str">
            <v>DESPESAS NÃO OPERACIONAIS</v>
          </cell>
        </row>
      </sheetData>
      <sheetData sheetId="24">
        <row r="3">
          <cell r="B3" t="str">
            <v>RECEITAS DA ADMINISTRADORA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 Consolidado"/>
      <sheetName val="Fluxo Consolidado BI"/>
      <sheetName val="Fluxo Horizontal"/>
      <sheetName val="DRE - Grafico"/>
      <sheetName val="Realizado"/>
      <sheetName val="Previsto X Realizado"/>
    </sheetNames>
    <sheetDataSet>
      <sheetData sheetId="0"/>
      <sheetData sheetId="1"/>
      <sheetData sheetId="2"/>
      <sheetData sheetId="3"/>
      <sheetData sheetId="4">
        <row r="15">
          <cell r="H15">
            <v>1812817.9199999999</v>
          </cell>
        </row>
        <row r="16">
          <cell r="H16">
            <v>-135226.67000000001</v>
          </cell>
        </row>
        <row r="17">
          <cell r="H17">
            <v>-2603.02</v>
          </cell>
        </row>
        <row r="18">
          <cell r="H18">
            <v>0</v>
          </cell>
        </row>
        <row r="19">
          <cell r="H19">
            <v>-19448.259999999998</v>
          </cell>
        </row>
        <row r="20">
          <cell r="H20">
            <v>0</v>
          </cell>
        </row>
        <row r="21">
          <cell r="H21">
            <v>-89086.63</v>
          </cell>
        </row>
        <row r="22">
          <cell r="H22">
            <v>5922.15</v>
          </cell>
        </row>
        <row r="23">
          <cell r="H23">
            <v>-2152.25</v>
          </cell>
        </row>
        <row r="24">
          <cell r="H24">
            <v>0</v>
          </cell>
        </row>
        <row r="30">
          <cell r="H30">
            <v>13961.45</v>
          </cell>
        </row>
        <row r="83">
          <cell r="H83">
            <v>870782.12</v>
          </cell>
        </row>
        <row r="164">
          <cell r="H164">
            <v>182224.66</v>
          </cell>
        </row>
        <row r="183">
          <cell r="H183">
            <v>449183</v>
          </cell>
        </row>
        <row r="200">
          <cell r="H200">
            <v>33658.5</v>
          </cell>
        </row>
        <row r="202">
          <cell r="H202">
            <v>46687</v>
          </cell>
        </row>
        <row r="204">
          <cell r="H204">
            <v>3394.55</v>
          </cell>
        </row>
        <row r="210">
          <cell r="H210">
            <v>20000</v>
          </cell>
        </row>
        <row r="212">
          <cell r="H212">
            <v>3099.3</v>
          </cell>
        </row>
        <row r="213">
          <cell r="H213">
            <v>4000</v>
          </cell>
        </row>
        <row r="215">
          <cell r="H215">
            <v>118639.79</v>
          </cell>
        </row>
        <row r="225">
          <cell r="H225">
            <v>725</v>
          </cell>
        </row>
        <row r="243">
          <cell r="H243">
            <v>118.85</v>
          </cell>
        </row>
        <row r="257">
          <cell r="H257">
            <v>1619.46</v>
          </cell>
        </row>
      </sheetData>
      <sheetData sheetId="5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Personalizada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extura Grung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67000"/>
                <a:shade val="65000"/>
              </a:schemeClr>
              <a:schemeClr val="phClr">
                <a:tint val="10000"/>
                <a:satMod val="130000"/>
              </a:schemeClr>
            </a:duotone>
          </a:blip>
          <a:tile tx="0" ty="0" sx="60000" sy="59000" flip="none" algn="b"/>
        </a:blipFill>
        <a:blipFill rotWithShape="1">
          <a:blip xmlns:r="http://schemas.openxmlformats.org/officeDocument/2006/relationships" r:embed="rId1">
            <a:duotone>
              <a:schemeClr val="phClr">
                <a:shade val="30000"/>
                <a:satMod val="115000"/>
              </a:schemeClr>
              <a:schemeClr val="phClr">
                <a:tint val="34000"/>
              </a:schemeClr>
            </a:duotone>
          </a:blip>
          <a:tile tx="0" ty="0" sx="60000" sy="59000" flip="none" algn="b"/>
        </a:blipFill>
      </a:fillStyleLst>
      <a:lnStyleLst>
        <a:ln w="6350" cap="flat" cmpd="sng" algn="ctr">
          <a:solidFill>
            <a:schemeClr val="phClr">
              <a:tint val="7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DF9D-83F6-4551-87A8-E67894C9A0FD}">
  <dimension ref="A1:BJ189"/>
  <sheetViews>
    <sheetView showGridLines="0" tabSelected="1" zoomScale="115" zoomScaleNormal="115" workbookViewId="0">
      <pane xSplit="3" ySplit="4" topLeftCell="BC5" activePane="bottomRight" state="frozen"/>
      <selection activeCell="AT25" sqref="AT25:AT26"/>
      <selection pane="topRight" activeCell="AT25" sqref="AT25:AT26"/>
      <selection pane="bottomLeft" activeCell="AT25" sqref="AT25:AT26"/>
      <selection pane="bottomRight" activeCell="BI60" sqref="BI60"/>
    </sheetView>
  </sheetViews>
  <sheetFormatPr defaultColWidth="8.85546875" defaultRowHeight="15" customHeight="1" outlineLevelRow="1"/>
  <cols>
    <col min="1" max="1" width="8.85546875" style="23"/>
    <col min="2" max="2" width="16.42578125" style="23" customWidth="1"/>
    <col min="3" max="3" width="11.140625" style="23" customWidth="1"/>
    <col min="4" max="5" width="15.42578125" style="23" customWidth="1"/>
    <col min="6" max="6" width="16.28515625" style="23" customWidth="1"/>
    <col min="7" max="7" width="10.42578125" style="23" customWidth="1"/>
    <col min="8" max="8" width="13" style="23" customWidth="1"/>
    <col min="9" max="9" width="15.42578125" style="23" customWidth="1"/>
    <col min="10" max="10" width="13.42578125" style="23" customWidth="1"/>
    <col min="11" max="11" width="4.140625" style="23" customWidth="1"/>
    <col min="12" max="15" width="15.42578125" style="23" customWidth="1"/>
    <col min="16" max="16" width="12.7109375" style="23" customWidth="1"/>
    <col min="17" max="17" width="14.140625" style="23" customWidth="1"/>
    <col min="18" max="18" width="12.7109375" style="23" customWidth="1"/>
    <col min="19" max="19" width="14" style="23" customWidth="1"/>
    <col min="20" max="22" width="12.7109375" style="23" customWidth="1"/>
    <col min="23" max="23" width="17" style="23" customWidth="1"/>
    <col min="24" max="33" width="14.42578125" style="23" customWidth="1"/>
    <col min="34" max="41" width="16.7109375" style="23" customWidth="1"/>
    <col min="42" max="42" width="16.28515625" style="23" customWidth="1"/>
    <col min="43" max="43" width="17.85546875" style="23" customWidth="1"/>
    <col min="44" max="44" width="6.140625" style="134" customWidth="1"/>
    <col min="45" max="48" width="17.85546875" style="23" customWidth="1"/>
    <col min="49" max="49" width="7.42578125" style="23" customWidth="1"/>
    <col min="50" max="50" width="19" style="23" customWidth="1"/>
    <col min="51" max="52" width="15.42578125" style="23" customWidth="1"/>
    <col min="53" max="53" width="15.7109375" style="23" customWidth="1"/>
    <col min="54" max="54" width="16" style="23" customWidth="1"/>
    <col min="55" max="55" width="13" style="23" customWidth="1"/>
    <col min="56" max="57" width="14.5703125" style="23" customWidth="1"/>
    <col min="58" max="61" width="14.42578125" style="23" customWidth="1"/>
    <col min="62" max="16384" width="8.85546875" style="23"/>
  </cols>
  <sheetData>
    <row r="1" spans="1:62" ht="15" customHeight="1" thickBot="1">
      <c r="L1" s="469">
        <v>2009558.07</v>
      </c>
      <c r="M1" s="469"/>
      <c r="N1" s="469"/>
      <c r="O1" s="469"/>
      <c r="Q1" s="86"/>
      <c r="AS1" s="186"/>
      <c r="AT1" s="186"/>
      <c r="AU1" s="186"/>
      <c r="AV1" s="185"/>
      <c r="AX1" s="86"/>
      <c r="AY1" s="186"/>
      <c r="AZ1" s="186"/>
      <c r="BA1" s="86"/>
      <c r="BB1" s="165">
        <f>AX3+BB3</f>
        <v>36144252.877901159</v>
      </c>
      <c r="BC1" s="490"/>
      <c r="BD1" s="186">
        <f>IRR(BD59:BD179,1%)</f>
        <v>1.7079045155661721E-2</v>
      </c>
      <c r="BE1" s="186">
        <f>(1+BD1)^12-1</f>
        <v>0.22533963025191017</v>
      </c>
      <c r="BH1" s="185"/>
    </row>
    <row r="2" spans="1:62" s="20" customFormat="1" ht="16.5" customHeight="1" thickBot="1">
      <c r="A2" s="500" t="s">
        <v>82</v>
      </c>
      <c r="B2" s="501"/>
      <c r="C2" s="502"/>
      <c r="D2" s="506" t="s">
        <v>1</v>
      </c>
      <c r="E2" s="507"/>
      <c r="F2" s="507"/>
      <c r="G2" s="507"/>
      <c r="H2" s="507"/>
      <c r="I2" s="507"/>
      <c r="J2" s="507"/>
      <c r="K2" s="507"/>
      <c r="L2" s="507"/>
      <c r="M2" s="507"/>
      <c r="N2" s="507"/>
      <c r="O2" s="508"/>
      <c r="P2" s="503" t="s">
        <v>6</v>
      </c>
      <c r="Q2" s="504"/>
      <c r="R2" s="504"/>
      <c r="S2" s="504"/>
      <c r="T2" s="504"/>
      <c r="U2" s="504"/>
      <c r="V2" s="504"/>
      <c r="W2" s="505"/>
      <c r="X2" s="516" t="s">
        <v>14</v>
      </c>
      <c r="Y2" s="517"/>
      <c r="Z2" s="517"/>
      <c r="AA2" s="517"/>
      <c r="AB2" s="517"/>
      <c r="AC2" s="517"/>
      <c r="AD2" s="517"/>
      <c r="AE2" s="517"/>
      <c r="AF2" s="517"/>
      <c r="AG2" s="518"/>
      <c r="AH2" s="521" t="s">
        <v>64</v>
      </c>
      <c r="AI2" s="522"/>
      <c r="AJ2" s="522"/>
      <c r="AK2" s="522"/>
      <c r="AL2" s="522"/>
      <c r="AM2" s="522"/>
      <c r="AN2" s="522"/>
      <c r="AO2" s="523"/>
      <c r="AP2" s="519" t="s">
        <v>83</v>
      </c>
      <c r="AQ2" s="520"/>
      <c r="AR2" s="129"/>
      <c r="AS2" s="509" t="s">
        <v>20</v>
      </c>
      <c r="AT2" s="510"/>
      <c r="AU2" s="510"/>
      <c r="AV2" s="511"/>
      <c r="AX2" s="512" t="s">
        <v>93</v>
      </c>
      <c r="AY2" s="513"/>
      <c r="AZ2" s="513"/>
      <c r="BA2" s="513"/>
      <c r="BB2" s="513"/>
      <c r="BC2" s="513"/>
      <c r="BD2" s="513"/>
      <c r="BE2" s="513"/>
      <c r="BF2" s="514" t="s">
        <v>95</v>
      </c>
      <c r="BG2" s="514"/>
      <c r="BH2" s="514"/>
      <c r="BI2" s="515"/>
      <c r="BJ2" s="1"/>
    </row>
    <row r="3" spans="1:62" s="1" customFormat="1" ht="15" customHeight="1" thickBot="1">
      <c r="A3" s="495" t="s">
        <v>9</v>
      </c>
      <c r="B3" s="496"/>
      <c r="C3" s="497"/>
      <c r="D3" s="66">
        <f>SUM(D59:D186)</f>
        <v>109049742.93000011</v>
      </c>
      <c r="E3" s="63">
        <f>SUM(E59:E186)</f>
        <v>171490386.31000003</v>
      </c>
      <c r="F3" s="63">
        <f t="shared" ref="F3:I3" si="0">SUM(F59:F186)</f>
        <v>1382206.7499999998</v>
      </c>
      <c r="G3" s="196">
        <v>0.1</v>
      </c>
      <c r="H3" s="63">
        <f t="shared" si="0"/>
        <v>-11265590.881499996</v>
      </c>
      <c r="I3" s="63">
        <f t="shared" si="0"/>
        <v>11265590.881499996</v>
      </c>
      <c r="J3" s="196">
        <v>5.0000000000000001E-3</v>
      </c>
      <c r="K3" s="196"/>
      <c r="L3" s="63">
        <f>SUM(L5:L185)</f>
        <v>369418810.57304853</v>
      </c>
      <c r="M3" s="63">
        <f t="shared" ref="M3:O3" si="1">SUM(M5:M185)</f>
        <v>1000000</v>
      </c>
      <c r="N3" s="63">
        <f t="shared" si="1"/>
        <v>1493512.03</v>
      </c>
      <c r="O3" s="63">
        <f t="shared" si="1"/>
        <v>3539928.5700000003</v>
      </c>
      <c r="P3" s="66">
        <f>SUM(P59:P186)</f>
        <v>-34953227.431691542</v>
      </c>
      <c r="Q3" s="68">
        <f>SUM(Q59:Q186)</f>
        <v>-3805740.2766484432</v>
      </c>
      <c r="R3" s="68">
        <f t="shared" ref="R3:W3" si="2">SUM(R59:R186)</f>
        <v>-13729000.000000002</v>
      </c>
      <c r="S3" s="68">
        <f t="shared" si="2"/>
        <v>-600000</v>
      </c>
      <c r="T3" s="68">
        <f t="shared" si="2"/>
        <v>-600000</v>
      </c>
      <c r="U3" s="68">
        <f t="shared" si="2"/>
        <v>-375081.78824999993</v>
      </c>
      <c r="V3" s="68">
        <f t="shared" si="2"/>
        <v>-817651.46449762466</v>
      </c>
      <c r="W3" s="65">
        <f t="shared" si="2"/>
        <v>-2548350.2203200026</v>
      </c>
      <c r="X3" s="63">
        <f>SUM(X59:X186)</f>
        <v>-125000</v>
      </c>
      <c r="Y3" s="63">
        <f>SUM(Y59:Y186)</f>
        <v>-4787315.0563499993</v>
      </c>
      <c r="Z3" s="63">
        <f t="shared" ref="Z3:AG3" si="3">SUM(Z59:Z186)</f>
        <v>-159988.42000000001</v>
      </c>
      <c r="AA3" s="63">
        <f t="shared" si="3"/>
        <v>-3779810.0199999996</v>
      </c>
      <c r="AB3" s="63">
        <f t="shared" si="3"/>
        <v>-2461231.6781250001</v>
      </c>
      <c r="AC3" s="63">
        <f t="shared" si="3"/>
        <v>-3608391.8800000008</v>
      </c>
      <c r="AD3" s="63">
        <f t="shared" si="3"/>
        <v>-586718</v>
      </c>
      <c r="AE3" s="63">
        <f t="shared" si="3"/>
        <v>-1656436.8999999997</v>
      </c>
      <c r="AF3" s="63">
        <f t="shared" si="3"/>
        <v>-2308800</v>
      </c>
      <c r="AG3" s="63">
        <f t="shared" si="3"/>
        <v>-128558.75</v>
      </c>
      <c r="AH3" s="475">
        <f>SUM(AH59:AH186)</f>
        <v>-19647774.660182912</v>
      </c>
      <c r="AI3" s="476">
        <f t="shared" ref="AI3:AO3" si="4">SUM(AI59:AI186)</f>
        <v>-939400.62000000244</v>
      </c>
      <c r="AJ3" s="476">
        <f t="shared" si="4"/>
        <v>-800799</v>
      </c>
      <c r="AK3" s="476">
        <f t="shared" si="4"/>
        <v>-1373552.2913624451</v>
      </c>
      <c r="AL3" s="476">
        <f t="shared" si="4"/>
        <v>-1049234.4300000002</v>
      </c>
      <c r="AM3" s="476">
        <f t="shared" si="4"/>
        <v>-3929554.9320365814</v>
      </c>
      <c r="AN3" s="476">
        <f t="shared" si="4"/>
        <v>-13098516.440121943</v>
      </c>
      <c r="AO3" s="477">
        <f t="shared" si="4"/>
        <v>-40000</v>
      </c>
      <c r="AP3" s="116">
        <f>SUM(AP58:AP186)</f>
        <v>-1248000</v>
      </c>
      <c r="AQ3" s="65">
        <f>SUM(AQ58:AQ186)</f>
        <v>-870000</v>
      </c>
      <c r="AR3" s="131"/>
      <c r="AS3" s="68">
        <f>SUM(AS5:AS186)</f>
        <v>375452251.1730485</v>
      </c>
      <c r="AT3" s="63">
        <f>SUM(AT5:AT186)</f>
        <v>-169815330.1895864</v>
      </c>
      <c r="AU3" s="63">
        <f>SUM(AU5:AU186)</f>
        <v>205636920.98346204</v>
      </c>
      <c r="AV3" s="236">
        <f>AV186</f>
        <v>205636920.98346204</v>
      </c>
      <c r="AX3" s="224">
        <f>SUM(AX58:AX238)</f>
        <v>42000000</v>
      </c>
      <c r="AY3" s="484">
        <f t="shared" ref="AY3:BE3" si="5">SUM(AY58:AY238)</f>
        <v>-27676169.777628038</v>
      </c>
      <c r="AZ3" s="484">
        <f t="shared" si="5"/>
        <v>-48558230.808021188</v>
      </c>
      <c r="BA3" s="225">
        <f t="shared" si="5"/>
        <v>-5183823.9263434513</v>
      </c>
      <c r="BB3" s="225">
        <f t="shared" si="5"/>
        <v>-5855747.1220988398</v>
      </c>
      <c r="BC3" s="225">
        <f t="shared" si="5"/>
        <v>0</v>
      </c>
      <c r="BD3" s="225">
        <f t="shared" si="5"/>
        <v>-45273971.634091526</v>
      </c>
      <c r="BE3" s="226">
        <f t="shared" si="5"/>
        <v>-87273971.634091526</v>
      </c>
      <c r="BF3" s="115">
        <f>SUM(BF5:BF238)</f>
        <v>330178279.53895682</v>
      </c>
      <c r="BG3" s="115">
        <f>SUM(BG5:BG238)</f>
        <v>-169815330.1895864</v>
      </c>
      <c r="BH3" s="115">
        <f>SUM(BH5:BH238)</f>
        <v>160362949.34937054</v>
      </c>
      <c r="BI3" s="65">
        <f>BI180</f>
        <v>160362949.34937054</v>
      </c>
      <c r="BJ3" s="233"/>
    </row>
    <row r="4" spans="1:62" s="1" customFormat="1" ht="42" customHeight="1" thickBot="1">
      <c r="A4" s="26" t="s">
        <v>22</v>
      </c>
      <c r="B4" s="27" t="s">
        <v>8</v>
      </c>
      <c r="C4" s="28" t="s">
        <v>23</v>
      </c>
      <c r="D4" s="26" t="s">
        <v>25</v>
      </c>
      <c r="E4" s="27" t="s">
        <v>26</v>
      </c>
      <c r="F4" s="29" t="s">
        <v>27</v>
      </c>
      <c r="G4" s="498" t="s">
        <v>29</v>
      </c>
      <c r="H4" s="499"/>
      <c r="I4" s="29" t="s">
        <v>30</v>
      </c>
      <c r="J4" s="195" t="s">
        <v>76</v>
      </c>
      <c r="K4" s="195"/>
      <c r="L4" s="135" t="s">
        <v>31</v>
      </c>
      <c r="M4" s="478" t="s">
        <v>54</v>
      </c>
      <c r="N4" s="478" t="s">
        <v>55</v>
      </c>
      <c r="O4" s="28" t="s">
        <v>2</v>
      </c>
      <c r="P4" s="26" t="s">
        <v>32</v>
      </c>
      <c r="Q4" s="202" t="s">
        <v>80</v>
      </c>
      <c r="R4" s="29" t="s">
        <v>40</v>
      </c>
      <c r="S4" s="29" t="s">
        <v>63</v>
      </c>
      <c r="T4" s="29" t="s">
        <v>79</v>
      </c>
      <c r="U4" s="29" t="s">
        <v>3</v>
      </c>
      <c r="V4" s="29" t="s">
        <v>41</v>
      </c>
      <c r="W4" s="29" t="s">
        <v>56</v>
      </c>
      <c r="X4" s="32" t="s">
        <v>42</v>
      </c>
      <c r="Y4" s="29" t="s">
        <v>66</v>
      </c>
      <c r="Z4" s="29" t="s">
        <v>67</v>
      </c>
      <c r="AA4" s="29" t="s">
        <v>75</v>
      </c>
      <c r="AB4" s="29" t="s">
        <v>68</v>
      </c>
      <c r="AC4" s="187" t="s">
        <v>69</v>
      </c>
      <c r="AD4" s="29" t="s">
        <v>46</v>
      </c>
      <c r="AE4" s="29" t="s">
        <v>71</v>
      </c>
      <c r="AF4" s="29" t="s">
        <v>70</v>
      </c>
      <c r="AG4" s="33" t="s">
        <v>81</v>
      </c>
      <c r="AH4" s="26" t="s">
        <v>15</v>
      </c>
      <c r="AI4" s="29" t="s">
        <v>49</v>
      </c>
      <c r="AJ4" s="29" t="s">
        <v>53</v>
      </c>
      <c r="AK4" s="29" t="s">
        <v>50</v>
      </c>
      <c r="AL4" s="29" t="s">
        <v>16</v>
      </c>
      <c r="AM4" s="29" t="s">
        <v>17</v>
      </c>
      <c r="AN4" s="29" t="s">
        <v>84</v>
      </c>
      <c r="AO4" s="28" t="s">
        <v>65</v>
      </c>
      <c r="AP4" s="26" t="s">
        <v>54</v>
      </c>
      <c r="AQ4" s="28" t="s">
        <v>55</v>
      </c>
      <c r="AR4" s="132"/>
      <c r="AS4" s="188" t="s">
        <v>33</v>
      </c>
      <c r="AT4" s="29" t="s">
        <v>10</v>
      </c>
      <c r="AU4" s="29" t="s">
        <v>34</v>
      </c>
      <c r="AV4" s="28" t="s">
        <v>11</v>
      </c>
      <c r="AW4" s="34"/>
      <c r="AX4" s="227" t="s">
        <v>182</v>
      </c>
      <c r="AY4" s="228" t="s">
        <v>183</v>
      </c>
      <c r="AZ4" s="228" t="s">
        <v>184</v>
      </c>
      <c r="BA4" s="228" t="s">
        <v>99</v>
      </c>
      <c r="BB4" s="228" t="s">
        <v>87</v>
      </c>
      <c r="BC4" s="228" t="s">
        <v>181</v>
      </c>
      <c r="BD4" s="228" t="s">
        <v>88</v>
      </c>
      <c r="BE4" s="229" t="s">
        <v>89</v>
      </c>
      <c r="BF4" s="231" t="s">
        <v>33</v>
      </c>
      <c r="BG4" s="29" t="s">
        <v>10</v>
      </c>
      <c r="BH4" s="230" t="s">
        <v>34</v>
      </c>
      <c r="BI4" s="28" t="s">
        <v>90</v>
      </c>
    </row>
    <row r="5" spans="1:62" s="1" customFormat="1" ht="15" hidden="1" customHeight="1" outlineLevel="1">
      <c r="A5" s="35"/>
      <c r="B5" s="87"/>
      <c r="C5" s="36">
        <v>41671</v>
      </c>
      <c r="D5" s="203"/>
      <c r="E5" s="479"/>
      <c r="F5" s="203"/>
      <c r="G5" s="203"/>
      <c r="H5" s="147"/>
      <c r="I5" s="147"/>
      <c r="J5" s="147"/>
      <c r="K5" s="79"/>
      <c r="L5" s="147">
        <v>0</v>
      </c>
      <c r="M5" s="147">
        <v>0</v>
      </c>
      <c r="N5" s="147">
        <v>0</v>
      </c>
      <c r="O5" s="148">
        <v>1000</v>
      </c>
      <c r="P5" s="84"/>
      <c r="Q5" s="80"/>
      <c r="R5" s="208"/>
      <c r="S5" s="208"/>
      <c r="T5" s="208"/>
      <c r="U5" s="208"/>
      <c r="V5" s="208"/>
      <c r="W5" s="80"/>
      <c r="X5" s="82"/>
      <c r="Y5" s="189"/>
      <c r="Z5" s="189"/>
      <c r="AA5" s="223"/>
      <c r="AB5" s="223"/>
      <c r="AC5" s="103"/>
      <c r="AD5" s="223"/>
      <c r="AE5" s="223"/>
      <c r="AF5" s="191"/>
      <c r="AG5" s="83"/>
      <c r="AH5" s="119"/>
      <c r="AI5" s="223"/>
      <c r="AJ5" s="223"/>
      <c r="AK5" s="223"/>
      <c r="AL5" s="206"/>
      <c r="AM5" s="82"/>
      <c r="AN5" s="119"/>
      <c r="AO5" s="119"/>
      <c r="AP5" s="84"/>
      <c r="AQ5" s="125"/>
      <c r="AR5" s="133"/>
      <c r="AS5" s="78">
        <v>1000</v>
      </c>
      <c r="AT5" s="288">
        <f>-3900000+3900000</f>
        <v>0</v>
      </c>
      <c r="AU5" s="288">
        <f>SUM(AS5:AT5)</f>
        <v>1000</v>
      </c>
      <c r="AV5" s="71">
        <f>AU5</f>
        <v>1000</v>
      </c>
      <c r="AW5" s="185"/>
      <c r="AX5" s="82"/>
      <c r="AY5" s="223"/>
      <c r="AZ5" s="223"/>
      <c r="BA5" s="223"/>
      <c r="BB5" s="223"/>
      <c r="BC5" s="223"/>
      <c r="BD5" s="223"/>
      <c r="BE5" s="83"/>
      <c r="BF5" s="78">
        <f t="shared" ref="BF5:BF36" si="6">AS5</f>
        <v>1000</v>
      </c>
      <c r="BG5" s="78">
        <f t="shared" ref="BG5:BG36" si="7">AT5</f>
        <v>0</v>
      </c>
      <c r="BH5" s="78">
        <f t="shared" ref="BH5:BH36" si="8">AU5</f>
        <v>1000</v>
      </c>
      <c r="BI5" s="78">
        <f t="shared" ref="BI5:BI36" si="9">AV5</f>
        <v>1000</v>
      </c>
    </row>
    <row r="6" spans="1:62" s="1" customFormat="1" ht="15" hidden="1" customHeight="1" outlineLevel="1">
      <c r="A6" s="35"/>
      <c r="B6" s="87"/>
      <c r="C6" s="36">
        <v>41699</v>
      </c>
      <c r="D6" s="203"/>
      <c r="E6" s="479"/>
      <c r="F6" s="203"/>
      <c r="G6" s="203"/>
      <c r="H6" s="147"/>
      <c r="I6" s="147"/>
      <c r="J6" s="147"/>
      <c r="K6" s="79"/>
      <c r="L6" s="147">
        <v>0</v>
      </c>
      <c r="M6" s="147">
        <v>0</v>
      </c>
      <c r="N6" s="147">
        <v>0</v>
      </c>
      <c r="O6" s="148">
        <v>0</v>
      </c>
      <c r="P6" s="84"/>
      <c r="Q6" s="80"/>
      <c r="R6" s="208"/>
      <c r="S6" s="208"/>
      <c r="T6" s="208"/>
      <c r="U6" s="208"/>
      <c r="V6" s="208"/>
      <c r="W6" s="80"/>
      <c r="X6" s="82"/>
      <c r="Y6" s="189"/>
      <c r="Z6" s="189"/>
      <c r="AA6" s="223"/>
      <c r="AB6" s="223"/>
      <c r="AC6" s="103"/>
      <c r="AD6" s="223"/>
      <c r="AE6" s="223"/>
      <c r="AF6" s="191"/>
      <c r="AG6" s="83"/>
      <c r="AH6" s="119"/>
      <c r="AI6" s="223"/>
      <c r="AJ6" s="223"/>
      <c r="AK6" s="223"/>
      <c r="AL6" s="206"/>
      <c r="AM6" s="82"/>
      <c r="AN6" s="119"/>
      <c r="AO6" s="119"/>
      <c r="AP6" s="84"/>
      <c r="AQ6" s="125"/>
      <c r="AR6" s="133"/>
      <c r="AS6" s="78">
        <v>0</v>
      </c>
      <c r="AT6" s="288">
        <v>0</v>
      </c>
      <c r="AU6" s="288">
        <f>SUM(AS6:AT6)</f>
        <v>0</v>
      </c>
      <c r="AV6" s="71">
        <f>AU6+AV5</f>
        <v>1000</v>
      </c>
      <c r="AW6" s="23"/>
      <c r="AX6" s="82"/>
      <c r="AY6" s="223"/>
      <c r="AZ6" s="223"/>
      <c r="BA6" s="223"/>
      <c r="BB6" s="223"/>
      <c r="BC6" s="223"/>
      <c r="BD6" s="223"/>
      <c r="BE6" s="83"/>
      <c r="BF6" s="78">
        <f t="shared" si="6"/>
        <v>0</v>
      </c>
      <c r="BG6" s="78">
        <f t="shared" si="7"/>
        <v>0</v>
      </c>
      <c r="BH6" s="78">
        <f t="shared" si="8"/>
        <v>0</v>
      </c>
      <c r="BI6" s="78">
        <f t="shared" si="9"/>
        <v>1000</v>
      </c>
    </row>
    <row r="7" spans="1:62" s="1" customFormat="1" ht="15" hidden="1" customHeight="1" outlineLevel="1">
      <c r="A7" s="35"/>
      <c r="B7" s="87"/>
      <c r="C7" s="36">
        <v>41730</v>
      </c>
      <c r="D7" s="203"/>
      <c r="E7" s="479"/>
      <c r="F7" s="203"/>
      <c r="G7" s="203"/>
      <c r="H7" s="147"/>
      <c r="I7" s="147"/>
      <c r="J7" s="147"/>
      <c r="K7" s="79"/>
      <c r="L7" s="147">
        <v>0</v>
      </c>
      <c r="M7" s="147">
        <v>0</v>
      </c>
      <c r="N7" s="147">
        <v>0</v>
      </c>
      <c r="O7" s="148">
        <v>9245.14</v>
      </c>
      <c r="P7" s="84"/>
      <c r="Q7" s="80"/>
      <c r="R7" s="208"/>
      <c r="S7" s="208"/>
      <c r="T7" s="208"/>
      <c r="U7" s="208"/>
      <c r="V7" s="208"/>
      <c r="W7" s="80"/>
      <c r="X7" s="82"/>
      <c r="Y7" s="189"/>
      <c r="Z7" s="189"/>
      <c r="AA7" s="223"/>
      <c r="AB7" s="223"/>
      <c r="AC7" s="103"/>
      <c r="AD7" s="223"/>
      <c r="AE7" s="223"/>
      <c r="AF7" s="191"/>
      <c r="AG7" s="83"/>
      <c r="AH7" s="119"/>
      <c r="AI7" s="223"/>
      <c r="AJ7" s="223"/>
      <c r="AK7" s="223"/>
      <c r="AL7" s="206"/>
      <c r="AM7" s="82"/>
      <c r="AN7" s="119"/>
      <c r="AO7" s="119"/>
      <c r="AP7" s="84"/>
      <c r="AQ7" s="125"/>
      <c r="AR7" s="133"/>
      <c r="AS7" s="78">
        <v>9245.14</v>
      </c>
      <c r="AT7" s="288">
        <f>-1559245.14+1550000</f>
        <v>-9245.1399999998976</v>
      </c>
      <c r="AU7" s="288">
        <f t="shared" ref="AU7:AU69" si="10">SUM(AS7:AT7)</f>
        <v>1.0186340659856796E-10</v>
      </c>
      <c r="AV7" s="71">
        <f t="shared" ref="AV7:AV58" si="11">AU7+AV6</f>
        <v>1000.0000000001019</v>
      </c>
      <c r="AW7" s="23"/>
      <c r="AX7" s="82"/>
      <c r="AY7" s="223"/>
      <c r="AZ7" s="223"/>
      <c r="BA7" s="223"/>
      <c r="BB7" s="223"/>
      <c r="BC7" s="223"/>
      <c r="BD7" s="223"/>
      <c r="BE7" s="83"/>
      <c r="BF7" s="78">
        <f t="shared" si="6"/>
        <v>9245.14</v>
      </c>
      <c r="BG7" s="78">
        <f t="shared" si="7"/>
        <v>-9245.1399999998976</v>
      </c>
      <c r="BH7" s="78">
        <f t="shared" si="8"/>
        <v>1.0186340659856796E-10</v>
      </c>
      <c r="BI7" s="78">
        <f t="shared" si="9"/>
        <v>1000.0000000001019</v>
      </c>
    </row>
    <row r="8" spans="1:62" s="1" customFormat="1" ht="15" hidden="1" customHeight="1" outlineLevel="1">
      <c r="A8" s="35"/>
      <c r="B8" s="87"/>
      <c r="C8" s="36">
        <v>41760</v>
      </c>
      <c r="D8" s="203"/>
      <c r="E8" s="479"/>
      <c r="F8" s="203"/>
      <c r="G8" s="203"/>
      <c r="H8" s="147"/>
      <c r="I8" s="147"/>
      <c r="J8" s="147"/>
      <c r="K8" s="79"/>
      <c r="L8" s="147">
        <v>0</v>
      </c>
      <c r="M8" s="147">
        <v>0</v>
      </c>
      <c r="N8" s="147">
        <v>46553.47</v>
      </c>
      <c r="O8" s="148">
        <v>146407.45000000001</v>
      </c>
      <c r="P8" s="84"/>
      <c r="Q8" s="80"/>
      <c r="R8" s="208"/>
      <c r="S8" s="208"/>
      <c r="T8" s="208"/>
      <c r="U8" s="208"/>
      <c r="V8" s="208"/>
      <c r="W8" s="80"/>
      <c r="X8" s="82"/>
      <c r="Y8" s="189"/>
      <c r="Z8" s="189"/>
      <c r="AA8" s="223"/>
      <c r="AB8" s="223"/>
      <c r="AC8" s="103"/>
      <c r="AD8" s="223"/>
      <c r="AE8" s="223"/>
      <c r="AF8" s="191"/>
      <c r="AG8" s="83"/>
      <c r="AH8" s="119"/>
      <c r="AI8" s="223"/>
      <c r="AJ8" s="223"/>
      <c r="AK8" s="223"/>
      <c r="AL8" s="206"/>
      <c r="AM8" s="82"/>
      <c r="AN8" s="119"/>
      <c r="AO8" s="119"/>
      <c r="AP8" s="84"/>
      <c r="AQ8" s="125"/>
      <c r="AR8" s="133"/>
      <c r="AS8" s="78">
        <v>192960.92</v>
      </c>
      <c r="AT8" s="288">
        <v>-188312.22</v>
      </c>
      <c r="AU8" s="288">
        <f t="shared" si="10"/>
        <v>4648.7000000000116</v>
      </c>
      <c r="AV8" s="71">
        <f t="shared" si="11"/>
        <v>5648.7000000001135</v>
      </c>
      <c r="AW8" s="23"/>
      <c r="AX8" s="82"/>
      <c r="AY8" s="223"/>
      <c r="AZ8" s="223"/>
      <c r="BA8" s="223"/>
      <c r="BB8" s="223"/>
      <c r="BC8" s="223"/>
      <c r="BD8" s="223"/>
      <c r="BE8" s="83"/>
      <c r="BF8" s="78">
        <f t="shared" si="6"/>
        <v>192960.92</v>
      </c>
      <c r="BG8" s="78">
        <f t="shared" si="7"/>
        <v>-188312.22</v>
      </c>
      <c r="BH8" s="78">
        <f t="shared" si="8"/>
        <v>4648.7000000000116</v>
      </c>
      <c r="BI8" s="78">
        <f t="shared" si="9"/>
        <v>5648.7000000001135</v>
      </c>
    </row>
    <row r="9" spans="1:62" s="1" customFormat="1" ht="15" hidden="1" customHeight="1" outlineLevel="1">
      <c r="A9" s="35"/>
      <c r="B9" s="87"/>
      <c r="C9" s="36">
        <v>41791</v>
      </c>
      <c r="D9" s="203"/>
      <c r="E9" s="479"/>
      <c r="F9" s="203"/>
      <c r="G9" s="203"/>
      <c r="H9" s="147"/>
      <c r="I9" s="147"/>
      <c r="J9" s="147"/>
      <c r="K9" s="79"/>
      <c r="L9" s="147">
        <v>0</v>
      </c>
      <c r="M9" s="147">
        <v>0</v>
      </c>
      <c r="N9" s="147">
        <v>3142.34</v>
      </c>
      <c r="O9" s="148">
        <v>56935.17</v>
      </c>
      <c r="P9" s="84"/>
      <c r="Q9" s="80"/>
      <c r="R9" s="208"/>
      <c r="S9" s="208"/>
      <c r="T9" s="208"/>
      <c r="U9" s="208"/>
      <c r="V9" s="208"/>
      <c r="W9" s="80"/>
      <c r="X9" s="82"/>
      <c r="Y9" s="189"/>
      <c r="Z9" s="189"/>
      <c r="AA9" s="223"/>
      <c r="AB9" s="223"/>
      <c r="AC9" s="103"/>
      <c r="AD9" s="223"/>
      <c r="AE9" s="223"/>
      <c r="AF9" s="191"/>
      <c r="AG9" s="83"/>
      <c r="AH9" s="119"/>
      <c r="AI9" s="223"/>
      <c r="AJ9" s="223"/>
      <c r="AK9" s="223"/>
      <c r="AL9" s="206"/>
      <c r="AM9" s="82"/>
      <c r="AN9" s="119"/>
      <c r="AO9" s="119"/>
      <c r="AP9" s="84"/>
      <c r="AQ9" s="125"/>
      <c r="AR9" s="133"/>
      <c r="AS9" s="78">
        <v>60077.509999999995</v>
      </c>
      <c r="AT9" s="288">
        <f>-1630629.61+1576198.54</f>
        <v>-54431.070000000065</v>
      </c>
      <c r="AU9" s="288">
        <f t="shared" si="10"/>
        <v>5646.4399999999296</v>
      </c>
      <c r="AV9" s="71">
        <f t="shared" si="11"/>
        <v>11295.140000000043</v>
      </c>
      <c r="AW9" s="23"/>
      <c r="AX9" s="82"/>
      <c r="AY9" s="223"/>
      <c r="AZ9" s="223"/>
      <c r="BA9" s="223"/>
      <c r="BB9" s="223"/>
      <c r="BC9" s="223"/>
      <c r="BD9" s="223"/>
      <c r="BE9" s="83"/>
      <c r="BF9" s="78">
        <f t="shared" si="6"/>
        <v>60077.509999999995</v>
      </c>
      <c r="BG9" s="78">
        <f t="shared" si="7"/>
        <v>-54431.070000000065</v>
      </c>
      <c r="BH9" s="78">
        <f t="shared" si="8"/>
        <v>5646.4399999999296</v>
      </c>
      <c r="BI9" s="78">
        <f t="shared" si="9"/>
        <v>11295.140000000043</v>
      </c>
    </row>
    <row r="10" spans="1:62" s="1" customFormat="1" ht="15" hidden="1" customHeight="1" outlineLevel="1">
      <c r="A10" s="35"/>
      <c r="B10" s="87"/>
      <c r="C10" s="36">
        <v>41821</v>
      </c>
      <c r="D10" s="203"/>
      <c r="E10" s="479"/>
      <c r="F10" s="203"/>
      <c r="G10" s="203"/>
      <c r="H10" s="147"/>
      <c r="I10" s="147"/>
      <c r="J10" s="147"/>
      <c r="K10" s="79"/>
      <c r="L10" s="147">
        <v>0</v>
      </c>
      <c r="M10" s="147">
        <v>0</v>
      </c>
      <c r="N10" s="147">
        <v>3568.76</v>
      </c>
      <c r="O10" s="148">
        <v>235374.71</v>
      </c>
      <c r="P10" s="84"/>
      <c r="Q10" s="80"/>
      <c r="R10" s="208"/>
      <c r="S10" s="208"/>
      <c r="T10" s="208"/>
      <c r="U10" s="208"/>
      <c r="V10" s="208"/>
      <c r="W10" s="80"/>
      <c r="X10" s="82"/>
      <c r="Y10" s="189"/>
      <c r="Z10" s="189"/>
      <c r="AA10" s="223"/>
      <c r="AB10" s="223"/>
      <c r="AC10" s="103"/>
      <c r="AD10" s="223"/>
      <c r="AE10" s="223"/>
      <c r="AF10" s="191"/>
      <c r="AG10" s="83"/>
      <c r="AH10" s="119"/>
      <c r="AI10" s="223"/>
      <c r="AJ10" s="223"/>
      <c r="AK10" s="223"/>
      <c r="AL10" s="206"/>
      <c r="AM10" s="82"/>
      <c r="AN10" s="119"/>
      <c r="AO10" s="119"/>
      <c r="AP10" s="84"/>
      <c r="AQ10" s="125"/>
      <c r="AR10" s="133"/>
      <c r="AS10" s="78">
        <v>238943.47</v>
      </c>
      <c r="AT10" s="288">
        <v>-205847.50999999998</v>
      </c>
      <c r="AU10" s="288">
        <f t="shared" si="10"/>
        <v>33095.960000000021</v>
      </c>
      <c r="AV10" s="71">
        <f t="shared" si="11"/>
        <v>44391.100000000064</v>
      </c>
      <c r="AW10" s="23"/>
      <c r="AX10" s="82"/>
      <c r="AY10" s="223"/>
      <c r="AZ10" s="223"/>
      <c r="BA10" s="223"/>
      <c r="BB10" s="223"/>
      <c r="BC10" s="223"/>
      <c r="BD10" s="223"/>
      <c r="BE10" s="83"/>
      <c r="BF10" s="78">
        <f t="shared" si="6"/>
        <v>238943.47</v>
      </c>
      <c r="BG10" s="78">
        <f t="shared" si="7"/>
        <v>-205847.50999999998</v>
      </c>
      <c r="BH10" s="78">
        <f t="shared" si="8"/>
        <v>33095.960000000021</v>
      </c>
      <c r="BI10" s="78">
        <f t="shared" si="9"/>
        <v>44391.100000000064</v>
      </c>
    </row>
    <row r="11" spans="1:62" s="1" customFormat="1" ht="15" hidden="1" customHeight="1" outlineLevel="1">
      <c r="A11" s="35"/>
      <c r="B11" s="87"/>
      <c r="C11" s="36">
        <v>41852</v>
      </c>
      <c r="D11" s="203"/>
      <c r="E11" s="479"/>
      <c r="F11" s="203"/>
      <c r="G11" s="203"/>
      <c r="H11" s="147"/>
      <c r="I11" s="147"/>
      <c r="J11" s="147"/>
      <c r="K11" s="79"/>
      <c r="L11" s="147">
        <v>0</v>
      </c>
      <c r="M11" s="147">
        <v>0</v>
      </c>
      <c r="N11" s="147">
        <v>0</v>
      </c>
      <c r="O11" s="148">
        <v>281736.14</v>
      </c>
      <c r="P11" s="84"/>
      <c r="Q11" s="80"/>
      <c r="R11" s="208"/>
      <c r="S11" s="208"/>
      <c r="T11" s="208"/>
      <c r="U11" s="208"/>
      <c r="V11" s="208"/>
      <c r="W11" s="80"/>
      <c r="X11" s="82"/>
      <c r="Y11" s="189"/>
      <c r="Z11" s="189"/>
      <c r="AA11" s="223"/>
      <c r="AB11" s="223"/>
      <c r="AC11" s="103"/>
      <c r="AD11" s="223"/>
      <c r="AE11" s="223"/>
      <c r="AF11" s="191"/>
      <c r="AG11" s="83"/>
      <c r="AH11" s="119"/>
      <c r="AI11" s="223"/>
      <c r="AJ11" s="223"/>
      <c r="AK11" s="223"/>
      <c r="AL11" s="206"/>
      <c r="AM11" s="82"/>
      <c r="AN11" s="119"/>
      <c r="AO11" s="119"/>
      <c r="AP11" s="84"/>
      <c r="AQ11" s="125"/>
      <c r="AR11" s="133"/>
      <c r="AS11" s="78">
        <v>281736.14</v>
      </c>
      <c r="AT11" s="288">
        <v>-320861.45</v>
      </c>
      <c r="AU11" s="288">
        <f t="shared" si="10"/>
        <v>-39125.31</v>
      </c>
      <c r="AV11" s="71">
        <f t="shared" si="11"/>
        <v>5265.7900000000664</v>
      </c>
      <c r="AW11" s="23"/>
      <c r="AX11" s="82"/>
      <c r="AY11" s="223"/>
      <c r="AZ11" s="223"/>
      <c r="BA11" s="223"/>
      <c r="BB11" s="223"/>
      <c r="BC11" s="223"/>
      <c r="BD11" s="223"/>
      <c r="BE11" s="83"/>
      <c r="BF11" s="78">
        <f t="shared" si="6"/>
        <v>281736.14</v>
      </c>
      <c r="BG11" s="78">
        <f t="shared" si="7"/>
        <v>-320861.45</v>
      </c>
      <c r="BH11" s="78">
        <f t="shared" si="8"/>
        <v>-39125.31</v>
      </c>
      <c r="BI11" s="78">
        <f t="shared" si="9"/>
        <v>5265.7900000000664</v>
      </c>
    </row>
    <row r="12" spans="1:62" s="1" customFormat="1" ht="15" hidden="1" customHeight="1" outlineLevel="1">
      <c r="A12" s="35"/>
      <c r="B12" s="87"/>
      <c r="C12" s="36">
        <v>41883</v>
      </c>
      <c r="D12" s="203"/>
      <c r="E12" s="479"/>
      <c r="F12" s="203"/>
      <c r="G12" s="203"/>
      <c r="H12" s="147"/>
      <c r="I12" s="147"/>
      <c r="J12" s="147"/>
      <c r="K12" s="79"/>
      <c r="L12" s="147">
        <v>0</v>
      </c>
      <c r="M12" s="147">
        <v>0</v>
      </c>
      <c r="N12" s="147">
        <v>0</v>
      </c>
      <c r="O12" s="148">
        <v>294606.73000000004</v>
      </c>
      <c r="P12" s="84"/>
      <c r="Q12" s="80"/>
      <c r="R12" s="208"/>
      <c r="S12" s="208"/>
      <c r="T12" s="208"/>
      <c r="U12" s="208"/>
      <c r="V12" s="208"/>
      <c r="W12" s="80"/>
      <c r="X12" s="82"/>
      <c r="Y12" s="189"/>
      <c r="Z12" s="189"/>
      <c r="AA12" s="223"/>
      <c r="AB12" s="223"/>
      <c r="AC12" s="103"/>
      <c r="AD12" s="223"/>
      <c r="AE12" s="223"/>
      <c r="AF12" s="191"/>
      <c r="AG12" s="83"/>
      <c r="AH12" s="119"/>
      <c r="AI12" s="223"/>
      <c r="AJ12" s="223"/>
      <c r="AK12" s="223"/>
      <c r="AL12" s="206"/>
      <c r="AM12" s="82"/>
      <c r="AN12" s="119"/>
      <c r="AO12" s="119"/>
      <c r="AP12" s="84"/>
      <c r="AQ12" s="125"/>
      <c r="AR12" s="133"/>
      <c r="AS12" s="78">
        <v>294606.73000000004</v>
      </c>
      <c r="AT12" s="288">
        <v>-253992.76</v>
      </c>
      <c r="AU12" s="288">
        <f t="shared" si="10"/>
        <v>40613.97000000003</v>
      </c>
      <c r="AV12" s="71">
        <f t="shared" si="11"/>
        <v>45879.760000000097</v>
      </c>
      <c r="AW12" s="23"/>
      <c r="AX12" s="82"/>
      <c r="AY12" s="223"/>
      <c r="AZ12" s="223"/>
      <c r="BA12" s="223"/>
      <c r="BB12" s="223"/>
      <c r="BC12" s="223"/>
      <c r="BD12" s="223"/>
      <c r="BE12" s="83"/>
      <c r="BF12" s="78">
        <f t="shared" si="6"/>
        <v>294606.73000000004</v>
      </c>
      <c r="BG12" s="78">
        <f t="shared" si="7"/>
        <v>-253992.76</v>
      </c>
      <c r="BH12" s="78">
        <f t="shared" si="8"/>
        <v>40613.97000000003</v>
      </c>
      <c r="BI12" s="78">
        <f t="shared" si="9"/>
        <v>45879.760000000097</v>
      </c>
    </row>
    <row r="13" spans="1:62" s="1" customFormat="1" ht="15" hidden="1" customHeight="1" outlineLevel="1">
      <c r="A13" s="35"/>
      <c r="B13" s="87"/>
      <c r="C13" s="36">
        <v>41913</v>
      </c>
      <c r="D13" s="203"/>
      <c r="E13" s="479"/>
      <c r="F13" s="203"/>
      <c r="G13" s="203"/>
      <c r="H13" s="147"/>
      <c r="I13" s="147"/>
      <c r="J13" s="147"/>
      <c r="K13" s="79"/>
      <c r="L13" s="147">
        <v>0</v>
      </c>
      <c r="M13" s="147">
        <v>0</v>
      </c>
      <c r="N13" s="147">
        <v>41112.589999999997</v>
      </c>
      <c r="O13" s="148">
        <v>336906.22</v>
      </c>
      <c r="P13" s="84"/>
      <c r="Q13" s="80"/>
      <c r="R13" s="208"/>
      <c r="S13" s="208"/>
      <c r="T13" s="208"/>
      <c r="U13" s="208"/>
      <c r="V13" s="208"/>
      <c r="W13" s="80"/>
      <c r="X13" s="82"/>
      <c r="Y13" s="189"/>
      <c r="Z13" s="189"/>
      <c r="AA13" s="223"/>
      <c r="AB13" s="223"/>
      <c r="AC13" s="103"/>
      <c r="AD13" s="223"/>
      <c r="AE13" s="223"/>
      <c r="AF13" s="191"/>
      <c r="AG13" s="83"/>
      <c r="AH13" s="119"/>
      <c r="AI13" s="223"/>
      <c r="AJ13" s="223"/>
      <c r="AK13" s="223"/>
      <c r="AL13" s="206"/>
      <c r="AM13" s="82"/>
      <c r="AN13" s="119"/>
      <c r="AO13" s="119"/>
      <c r="AP13" s="84"/>
      <c r="AQ13" s="125"/>
      <c r="AR13" s="133"/>
      <c r="AS13" s="78">
        <v>378018.80999999994</v>
      </c>
      <c r="AT13" s="288">
        <v>-367160.57</v>
      </c>
      <c r="AU13" s="288">
        <f t="shared" si="10"/>
        <v>10858.239999999932</v>
      </c>
      <c r="AV13" s="71">
        <f t="shared" si="11"/>
        <v>56738.000000000029</v>
      </c>
      <c r="AW13" s="23"/>
      <c r="AX13" s="82"/>
      <c r="AY13" s="223"/>
      <c r="AZ13" s="223"/>
      <c r="BA13" s="223"/>
      <c r="BB13" s="223"/>
      <c r="BC13" s="223"/>
      <c r="BD13" s="223"/>
      <c r="BE13" s="83"/>
      <c r="BF13" s="78">
        <f t="shared" si="6"/>
        <v>378018.80999999994</v>
      </c>
      <c r="BG13" s="78">
        <f t="shared" si="7"/>
        <v>-367160.57</v>
      </c>
      <c r="BH13" s="78">
        <f t="shared" si="8"/>
        <v>10858.239999999932</v>
      </c>
      <c r="BI13" s="78">
        <f t="shared" si="9"/>
        <v>56738.000000000029</v>
      </c>
    </row>
    <row r="14" spans="1:62" s="1" customFormat="1" ht="15" hidden="1" customHeight="1" outlineLevel="1">
      <c r="A14" s="35"/>
      <c r="B14" s="87"/>
      <c r="C14" s="36">
        <v>41944</v>
      </c>
      <c r="D14" s="203"/>
      <c r="E14" s="479"/>
      <c r="F14" s="203"/>
      <c r="G14" s="203"/>
      <c r="H14" s="147"/>
      <c r="I14" s="147"/>
      <c r="J14" s="147"/>
      <c r="K14" s="79"/>
      <c r="L14" s="147">
        <v>0</v>
      </c>
      <c r="M14" s="147">
        <v>0</v>
      </c>
      <c r="N14" s="147">
        <v>0</v>
      </c>
      <c r="O14" s="148">
        <v>334185.59999999998</v>
      </c>
      <c r="P14" s="84"/>
      <c r="Q14" s="80"/>
      <c r="R14" s="208"/>
      <c r="S14" s="208"/>
      <c r="T14" s="208"/>
      <c r="U14" s="208"/>
      <c r="V14" s="208"/>
      <c r="W14" s="80"/>
      <c r="X14" s="82"/>
      <c r="Y14" s="189"/>
      <c r="Z14" s="189"/>
      <c r="AA14" s="223"/>
      <c r="AB14" s="223"/>
      <c r="AC14" s="103"/>
      <c r="AD14" s="223"/>
      <c r="AE14" s="223"/>
      <c r="AF14" s="191"/>
      <c r="AG14" s="83"/>
      <c r="AH14" s="119"/>
      <c r="AI14" s="223"/>
      <c r="AJ14" s="223"/>
      <c r="AK14" s="223"/>
      <c r="AL14" s="206"/>
      <c r="AM14" s="82"/>
      <c r="AN14" s="119"/>
      <c r="AO14" s="119"/>
      <c r="AP14" s="84"/>
      <c r="AQ14" s="125"/>
      <c r="AR14" s="133"/>
      <c r="AS14" s="78">
        <v>334185.59999999998</v>
      </c>
      <c r="AT14" s="288">
        <v>-361508.56</v>
      </c>
      <c r="AU14" s="288">
        <f t="shared" si="10"/>
        <v>-27322.960000000021</v>
      </c>
      <c r="AV14" s="71">
        <f t="shared" si="11"/>
        <v>29415.040000000008</v>
      </c>
      <c r="AW14" s="23"/>
      <c r="AX14" s="82"/>
      <c r="AY14" s="223"/>
      <c r="AZ14" s="223"/>
      <c r="BA14" s="223"/>
      <c r="BB14" s="223"/>
      <c r="BC14" s="223"/>
      <c r="BD14" s="223"/>
      <c r="BE14" s="83"/>
      <c r="BF14" s="78">
        <f t="shared" si="6"/>
        <v>334185.59999999998</v>
      </c>
      <c r="BG14" s="78">
        <f t="shared" si="7"/>
        <v>-361508.56</v>
      </c>
      <c r="BH14" s="78">
        <f t="shared" si="8"/>
        <v>-27322.960000000021</v>
      </c>
      <c r="BI14" s="78">
        <f t="shared" si="9"/>
        <v>29415.040000000008</v>
      </c>
    </row>
    <row r="15" spans="1:62" s="1" customFormat="1" ht="15" hidden="1" customHeight="1" outlineLevel="1">
      <c r="A15" s="35"/>
      <c r="B15" s="87"/>
      <c r="C15" s="36">
        <v>41974</v>
      </c>
      <c r="D15" s="203"/>
      <c r="E15" s="479"/>
      <c r="F15" s="203"/>
      <c r="G15" s="203"/>
      <c r="H15" s="147"/>
      <c r="I15" s="147"/>
      <c r="J15" s="147"/>
      <c r="K15" s="79"/>
      <c r="L15" s="147">
        <v>0</v>
      </c>
      <c r="M15" s="147">
        <v>0</v>
      </c>
      <c r="N15" s="147">
        <v>30000</v>
      </c>
      <c r="O15" s="148">
        <v>143859.64000000001</v>
      </c>
      <c r="P15" s="84"/>
      <c r="Q15" s="80"/>
      <c r="R15" s="208"/>
      <c r="S15" s="208"/>
      <c r="T15" s="208"/>
      <c r="U15" s="208"/>
      <c r="V15" s="208"/>
      <c r="W15" s="80"/>
      <c r="X15" s="82"/>
      <c r="Y15" s="189"/>
      <c r="Z15" s="189"/>
      <c r="AA15" s="223"/>
      <c r="AB15" s="223"/>
      <c r="AC15" s="103"/>
      <c r="AD15" s="223"/>
      <c r="AE15" s="223"/>
      <c r="AF15" s="191"/>
      <c r="AG15" s="83"/>
      <c r="AH15" s="119"/>
      <c r="AI15" s="223"/>
      <c r="AJ15" s="223"/>
      <c r="AK15" s="223"/>
      <c r="AL15" s="206"/>
      <c r="AM15" s="82"/>
      <c r="AN15" s="119"/>
      <c r="AO15" s="119"/>
      <c r="AP15" s="84"/>
      <c r="AQ15" s="125"/>
      <c r="AR15" s="133"/>
      <c r="AS15" s="78">
        <v>173859.64</v>
      </c>
      <c r="AT15" s="288">
        <v>-134974.89000000001</v>
      </c>
      <c r="AU15" s="288">
        <f t="shared" si="10"/>
        <v>38884.75</v>
      </c>
      <c r="AV15" s="71">
        <f t="shared" si="11"/>
        <v>68299.790000000008</v>
      </c>
      <c r="AW15" s="23"/>
      <c r="AX15" s="82"/>
      <c r="AY15" s="223"/>
      <c r="AZ15" s="223"/>
      <c r="BA15" s="223"/>
      <c r="BB15" s="223"/>
      <c r="BC15" s="223"/>
      <c r="BD15" s="223"/>
      <c r="BE15" s="83"/>
      <c r="BF15" s="78">
        <f t="shared" si="6"/>
        <v>173859.64</v>
      </c>
      <c r="BG15" s="78">
        <f t="shared" si="7"/>
        <v>-134974.89000000001</v>
      </c>
      <c r="BH15" s="78">
        <f t="shared" si="8"/>
        <v>38884.75</v>
      </c>
      <c r="BI15" s="78">
        <f t="shared" si="9"/>
        <v>68299.790000000008</v>
      </c>
    </row>
    <row r="16" spans="1:62" s="1" customFormat="1" ht="15" hidden="1" customHeight="1" outlineLevel="1">
      <c r="A16" s="35"/>
      <c r="B16" s="87"/>
      <c r="C16" s="36">
        <v>42005</v>
      </c>
      <c r="D16" s="203"/>
      <c r="E16" s="479"/>
      <c r="F16" s="203"/>
      <c r="G16" s="203"/>
      <c r="H16" s="147"/>
      <c r="I16" s="147"/>
      <c r="J16" s="147"/>
      <c r="K16" s="79"/>
      <c r="L16" s="147">
        <v>22800.100000000002</v>
      </c>
      <c r="M16" s="147">
        <v>0</v>
      </c>
      <c r="N16" s="147">
        <v>0</v>
      </c>
      <c r="O16" s="148">
        <v>106536.84</v>
      </c>
      <c r="P16" s="84"/>
      <c r="Q16" s="80"/>
      <c r="R16" s="208"/>
      <c r="S16" s="208"/>
      <c r="T16" s="208"/>
      <c r="U16" s="208"/>
      <c r="V16" s="208"/>
      <c r="W16" s="80"/>
      <c r="X16" s="82"/>
      <c r="Y16" s="189"/>
      <c r="Z16" s="189"/>
      <c r="AA16" s="223"/>
      <c r="AB16" s="223"/>
      <c r="AC16" s="103"/>
      <c r="AD16" s="223"/>
      <c r="AE16" s="223"/>
      <c r="AF16" s="191"/>
      <c r="AG16" s="83"/>
      <c r="AH16" s="119"/>
      <c r="AI16" s="223"/>
      <c r="AJ16" s="223"/>
      <c r="AK16" s="223"/>
      <c r="AL16" s="206"/>
      <c r="AM16" s="82"/>
      <c r="AN16" s="119"/>
      <c r="AO16" s="119"/>
      <c r="AP16" s="84"/>
      <c r="AQ16" s="125"/>
      <c r="AR16" s="133"/>
      <c r="AS16" s="78">
        <v>129336.94</v>
      </c>
      <c r="AT16" s="288">
        <v>-126187.81999999999</v>
      </c>
      <c r="AU16" s="288">
        <f t="shared" si="10"/>
        <v>3149.1200000000099</v>
      </c>
      <c r="AV16" s="71">
        <f t="shared" si="11"/>
        <v>71448.910000000018</v>
      </c>
      <c r="AW16" s="23"/>
      <c r="AX16" s="82"/>
      <c r="AY16" s="223"/>
      <c r="AZ16" s="223"/>
      <c r="BA16" s="223"/>
      <c r="BB16" s="223"/>
      <c r="BC16" s="223"/>
      <c r="BD16" s="223"/>
      <c r="BE16" s="83"/>
      <c r="BF16" s="78">
        <f t="shared" si="6"/>
        <v>129336.94</v>
      </c>
      <c r="BG16" s="78">
        <f t="shared" si="7"/>
        <v>-126187.81999999999</v>
      </c>
      <c r="BH16" s="78">
        <f t="shared" si="8"/>
        <v>3149.1200000000099</v>
      </c>
      <c r="BI16" s="78">
        <f t="shared" si="9"/>
        <v>71448.910000000018</v>
      </c>
    </row>
    <row r="17" spans="1:61" s="1" customFormat="1" ht="15" hidden="1" customHeight="1" outlineLevel="1">
      <c r="A17" s="35"/>
      <c r="B17" s="87"/>
      <c r="C17" s="36">
        <v>42036</v>
      </c>
      <c r="D17" s="203"/>
      <c r="E17" s="479"/>
      <c r="F17" s="203"/>
      <c r="G17" s="203"/>
      <c r="H17" s="147"/>
      <c r="I17" s="147"/>
      <c r="J17" s="147"/>
      <c r="K17" s="79"/>
      <c r="L17" s="147">
        <v>68481.75</v>
      </c>
      <c r="M17" s="147">
        <v>0</v>
      </c>
      <c r="N17" s="147">
        <v>40000</v>
      </c>
      <c r="O17" s="148">
        <v>171915.91</v>
      </c>
      <c r="P17" s="84"/>
      <c r="Q17" s="80"/>
      <c r="R17" s="208"/>
      <c r="S17" s="208"/>
      <c r="T17" s="208"/>
      <c r="U17" s="208"/>
      <c r="V17" s="208"/>
      <c r="W17" s="80"/>
      <c r="X17" s="82"/>
      <c r="Y17" s="189"/>
      <c r="Z17" s="189"/>
      <c r="AA17" s="223"/>
      <c r="AB17" s="223"/>
      <c r="AC17" s="103"/>
      <c r="AD17" s="223"/>
      <c r="AE17" s="223"/>
      <c r="AF17" s="191"/>
      <c r="AG17" s="83"/>
      <c r="AH17" s="119"/>
      <c r="AI17" s="223"/>
      <c r="AJ17" s="223"/>
      <c r="AK17" s="223"/>
      <c r="AL17" s="206"/>
      <c r="AM17" s="82"/>
      <c r="AN17" s="119"/>
      <c r="AO17" s="119"/>
      <c r="AP17" s="84"/>
      <c r="AQ17" s="125"/>
      <c r="AR17" s="133"/>
      <c r="AS17" s="78">
        <v>280397.66000000003</v>
      </c>
      <c r="AT17" s="288">
        <v>-315649.39</v>
      </c>
      <c r="AU17" s="288">
        <f t="shared" si="10"/>
        <v>-35251.729999999981</v>
      </c>
      <c r="AV17" s="71">
        <f t="shared" si="11"/>
        <v>36197.180000000037</v>
      </c>
      <c r="AW17" s="23"/>
      <c r="AX17" s="82"/>
      <c r="AY17" s="223"/>
      <c r="AZ17" s="223"/>
      <c r="BA17" s="223"/>
      <c r="BB17" s="223"/>
      <c r="BC17" s="223"/>
      <c r="BD17" s="223"/>
      <c r="BE17" s="83"/>
      <c r="BF17" s="78">
        <f t="shared" si="6"/>
        <v>280397.66000000003</v>
      </c>
      <c r="BG17" s="78">
        <f t="shared" si="7"/>
        <v>-315649.39</v>
      </c>
      <c r="BH17" s="78">
        <f t="shared" si="8"/>
        <v>-35251.729999999981</v>
      </c>
      <c r="BI17" s="78">
        <f t="shared" si="9"/>
        <v>36197.180000000037</v>
      </c>
    </row>
    <row r="18" spans="1:61" s="1" customFormat="1" ht="15" hidden="1" customHeight="1" outlineLevel="1">
      <c r="A18" s="35"/>
      <c r="B18" s="87"/>
      <c r="C18" s="36">
        <v>42064</v>
      </c>
      <c r="D18" s="203"/>
      <c r="E18" s="479"/>
      <c r="F18" s="203"/>
      <c r="G18" s="203"/>
      <c r="H18" s="147"/>
      <c r="I18" s="147"/>
      <c r="J18" s="147"/>
      <c r="K18" s="79"/>
      <c r="L18" s="147">
        <v>188382.86000000002</v>
      </c>
      <c r="M18" s="147">
        <v>0</v>
      </c>
      <c r="N18" s="147">
        <v>0</v>
      </c>
      <c r="O18" s="148">
        <v>361130.16</v>
      </c>
      <c r="P18" s="84"/>
      <c r="Q18" s="80"/>
      <c r="R18" s="208"/>
      <c r="S18" s="208"/>
      <c r="T18" s="208"/>
      <c r="U18" s="208"/>
      <c r="V18" s="208"/>
      <c r="W18" s="80"/>
      <c r="X18" s="82"/>
      <c r="Y18" s="189"/>
      <c r="Z18" s="189"/>
      <c r="AA18" s="223"/>
      <c r="AB18" s="223"/>
      <c r="AC18" s="103"/>
      <c r="AD18" s="223"/>
      <c r="AE18" s="223"/>
      <c r="AF18" s="191"/>
      <c r="AG18" s="83"/>
      <c r="AH18" s="119"/>
      <c r="AI18" s="223"/>
      <c r="AJ18" s="223"/>
      <c r="AK18" s="223"/>
      <c r="AL18" s="206"/>
      <c r="AM18" s="82"/>
      <c r="AN18" s="119"/>
      <c r="AO18" s="119"/>
      <c r="AP18" s="84"/>
      <c r="AQ18" s="125"/>
      <c r="AR18" s="133"/>
      <c r="AS18" s="78">
        <v>549513.02</v>
      </c>
      <c r="AT18" s="288">
        <v>-436787.24</v>
      </c>
      <c r="AU18" s="288">
        <f t="shared" si="10"/>
        <v>112725.78000000003</v>
      </c>
      <c r="AV18" s="71">
        <f t="shared" si="11"/>
        <v>148922.96000000008</v>
      </c>
      <c r="AW18" s="23"/>
      <c r="AX18" s="82"/>
      <c r="AY18" s="223"/>
      <c r="AZ18" s="223"/>
      <c r="BA18" s="223"/>
      <c r="BB18" s="223"/>
      <c r="BC18" s="223"/>
      <c r="BD18" s="223"/>
      <c r="BE18" s="83"/>
      <c r="BF18" s="78">
        <f t="shared" si="6"/>
        <v>549513.02</v>
      </c>
      <c r="BG18" s="78">
        <f t="shared" si="7"/>
        <v>-436787.24</v>
      </c>
      <c r="BH18" s="78">
        <f t="shared" si="8"/>
        <v>112725.78000000003</v>
      </c>
      <c r="BI18" s="78">
        <f t="shared" si="9"/>
        <v>148922.96000000008</v>
      </c>
    </row>
    <row r="19" spans="1:61" s="1" customFormat="1" ht="15" hidden="1" customHeight="1" outlineLevel="1">
      <c r="A19" s="35"/>
      <c r="B19" s="87"/>
      <c r="C19" s="36">
        <v>42095</v>
      </c>
      <c r="D19" s="203"/>
      <c r="E19" s="479"/>
      <c r="F19" s="203"/>
      <c r="G19" s="203"/>
      <c r="H19" s="147"/>
      <c r="I19" s="147"/>
      <c r="J19" s="147"/>
      <c r="K19" s="79"/>
      <c r="L19" s="147">
        <v>238926.06</v>
      </c>
      <c r="M19" s="147">
        <v>0</v>
      </c>
      <c r="N19" s="147">
        <v>4948.26</v>
      </c>
      <c r="O19" s="148">
        <v>148490.03999999998</v>
      </c>
      <c r="P19" s="84"/>
      <c r="Q19" s="80"/>
      <c r="R19" s="208"/>
      <c r="S19" s="208"/>
      <c r="T19" s="208"/>
      <c r="U19" s="208"/>
      <c r="V19" s="208"/>
      <c r="W19" s="80"/>
      <c r="X19" s="82"/>
      <c r="Y19" s="189"/>
      <c r="Z19" s="189"/>
      <c r="AA19" s="223"/>
      <c r="AB19" s="223"/>
      <c r="AC19" s="103"/>
      <c r="AD19" s="223"/>
      <c r="AE19" s="223"/>
      <c r="AF19" s="191"/>
      <c r="AG19" s="83"/>
      <c r="AH19" s="119"/>
      <c r="AI19" s="223"/>
      <c r="AJ19" s="223"/>
      <c r="AK19" s="223"/>
      <c r="AL19" s="206"/>
      <c r="AM19" s="82"/>
      <c r="AN19" s="119"/>
      <c r="AO19" s="119"/>
      <c r="AP19" s="84"/>
      <c r="AQ19" s="125"/>
      <c r="AR19" s="133"/>
      <c r="AS19" s="78">
        <v>392364.36</v>
      </c>
      <c r="AT19" s="288">
        <v>-522032.09</v>
      </c>
      <c r="AU19" s="288">
        <f t="shared" si="10"/>
        <v>-129667.73000000004</v>
      </c>
      <c r="AV19" s="71">
        <f t="shared" si="11"/>
        <v>19255.23000000004</v>
      </c>
      <c r="AW19" s="23"/>
      <c r="AX19" s="82"/>
      <c r="AY19" s="223"/>
      <c r="AZ19" s="223"/>
      <c r="BA19" s="223"/>
      <c r="BB19" s="223"/>
      <c r="BC19" s="223"/>
      <c r="BD19" s="223"/>
      <c r="BE19" s="83"/>
      <c r="BF19" s="78">
        <f t="shared" si="6"/>
        <v>392364.36</v>
      </c>
      <c r="BG19" s="78">
        <f t="shared" si="7"/>
        <v>-522032.09</v>
      </c>
      <c r="BH19" s="78">
        <f t="shared" si="8"/>
        <v>-129667.73000000004</v>
      </c>
      <c r="BI19" s="78">
        <f t="shared" si="9"/>
        <v>19255.23000000004</v>
      </c>
    </row>
    <row r="20" spans="1:61" s="1" customFormat="1" ht="15" hidden="1" customHeight="1" outlineLevel="1">
      <c r="A20" s="35"/>
      <c r="B20" s="87"/>
      <c r="C20" s="36">
        <v>42125</v>
      </c>
      <c r="D20" s="203"/>
      <c r="E20" s="479"/>
      <c r="F20" s="203"/>
      <c r="G20" s="203"/>
      <c r="H20" s="147"/>
      <c r="I20" s="147"/>
      <c r="J20" s="147"/>
      <c r="K20" s="79"/>
      <c r="L20" s="147">
        <v>276060.96000000002</v>
      </c>
      <c r="M20" s="147">
        <v>0</v>
      </c>
      <c r="N20" s="147">
        <v>6834.67</v>
      </c>
      <c r="O20" s="148">
        <v>296905.34999999998</v>
      </c>
      <c r="P20" s="84"/>
      <c r="Q20" s="80"/>
      <c r="R20" s="208"/>
      <c r="S20" s="208"/>
      <c r="T20" s="208"/>
      <c r="U20" s="208"/>
      <c r="V20" s="208"/>
      <c r="W20" s="80"/>
      <c r="X20" s="82"/>
      <c r="Y20" s="189"/>
      <c r="Z20" s="189"/>
      <c r="AA20" s="223"/>
      <c r="AB20" s="223"/>
      <c r="AC20" s="103"/>
      <c r="AD20" s="223"/>
      <c r="AE20" s="223"/>
      <c r="AF20" s="191"/>
      <c r="AG20" s="83"/>
      <c r="AH20" s="119"/>
      <c r="AI20" s="223"/>
      <c r="AJ20" s="223"/>
      <c r="AK20" s="223"/>
      <c r="AL20" s="206"/>
      <c r="AM20" s="82"/>
      <c r="AN20" s="119"/>
      <c r="AO20" s="119"/>
      <c r="AP20" s="84"/>
      <c r="AQ20" s="125"/>
      <c r="AR20" s="133"/>
      <c r="AS20" s="78">
        <v>579800.9800000001</v>
      </c>
      <c r="AT20" s="288">
        <v>-559143.87999999989</v>
      </c>
      <c r="AU20" s="288">
        <f t="shared" si="10"/>
        <v>20657.10000000021</v>
      </c>
      <c r="AV20" s="71">
        <f t="shared" si="11"/>
        <v>39912.330000000249</v>
      </c>
      <c r="AW20" s="23"/>
      <c r="AX20" s="82"/>
      <c r="AY20" s="223"/>
      <c r="AZ20" s="223"/>
      <c r="BA20" s="223"/>
      <c r="BB20" s="223"/>
      <c r="BC20" s="223"/>
      <c r="BD20" s="223"/>
      <c r="BE20" s="83"/>
      <c r="BF20" s="78">
        <f t="shared" si="6"/>
        <v>579800.9800000001</v>
      </c>
      <c r="BG20" s="78">
        <f t="shared" si="7"/>
        <v>-559143.87999999989</v>
      </c>
      <c r="BH20" s="78">
        <f t="shared" si="8"/>
        <v>20657.10000000021</v>
      </c>
      <c r="BI20" s="78">
        <f t="shared" si="9"/>
        <v>39912.330000000249</v>
      </c>
    </row>
    <row r="21" spans="1:61" s="1" customFormat="1" ht="15" hidden="1" customHeight="1" outlineLevel="1">
      <c r="A21" s="35"/>
      <c r="B21" s="87"/>
      <c r="C21" s="36">
        <v>42156</v>
      </c>
      <c r="D21" s="203"/>
      <c r="E21" s="479"/>
      <c r="F21" s="203"/>
      <c r="G21" s="203"/>
      <c r="H21" s="147"/>
      <c r="I21" s="147"/>
      <c r="J21" s="147"/>
      <c r="K21" s="79"/>
      <c r="L21" s="147">
        <v>314105.92</v>
      </c>
      <c r="M21" s="147">
        <v>0</v>
      </c>
      <c r="N21" s="147">
        <v>0</v>
      </c>
      <c r="O21" s="148">
        <v>195692.30000000002</v>
      </c>
      <c r="P21" s="84"/>
      <c r="Q21" s="80"/>
      <c r="R21" s="208"/>
      <c r="S21" s="208"/>
      <c r="T21" s="208"/>
      <c r="U21" s="208"/>
      <c r="V21" s="208"/>
      <c r="W21" s="80"/>
      <c r="X21" s="82"/>
      <c r="Y21" s="189"/>
      <c r="Z21" s="189"/>
      <c r="AA21" s="223"/>
      <c r="AB21" s="223"/>
      <c r="AC21" s="103"/>
      <c r="AD21" s="223"/>
      <c r="AE21" s="223"/>
      <c r="AF21" s="191"/>
      <c r="AG21" s="83"/>
      <c r="AH21" s="119"/>
      <c r="AI21" s="223"/>
      <c r="AJ21" s="223"/>
      <c r="AK21" s="223"/>
      <c r="AL21" s="206"/>
      <c r="AM21" s="82"/>
      <c r="AN21" s="119"/>
      <c r="AO21" s="119"/>
      <c r="AP21" s="84"/>
      <c r="AQ21" s="125"/>
      <c r="AR21" s="133"/>
      <c r="AS21" s="78">
        <v>509798.22</v>
      </c>
      <c r="AT21" s="288">
        <v>-510482.68000000011</v>
      </c>
      <c r="AU21" s="288">
        <f t="shared" si="10"/>
        <v>-684.46000000013737</v>
      </c>
      <c r="AV21" s="71">
        <f t="shared" si="11"/>
        <v>39227.870000000112</v>
      </c>
      <c r="AW21" s="23"/>
      <c r="AX21" s="82"/>
      <c r="AY21" s="223"/>
      <c r="AZ21" s="223"/>
      <c r="BA21" s="223"/>
      <c r="BB21" s="223"/>
      <c r="BC21" s="223"/>
      <c r="BD21" s="223"/>
      <c r="BE21" s="83"/>
      <c r="BF21" s="78">
        <f t="shared" si="6"/>
        <v>509798.22</v>
      </c>
      <c r="BG21" s="78">
        <f t="shared" si="7"/>
        <v>-510482.68000000011</v>
      </c>
      <c r="BH21" s="78">
        <f t="shared" si="8"/>
        <v>-684.46000000013737</v>
      </c>
      <c r="BI21" s="78">
        <f t="shared" si="9"/>
        <v>39227.870000000112</v>
      </c>
    </row>
    <row r="22" spans="1:61" s="1" customFormat="1" ht="15" hidden="1" customHeight="1" outlineLevel="1">
      <c r="A22" s="35"/>
      <c r="B22" s="87"/>
      <c r="C22" s="36">
        <v>42186</v>
      </c>
      <c r="D22" s="203"/>
      <c r="E22" s="479"/>
      <c r="F22" s="203"/>
      <c r="G22" s="203"/>
      <c r="H22" s="147"/>
      <c r="I22" s="147"/>
      <c r="J22" s="147"/>
      <c r="K22" s="79"/>
      <c r="L22" s="147">
        <v>378768.18</v>
      </c>
      <c r="M22" s="147">
        <v>0</v>
      </c>
      <c r="N22" s="147">
        <v>364.53</v>
      </c>
      <c r="O22" s="148">
        <v>124705.75</v>
      </c>
      <c r="P22" s="84"/>
      <c r="Q22" s="80"/>
      <c r="R22" s="208"/>
      <c r="S22" s="208"/>
      <c r="T22" s="208"/>
      <c r="U22" s="208"/>
      <c r="V22" s="208"/>
      <c r="W22" s="80"/>
      <c r="X22" s="82"/>
      <c r="Y22" s="189"/>
      <c r="Z22" s="189"/>
      <c r="AA22" s="223"/>
      <c r="AB22" s="223"/>
      <c r="AC22" s="103"/>
      <c r="AD22" s="223"/>
      <c r="AE22" s="223"/>
      <c r="AF22" s="191"/>
      <c r="AG22" s="83"/>
      <c r="AH22" s="119"/>
      <c r="AI22" s="223"/>
      <c r="AJ22" s="223"/>
      <c r="AK22" s="223"/>
      <c r="AL22" s="206"/>
      <c r="AM22" s="82"/>
      <c r="AN22" s="119"/>
      <c r="AO22" s="119"/>
      <c r="AP22" s="84"/>
      <c r="AQ22" s="125"/>
      <c r="AR22" s="133"/>
      <c r="AS22" s="78">
        <v>503838.46</v>
      </c>
      <c r="AT22" s="288">
        <v>-508177.24999999994</v>
      </c>
      <c r="AU22" s="288">
        <f t="shared" si="10"/>
        <v>-4338.7899999999208</v>
      </c>
      <c r="AV22" s="71">
        <f t="shared" si="11"/>
        <v>34889.080000000191</v>
      </c>
      <c r="AW22" s="23"/>
      <c r="AX22" s="82"/>
      <c r="AY22" s="223"/>
      <c r="AZ22" s="223"/>
      <c r="BA22" s="223"/>
      <c r="BB22" s="223"/>
      <c r="BC22" s="223"/>
      <c r="BD22" s="223"/>
      <c r="BE22" s="83"/>
      <c r="BF22" s="78">
        <f t="shared" si="6"/>
        <v>503838.46</v>
      </c>
      <c r="BG22" s="78">
        <f t="shared" si="7"/>
        <v>-508177.24999999994</v>
      </c>
      <c r="BH22" s="78">
        <f t="shared" si="8"/>
        <v>-4338.7899999999208</v>
      </c>
      <c r="BI22" s="78">
        <f t="shared" si="9"/>
        <v>34889.080000000191</v>
      </c>
    </row>
    <row r="23" spans="1:61" s="1" customFormat="1" ht="15" hidden="1" customHeight="1" outlineLevel="1">
      <c r="A23" s="35"/>
      <c r="B23" s="87"/>
      <c r="C23" s="36">
        <v>42217</v>
      </c>
      <c r="D23" s="203"/>
      <c r="E23" s="479"/>
      <c r="F23" s="203"/>
      <c r="G23" s="203"/>
      <c r="H23" s="147"/>
      <c r="I23" s="147"/>
      <c r="J23" s="147"/>
      <c r="K23" s="79"/>
      <c r="L23" s="147">
        <v>421367.69</v>
      </c>
      <c r="M23" s="147">
        <v>0</v>
      </c>
      <c r="N23" s="147">
        <v>0</v>
      </c>
      <c r="O23" s="148">
        <v>177458.35</v>
      </c>
      <c r="P23" s="84"/>
      <c r="Q23" s="80"/>
      <c r="R23" s="208"/>
      <c r="S23" s="208"/>
      <c r="T23" s="208"/>
      <c r="U23" s="208"/>
      <c r="V23" s="208"/>
      <c r="W23" s="80"/>
      <c r="X23" s="82"/>
      <c r="Y23" s="189"/>
      <c r="Z23" s="189"/>
      <c r="AA23" s="223"/>
      <c r="AB23" s="223"/>
      <c r="AC23" s="103"/>
      <c r="AD23" s="223"/>
      <c r="AE23" s="223"/>
      <c r="AF23" s="191"/>
      <c r="AG23" s="83"/>
      <c r="AH23" s="119"/>
      <c r="AI23" s="223"/>
      <c r="AJ23" s="223"/>
      <c r="AK23" s="223"/>
      <c r="AL23" s="206"/>
      <c r="AM23" s="82"/>
      <c r="AN23" s="119"/>
      <c r="AO23" s="119"/>
      <c r="AP23" s="84"/>
      <c r="AQ23" s="125"/>
      <c r="AR23" s="133"/>
      <c r="AS23" s="78">
        <v>598826.04</v>
      </c>
      <c r="AT23" s="288">
        <v>-612083.2200000002</v>
      </c>
      <c r="AU23" s="288">
        <f t="shared" si="10"/>
        <v>-13257.180000000168</v>
      </c>
      <c r="AV23" s="71">
        <f t="shared" si="11"/>
        <v>21631.900000000023</v>
      </c>
      <c r="AW23" s="23"/>
      <c r="AX23" s="82"/>
      <c r="AY23" s="223"/>
      <c r="AZ23" s="223"/>
      <c r="BA23" s="223"/>
      <c r="BB23" s="223"/>
      <c r="BC23" s="223"/>
      <c r="BD23" s="223"/>
      <c r="BE23" s="83"/>
      <c r="BF23" s="78">
        <f t="shared" si="6"/>
        <v>598826.04</v>
      </c>
      <c r="BG23" s="78">
        <f t="shared" si="7"/>
        <v>-612083.2200000002</v>
      </c>
      <c r="BH23" s="78">
        <f t="shared" si="8"/>
        <v>-13257.180000000168</v>
      </c>
      <c r="BI23" s="78">
        <f t="shared" si="9"/>
        <v>21631.900000000023</v>
      </c>
    </row>
    <row r="24" spans="1:61" s="1" customFormat="1" ht="15" hidden="1" customHeight="1" outlineLevel="1">
      <c r="A24" s="35"/>
      <c r="B24" s="87"/>
      <c r="C24" s="36">
        <v>42248</v>
      </c>
      <c r="D24" s="203"/>
      <c r="E24" s="479"/>
      <c r="F24" s="203"/>
      <c r="G24" s="203"/>
      <c r="H24" s="147"/>
      <c r="I24" s="147"/>
      <c r="J24" s="147"/>
      <c r="K24" s="79"/>
      <c r="L24" s="147">
        <v>386104.01</v>
      </c>
      <c r="M24" s="147">
        <v>0</v>
      </c>
      <c r="N24" s="147">
        <v>0</v>
      </c>
      <c r="O24" s="148">
        <v>47261.62</v>
      </c>
      <c r="P24" s="84"/>
      <c r="Q24" s="80"/>
      <c r="R24" s="208"/>
      <c r="S24" s="208"/>
      <c r="T24" s="208"/>
      <c r="U24" s="208"/>
      <c r="V24" s="208"/>
      <c r="W24" s="80"/>
      <c r="X24" s="82"/>
      <c r="Y24" s="189"/>
      <c r="Z24" s="189"/>
      <c r="AA24" s="223"/>
      <c r="AB24" s="223"/>
      <c r="AC24" s="103"/>
      <c r="AD24" s="223"/>
      <c r="AE24" s="223"/>
      <c r="AF24" s="191"/>
      <c r="AG24" s="83"/>
      <c r="AH24" s="119"/>
      <c r="AI24" s="223"/>
      <c r="AJ24" s="223"/>
      <c r="AK24" s="223"/>
      <c r="AL24" s="206"/>
      <c r="AM24" s="82"/>
      <c r="AN24" s="119"/>
      <c r="AO24" s="119"/>
      <c r="AP24" s="84"/>
      <c r="AQ24" s="125"/>
      <c r="AR24" s="133"/>
      <c r="AS24" s="78">
        <v>433365.63</v>
      </c>
      <c r="AT24" s="288">
        <v>-461871.52999999997</v>
      </c>
      <c r="AU24" s="288">
        <f t="shared" si="10"/>
        <v>-28505.899999999965</v>
      </c>
      <c r="AV24" s="71">
        <f t="shared" si="11"/>
        <v>-6873.9999999999418</v>
      </c>
      <c r="AW24" s="23"/>
      <c r="AX24" s="82"/>
      <c r="AY24" s="223"/>
      <c r="AZ24" s="223"/>
      <c r="BA24" s="223"/>
      <c r="BB24" s="223"/>
      <c r="BC24" s="223"/>
      <c r="BD24" s="223"/>
      <c r="BE24" s="83"/>
      <c r="BF24" s="78">
        <f t="shared" si="6"/>
        <v>433365.63</v>
      </c>
      <c r="BG24" s="78">
        <f t="shared" si="7"/>
        <v>-461871.52999999997</v>
      </c>
      <c r="BH24" s="78">
        <f t="shared" si="8"/>
        <v>-28505.899999999965</v>
      </c>
      <c r="BI24" s="78">
        <f t="shared" si="9"/>
        <v>-6873.9999999999418</v>
      </c>
    </row>
    <row r="25" spans="1:61" s="1" customFormat="1" ht="15" hidden="1" customHeight="1" outlineLevel="1">
      <c r="A25" s="35"/>
      <c r="B25" s="87"/>
      <c r="C25" s="36">
        <v>42278</v>
      </c>
      <c r="D25" s="203"/>
      <c r="E25" s="479"/>
      <c r="F25" s="203"/>
      <c r="G25" s="203"/>
      <c r="H25" s="147"/>
      <c r="I25" s="147"/>
      <c r="J25" s="147"/>
      <c r="K25" s="79"/>
      <c r="L25" s="147">
        <v>547901.35000000009</v>
      </c>
      <c r="M25" s="147">
        <v>0</v>
      </c>
      <c r="N25" s="147">
        <v>943.46</v>
      </c>
      <c r="O25" s="148">
        <v>874.28</v>
      </c>
      <c r="P25" s="84"/>
      <c r="Q25" s="80"/>
      <c r="R25" s="208"/>
      <c r="S25" s="208"/>
      <c r="T25" s="208"/>
      <c r="U25" s="208"/>
      <c r="V25" s="208"/>
      <c r="W25" s="80"/>
      <c r="X25" s="82"/>
      <c r="Y25" s="189"/>
      <c r="Z25" s="189"/>
      <c r="AA25" s="223"/>
      <c r="AB25" s="223"/>
      <c r="AC25" s="103"/>
      <c r="AD25" s="223"/>
      <c r="AE25" s="223"/>
      <c r="AF25" s="191"/>
      <c r="AG25" s="83"/>
      <c r="AH25" s="119"/>
      <c r="AI25" s="223"/>
      <c r="AJ25" s="223"/>
      <c r="AK25" s="223"/>
      <c r="AL25" s="206"/>
      <c r="AM25" s="82"/>
      <c r="AN25" s="119"/>
      <c r="AO25" s="119"/>
      <c r="AP25" s="84"/>
      <c r="AQ25" s="125"/>
      <c r="AR25" s="133"/>
      <c r="AS25" s="78">
        <v>549719.09000000008</v>
      </c>
      <c r="AT25" s="288">
        <v>-520115.35</v>
      </c>
      <c r="AU25" s="288">
        <f t="shared" si="10"/>
        <v>29603.740000000107</v>
      </c>
      <c r="AV25" s="71">
        <f t="shared" si="11"/>
        <v>22729.740000000165</v>
      </c>
      <c r="AW25" s="23"/>
      <c r="AX25" s="82"/>
      <c r="AY25" s="223"/>
      <c r="AZ25" s="223"/>
      <c r="BA25" s="223"/>
      <c r="BB25" s="223"/>
      <c r="BC25" s="223"/>
      <c r="BD25" s="223"/>
      <c r="BE25" s="83"/>
      <c r="BF25" s="78">
        <f t="shared" si="6"/>
        <v>549719.09000000008</v>
      </c>
      <c r="BG25" s="78">
        <f t="shared" si="7"/>
        <v>-520115.35</v>
      </c>
      <c r="BH25" s="78">
        <f t="shared" si="8"/>
        <v>29603.740000000107</v>
      </c>
      <c r="BI25" s="78">
        <f t="shared" si="9"/>
        <v>22729.740000000165</v>
      </c>
    </row>
    <row r="26" spans="1:61" s="1" customFormat="1" ht="15" hidden="1" customHeight="1" outlineLevel="1">
      <c r="A26" s="35"/>
      <c r="B26" s="87"/>
      <c r="C26" s="36">
        <v>42309</v>
      </c>
      <c r="D26" s="203"/>
      <c r="E26" s="479"/>
      <c r="F26" s="203"/>
      <c r="G26" s="203"/>
      <c r="H26" s="147"/>
      <c r="I26" s="147"/>
      <c r="J26" s="147"/>
      <c r="K26" s="79"/>
      <c r="L26" s="147">
        <v>514013.68</v>
      </c>
      <c r="M26" s="147">
        <v>0</v>
      </c>
      <c r="N26" s="147">
        <v>1369.81</v>
      </c>
      <c r="O26" s="148">
        <v>461.77000000000004</v>
      </c>
      <c r="P26" s="84"/>
      <c r="Q26" s="80"/>
      <c r="R26" s="208"/>
      <c r="S26" s="208"/>
      <c r="T26" s="208"/>
      <c r="U26" s="208"/>
      <c r="V26" s="208"/>
      <c r="W26" s="80"/>
      <c r="X26" s="82"/>
      <c r="Y26" s="189"/>
      <c r="Z26" s="189"/>
      <c r="AA26" s="223"/>
      <c r="AB26" s="223"/>
      <c r="AC26" s="103"/>
      <c r="AD26" s="223"/>
      <c r="AE26" s="223"/>
      <c r="AF26" s="191"/>
      <c r="AG26" s="83"/>
      <c r="AH26" s="119"/>
      <c r="AI26" s="223"/>
      <c r="AJ26" s="223"/>
      <c r="AK26" s="223"/>
      <c r="AL26" s="206"/>
      <c r="AM26" s="82"/>
      <c r="AN26" s="119"/>
      <c r="AO26" s="119"/>
      <c r="AP26" s="84"/>
      <c r="AQ26" s="125"/>
      <c r="AR26" s="133"/>
      <c r="AS26" s="78">
        <v>515845.26</v>
      </c>
      <c r="AT26" s="288">
        <v>-512269.23999999993</v>
      </c>
      <c r="AU26" s="288">
        <f t="shared" si="10"/>
        <v>3576.0200000000768</v>
      </c>
      <c r="AV26" s="71">
        <f t="shared" si="11"/>
        <v>26305.760000000242</v>
      </c>
      <c r="AW26" s="23"/>
      <c r="AX26" s="82"/>
      <c r="AY26" s="223"/>
      <c r="AZ26" s="223"/>
      <c r="BA26" s="223"/>
      <c r="BB26" s="223"/>
      <c r="BC26" s="223"/>
      <c r="BD26" s="223"/>
      <c r="BE26" s="83"/>
      <c r="BF26" s="78">
        <f t="shared" si="6"/>
        <v>515845.26</v>
      </c>
      <c r="BG26" s="78">
        <f t="shared" si="7"/>
        <v>-512269.23999999993</v>
      </c>
      <c r="BH26" s="78">
        <f t="shared" si="8"/>
        <v>3576.0200000000768</v>
      </c>
      <c r="BI26" s="78">
        <f t="shared" si="9"/>
        <v>26305.760000000242</v>
      </c>
    </row>
    <row r="27" spans="1:61" s="1" customFormat="1" ht="15" hidden="1" customHeight="1" outlineLevel="1">
      <c r="A27" s="35"/>
      <c r="B27" s="87"/>
      <c r="C27" s="36">
        <v>42339</v>
      </c>
      <c r="D27" s="203"/>
      <c r="E27" s="479"/>
      <c r="F27" s="203"/>
      <c r="G27" s="203"/>
      <c r="H27" s="147"/>
      <c r="I27" s="147"/>
      <c r="J27" s="147"/>
      <c r="K27" s="79"/>
      <c r="L27" s="147">
        <v>637902.72</v>
      </c>
      <c r="M27" s="147">
        <v>0</v>
      </c>
      <c r="N27" s="147">
        <v>0</v>
      </c>
      <c r="O27" s="148">
        <v>-1396.77</v>
      </c>
      <c r="P27" s="84"/>
      <c r="Q27" s="80"/>
      <c r="R27" s="208"/>
      <c r="S27" s="208"/>
      <c r="T27" s="208"/>
      <c r="U27" s="208"/>
      <c r="V27" s="208"/>
      <c r="W27" s="80"/>
      <c r="X27" s="82"/>
      <c r="Y27" s="189"/>
      <c r="Z27" s="189"/>
      <c r="AA27" s="223"/>
      <c r="AB27" s="223"/>
      <c r="AC27" s="103"/>
      <c r="AD27" s="223"/>
      <c r="AE27" s="223"/>
      <c r="AF27" s="191"/>
      <c r="AG27" s="83"/>
      <c r="AH27" s="119"/>
      <c r="AI27" s="223"/>
      <c r="AJ27" s="223"/>
      <c r="AK27" s="223"/>
      <c r="AL27" s="206"/>
      <c r="AM27" s="82"/>
      <c r="AN27" s="119"/>
      <c r="AO27" s="119"/>
      <c r="AP27" s="84"/>
      <c r="AQ27" s="125"/>
      <c r="AR27" s="133"/>
      <c r="AS27" s="78">
        <v>636505.94999999995</v>
      </c>
      <c r="AT27" s="288">
        <v>-607758.85</v>
      </c>
      <c r="AU27" s="288">
        <f t="shared" si="10"/>
        <v>28747.099999999977</v>
      </c>
      <c r="AV27" s="71">
        <f t="shared" si="11"/>
        <v>55052.860000000219</v>
      </c>
      <c r="AW27" s="23"/>
      <c r="AX27" s="82"/>
      <c r="AY27" s="223"/>
      <c r="AZ27" s="223"/>
      <c r="BA27" s="223"/>
      <c r="BB27" s="223"/>
      <c r="BC27" s="223"/>
      <c r="BD27" s="223"/>
      <c r="BE27" s="83"/>
      <c r="BF27" s="78">
        <f t="shared" si="6"/>
        <v>636505.94999999995</v>
      </c>
      <c r="BG27" s="78">
        <f t="shared" si="7"/>
        <v>-607758.85</v>
      </c>
      <c r="BH27" s="78">
        <f t="shared" si="8"/>
        <v>28747.099999999977</v>
      </c>
      <c r="BI27" s="78">
        <f t="shared" si="9"/>
        <v>55052.860000000219</v>
      </c>
    </row>
    <row r="28" spans="1:61" s="1" customFormat="1" ht="15" hidden="1" customHeight="1" outlineLevel="1">
      <c r="A28" s="35"/>
      <c r="B28" s="87"/>
      <c r="C28" s="36">
        <v>42370</v>
      </c>
      <c r="D28" s="203"/>
      <c r="E28" s="479"/>
      <c r="F28" s="203"/>
      <c r="G28" s="203"/>
      <c r="H28" s="147"/>
      <c r="I28" s="147"/>
      <c r="J28" s="147"/>
      <c r="K28" s="79"/>
      <c r="L28" s="147">
        <v>600634.88</v>
      </c>
      <c r="M28" s="147">
        <v>0</v>
      </c>
      <c r="N28" s="147">
        <v>1948.74</v>
      </c>
      <c r="O28" s="148">
        <v>3657.41</v>
      </c>
      <c r="P28" s="84"/>
      <c r="Q28" s="80"/>
      <c r="R28" s="208"/>
      <c r="S28" s="208"/>
      <c r="T28" s="208"/>
      <c r="U28" s="208"/>
      <c r="V28" s="208"/>
      <c r="W28" s="80"/>
      <c r="X28" s="82"/>
      <c r="Y28" s="189"/>
      <c r="Z28" s="189"/>
      <c r="AA28" s="223"/>
      <c r="AB28" s="223"/>
      <c r="AC28" s="103"/>
      <c r="AD28" s="223"/>
      <c r="AE28" s="223"/>
      <c r="AF28" s="191"/>
      <c r="AG28" s="83"/>
      <c r="AH28" s="119"/>
      <c r="AI28" s="223"/>
      <c r="AJ28" s="223"/>
      <c r="AK28" s="223"/>
      <c r="AL28" s="206"/>
      <c r="AM28" s="82"/>
      <c r="AN28" s="119"/>
      <c r="AO28" s="119"/>
      <c r="AP28" s="84"/>
      <c r="AQ28" s="125"/>
      <c r="AR28" s="133"/>
      <c r="AS28" s="78">
        <v>606241.03</v>
      </c>
      <c r="AT28" s="288">
        <v>-632684.99000000011</v>
      </c>
      <c r="AU28" s="288">
        <f t="shared" si="10"/>
        <v>-26443.960000000079</v>
      </c>
      <c r="AV28" s="71">
        <f t="shared" si="11"/>
        <v>28608.90000000014</v>
      </c>
      <c r="AW28" s="23"/>
      <c r="AX28" s="82"/>
      <c r="AY28" s="223"/>
      <c r="AZ28" s="223"/>
      <c r="BA28" s="223"/>
      <c r="BB28" s="223"/>
      <c r="BC28" s="223"/>
      <c r="BD28" s="223"/>
      <c r="BE28" s="83"/>
      <c r="BF28" s="78">
        <f t="shared" si="6"/>
        <v>606241.03</v>
      </c>
      <c r="BG28" s="78">
        <f t="shared" si="7"/>
        <v>-632684.99000000011</v>
      </c>
      <c r="BH28" s="78">
        <f t="shared" si="8"/>
        <v>-26443.960000000079</v>
      </c>
      <c r="BI28" s="78">
        <f t="shared" si="9"/>
        <v>28608.90000000014</v>
      </c>
    </row>
    <row r="29" spans="1:61" s="1" customFormat="1" ht="15" hidden="1" customHeight="1" outlineLevel="1">
      <c r="A29" s="35"/>
      <c r="B29" s="87"/>
      <c r="C29" s="36">
        <v>42401</v>
      </c>
      <c r="D29" s="203"/>
      <c r="E29" s="479"/>
      <c r="F29" s="203"/>
      <c r="G29" s="203"/>
      <c r="H29" s="147"/>
      <c r="I29" s="147"/>
      <c r="J29" s="147"/>
      <c r="K29" s="79"/>
      <c r="L29" s="147">
        <v>688714.36</v>
      </c>
      <c r="M29" s="147">
        <v>0</v>
      </c>
      <c r="N29" s="147">
        <v>1128.92</v>
      </c>
      <c r="O29" s="148">
        <v>674.95</v>
      </c>
      <c r="P29" s="84"/>
      <c r="Q29" s="80"/>
      <c r="R29" s="208"/>
      <c r="S29" s="208"/>
      <c r="T29" s="208"/>
      <c r="U29" s="208"/>
      <c r="V29" s="208"/>
      <c r="W29" s="80"/>
      <c r="X29" s="82"/>
      <c r="Y29" s="189"/>
      <c r="Z29" s="189"/>
      <c r="AA29" s="223"/>
      <c r="AB29" s="223"/>
      <c r="AC29" s="103"/>
      <c r="AD29" s="223"/>
      <c r="AE29" s="223"/>
      <c r="AF29" s="191"/>
      <c r="AG29" s="83"/>
      <c r="AH29" s="119"/>
      <c r="AI29" s="223"/>
      <c r="AJ29" s="223"/>
      <c r="AK29" s="223"/>
      <c r="AL29" s="206"/>
      <c r="AM29" s="82"/>
      <c r="AN29" s="119"/>
      <c r="AO29" s="119"/>
      <c r="AP29" s="84"/>
      <c r="AQ29" s="125"/>
      <c r="AR29" s="133"/>
      <c r="AS29" s="78">
        <v>690518.23</v>
      </c>
      <c r="AT29" s="288">
        <v>-651824.38</v>
      </c>
      <c r="AU29" s="288">
        <f t="shared" si="10"/>
        <v>38693.849999999977</v>
      </c>
      <c r="AV29" s="71">
        <f t="shared" si="11"/>
        <v>67302.750000000116</v>
      </c>
      <c r="AW29" s="23"/>
      <c r="AX29" s="82"/>
      <c r="AY29" s="223"/>
      <c r="AZ29" s="223"/>
      <c r="BA29" s="223"/>
      <c r="BB29" s="223"/>
      <c r="BC29" s="223"/>
      <c r="BD29" s="223"/>
      <c r="BE29" s="83"/>
      <c r="BF29" s="78">
        <f t="shared" si="6"/>
        <v>690518.23</v>
      </c>
      <c r="BG29" s="78">
        <f t="shared" si="7"/>
        <v>-651824.38</v>
      </c>
      <c r="BH29" s="78">
        <f t="shared" si="8"/>
        <v>38693.849999999977</v>
      </c>
      <c r="BI29" s="78">
        <f t="shared" si="9"/>
        <v>67302.750000000116</v>
      </c>
    </row>
    <row r="30" spans="1:61" s="1" customFormat="1" ht="15" hidden="1" customHeight="1" outlineLevel="1">
      <c r="A30" s="35"/>
      <c r="B30" s="87"/>
      <c r="C30" s="36">
        <v>42430</v>
      </c>
      <c r="D30" s="203"/>
      <c r="E30" s="479"/>
      <c r="F30" s="203"/>
      <c r="G30" s="203"/>
      <c r="H30" s="147"/>
      <c r="I30" s="147"/>
      <c r="J30" s="147"/>
      <c r="K30" s="79"/>
      <c r="L30" s="147">
        <v>661405.02999999991</v>
      </c>
      <c r="M30" s="147">
        <v>0</v>
      </c>
      <c r="N30" s="147">
        <v>1005.25</v>
      </c>
      <c r="O30" s="148">
        <v>1362.46</v>
      </c>
      <c r="P30" s="84"/>
      <c r="Q30" s="80"/>
      <c r="R30" s="208"/>
      <c r="S30" s="208"/>
      <c r="T30" s="208"/>
      <c r="U30" s="208"/>
      <c r="V30" s="208"/>
      <c r="W30" s="80"/>
      <c r="X30" s="82"/>
      <c r="Y30" s="189"/>
      <c r="Z30" s="189"/>
      <c r="AA30" s="223"/>
      <c r="AB30" s="223"/>
      <c r="AC30" s="103"/>
      <c r="AD30" s="223"/>
      <c r="AE30" s="223"/>
      <c r="AF30" s="191"/>
      <c r="AG30" s="83"/>
      <c r="AH30" s="119"/>
      <c r="AI30" s="223"/>
      <c r="AJ30" s="223"/>
      <c r="AK30" s="223"/>
      <c r="AL30" s="206"/>
      <c r="AM30" s="82"/>
      <c r="AN30" s="119"/>
      <c r="AO30" s="119"/>
      <c r="AP30" s="84"/>
      <c r="AQ30" s="125"/>
      <c r="AR30" s="133"/>
      <c r="AS30" s="78">
        <v>663772.73999999987</v>
      </c>
      <c r="AT30" s="288">
        <v>-699575.84000000008</v>
      </c>
      <c r="AU30" s="288">
        <f t="shared" si="10"/>
        <v>-35803.10000000021</v>
      </c>
      <c r="AV30" s="71">
        <f t="shared" si="11"/>
        <v>31499.649999999907</v>
      </c>
      <c r="AW30" s="23"/>
      <c r="AX30" s="82"/>
      <c r="AY30" s="223"/>
      <c r="AZ30" s="223"/>
      <c r="BA30" s="223"/>
      <c r="BB30" s="223"/>
      <c r="BC30" s="223"/>
      <c r="BD30" s="223"/>
      <c r="BE30" s="83"/>
      <c r="BF30" s="78">
        <f t="shared" si="6"/>
        <v>663772.73999999987</v>
      </c>
      <c r="BG30" s="78">
        <f t="shared" si="7"/>
        <v>-699575.84000000008</v>
      </c>
      <c r="BH30" s="78">
        <f t="shared" si="8"/>
        <v>-35803.10000000021</v>
      </c>
      <c r="BI30" s="78">
        <f t="shared" si="9"/>
        <v>31499.649999999907</v>
      </c>
    </row>
    <row r="31" spans="1:61" s="1" customFormat="1" ht="15" hidden="1" customHeight="1" outlineLevel="1">
      <c r="A31" s="35"/>
      <c r="B31" s="87"/>
      <c r="C31" s="36">
        <v>42461</v>
      </c>
      <c r="D31" s="203"/>
      <c r="E31" s="479"/>
      <c r="F31" s="203"/>
      <c r="G31" s="203"/>
      <c r="H31" s="147"/>
      <c r="I31" s="147"/>
      <c r="J31" s="147"/>
      <c r="K31" s="79"/>
      <c r="L31" s="147">
        <v>722953.98</v>
      </c>
      <c r="M31" s="147">
        <v>0</v>
      </c>
      <c r="N31" s="147">
        <v>1005.25</v>
      </c>
      <c r="O31" s="148">
        <v>3264.27</v>
      </c>
      <c r="P31" s="84"/>
      <c r="Q31" s="80"/>
      <c r="R31" s="208"/>
      <c r="S31" s="208"/>
      <c r="T31" s="208"/>
      <c r="U31" s="208"/>
      <c r="V31" s="208"/>
      <c r="W31" s="80"/>
      <c r="X31" s="82"/>
      <c r="Y31" s="189"/>
      <c r="Z31" s="189"/>
      <c r="AA31" s="223"/>
      <c r="AB31" s="223"/>
      <c r="AC31" s="103"/>
      <c r="AD31" s="223"/>
      <c r="AE31" s="223"/>
      <c r="AF31" s="191"/>
      <c r="AG31" s="83"/>
      <c r="AH31" s="119"/>
      <c r="AI31" s="223"/>
      <c r="AJ31" s="223"/>
      <c r="AK31" s="223"/>
      <c r="AL31" s="206"/>
      <c r="AM31" s="82"/>
      <c r="AN31" s="119"/>
      <c r="AO31" s="119"/>
      <c r="AP31" s="84"/>
      <c r="AQ31" s="125"/>
      <c r="AR31" s="133"/>
      <c r="AS31" s="78">
        <v>727223.5</v>
      </c>
      <c r="AT31" s="288">
        <v>-715912.36</v>
      </c>
      <c r="AU31" s="288">
        <f t="shared" si="10"/>
        <v>11311.140000000014</v>
      </c>
      <c r="AV31" s="71">
        <f t="shared" si="11"/>
        <v>42810.789999999921</v>
      </c>
      <c r="AW31" s="23"/>
      <c r="AX31" s="82"/>
      <c r="AY31" s="223"/>
      <c r="AZ31" s="223"/>
      <c r="BA31" s="223"/>
      <c r="BB31" s="223"/>
      <c r="BC31" s="223"/>
      <c r="BD31" s="223"/>
      <c r="BE31" s="83"/>
      <c r="BF31" s="78">
        <f t="shared" si="6"/>
        <v>727223.5</v>
      </c>
      <c r="BG31" s="78">
        <f t="shared" si="7"/>
        <v>-715912.36</v>
      </c>
      <c r="BH31" s="78">
        <f t="shared" si="8"/>
        <v>11311.140000000014</v>
      </c>
      <c r="BI31" s="78">
        <f t="shared" si="9"/>
        <v>42810.789999999921</v>
      </c>
    </row>
    <row r="32" spans="1:61" s="1" customFormat="1" ht="15" hidden="1" customHeight="1" outlineLevel="1">
      <c r="A32" s="35"/>
      <c r="B32" s="87"/>
      <c r="C32" s="36">
        <v>42491</v>
      </c>
      <c r="D32" s="203"/>
      <c r="E32" s="479"/>
      <c r="F32" s="203"/>
      <c r="G32" s="203"/>
      <c r="H32" s="147"/>
      <c r="I32" s="147"/>
      <c r="J32" s="147"/>
      <c r="K32" s="79"/>
      <c r="L32" s="147">
        <v>721067.70000000007</v>
      </c>
      <c r="M32" s="147">
        <v>0</v>
      </c>
      <c r="N32" s="147">
        <v>0</v>
      </c>
      <c r="O32" s="148">
        <v>3017.13</v>
      </c>
      <c r="P32" s="84"/>
      <c r="Q32" s="80"/>
      <c r="R32" s="208"/>
      <c r="S32" s="208"/>
      <c r="T32" s="208"/>
      <c r="U32" s="208"/>
      <c r="V32" s="208"/>
      <c r="W32" s="80"/>
      <c r="X32" s="82"/>
      <c r="Y32" s="189"/>
      <c r="Z32" s="189"/>
      <c r="AA32" s="223"/>
      <c r="AB32" s="223"/>
      <c r="AC32" s="103"/>
      <c r="AD32" s="223"/>
      <c r="AE32" s="223"/>
      <c r="AF32" s="191"/>
      <c r="AG32" s="83"/>
      <c r="AH32" s="119"/>
      <c r="AI32" s="223"/>
      <c r="AJ32" s="223"/>
      <c r="AK32" s="223"/>
      <c r="AL32" s="206"/>
      <c r="AM32" s="82"/>
      <c r="AN32" s="119"/>
      <c r="AO32" s="119"/>
      <c r="AP32" s="84"/>
      <c r="AQ32" s="125"/>
      <c r="AR32" s="133"/>
      <c r="AS32" s="78">
        <v>724084.83000000007</v>
      </c>
      <c r="AT32" s="288">
        <v>-746449.33000000019</v>
      </c>
      <c r="AU32" s="288">
        <f t="shared" si="10"/>
        <v>-22364.500000000116</v>
      </c>
      <c r="AV32" s="71">
        <f t="shared" si="11"/>
        <v>20446.289999999804</v>
      </c>
      <c r="AW32" s="23"/>
      <c r="AX32" s="82"/>
      <c r="AY32" s="223"/>
      <c r="AZ32" s="223"/>
      <c r="BA32" s="223"/>
      <c r="BB32" s="223"/>
      <c r="BC32" s="223"/>
      <c r="BD32" s="223"/>
      <c r="BE32" s="83"/>
      <c r="BF32" s="78">
        <f t="shared" si="6"/>
        <v>724084.83000000007</v>
      </c>
      <c r="BG32" s="78">
        <f t="shared" si="7"/>
        <v>-746449.33000000019</v>
      </c>
      <c r="BH32" s="78">
        <f t="shared" si="8"/>
        <v>-22364.500000000116</v>
      </c>
      <c r="BI32" s="78">
        <f t="shared" si="9"/>
        <v>20446.289999999804</v>
      </c>
    </row>
    <row r="33" spans="1:61" s="1" customFormat="1" ht="15" hidden="1" customHeight="1" outlineLevel="1">
      <c r="A33" s="35"/>
      <c r="B33" s="87"/>
      <c r="C33" s="36">
        <v>42522</v>
      </c>
      <c r="D33" s="203"/>
      <c r="E33" s="479"/>
      <c r="F33" s="203"/>
      <c r="G33" s="203"/>
      <c r="H33" s="147"/>
      <c r="I33" s="147"/>
      <c r="J33" s="147"/>
      <c r="K33" s="79"/>
      <c r="L33" s="147">
        <v>872182.94</v>
      </c>
      <c r="M33" s="147">
        <v>0</v>
      </c>
      <c r="N33" s="147">
        <v>5616.05</v>
      </c>
      <c r="O33" s="148">
        <v>-574.67000000000007</v>
      </c>
      <c r="P33" s="84"/>
      <c r="Q33" s="80"/>
      <c r="R33" s="208"/>
      <c r="S33" s="208"/>
      <c r="T33" s="208"/>
      <c r="U33" s="208"/>
      <c r="V33" s="208"/>
      <c r="W33" s="80"/>
      <c r="X33" s="82"/>
      <c r="Y33" s="189"/>
      <c r="Z33" s="189"/>
      <c r="AA33" s="223"/>
      <c r="AB33" s="223"/>
      <c r="AC33" s="103"/>
      <c r="AD33" s="223"/>
      <c r="AE33" s="223"/>
      <c r="AF33" s="191"/>
      <c r="AG33" s="83"/>
      <c r="AH33" s="119"/>
      <c r="AI33" s="223"/>
      <c r="AJ33" s="223"/>
      <c r="AK33" s="223"/>
      <c r="AL33" s="206"/>
      <c r="AM33" s="82"/>
      <c r="AN33" s="119"/>
      <c r="AO33" s="119"/>
      <c r="AP33" s="84"/>
      <c r="AQ33" s="125"/>
      <c r="AR33" s="133"/>
      <c r="AS33" s="78">
        <v>877224.32</v>
      </c>
      <c r="AT33" s="288">
        <v>-797677.89000000025</v>
      </c>
      <c r="AU33" s="288">
        <f t="shared" si="10"/>
        <v>79546.429999999702</v>
      </c>
      <c r="AV33" s="71">
        <f t="shared" si="11"/>
        <v>99992.719999999506</v>
      </c>
      <c r="AW33" s="23"/>
      <c r="AX33" s="82"/>
      <c r="AY33" s="223"/>
      <c r="AZ33" s="223"/>
      <c r="BA33" s="223"/>
      <c r="BB33" s="223"/>
      <c r="BC33" s="223"/>
      <c r="BD33" s="223"/>
      <c r="BE33" s="83"/>
      <c r="BF33" s="78">
        <f t="shared" si="6"/>
        <v>877224.32</v>
      </c>
      <c r="BG33" s="78">
        <f t="shared" si="7"/>
        <v>-797677.89000000025</v>
      </c>
      <c r="BH33" s="78">
        <f t="shared" si="8"/>
        <v>79546.429999999702</v>
      </c>
      <c r="BI33" s="78">
        <f t="shared" si="9"/>
        <v>99992.719999999506</v>
      </c>
    </row>
    <row r="34" spans="1:61" s="1" customFormat="1" ht="15" hidden="1" customHeight="1" outlineLevel="1">
      <c r="A34" s="35"/>
      <c r="B34" s="87"/>
      <c r="C34" s="36">
        <v>42552</v>
      </c>
      <c r="D34" s="203"/>
      <c r="E34" s="479"/>
      <c r="F34" s="203"/>
      <c r="G34" s="203"/>
      <c r="H34" s="147"/>
      <c r="I34" s="147"/>
      <c r="J34" s="147"/>
      <c r="K34" s="79"/>
      <c r="L34" s="147">
        <v>847862.13</v>
      </c>
      <c r="M34" s="147">
        <v>0</v>
      </c>
      <c r="N34" s="147">
        <v>1005.44</v>
      </c>
      <c r="O34" s="148">
        <v>-34146.81</v>
      </c>
      <c r="P34" s="84"/>
      <c r="Q34" s="80"/>
      <c r="R34" s="208"/>
      <c r="S34" s="208"/>
      <c r="T34" s="208"/>
      <c r="U34" s="208"/>
      <c r="V34" s="208"/>
      <c r="W34" s="80"/>
      <c r="X34" s="82"/>
      <c r="Y34" s="189"/>
      <c r="Z34" s="189"/>
      <c r="AA34" s="223"/>
      <c r="AB34" s="223"/>
      <c r="AC34" s="103"/>
      <c r="AD34" s="223"/>
      <c r="AE34" s="223"/>
      <c r="AF34" s="191"/>
      <c r="AG34" s="83"/>
      <c r="AH34" s="119"/>
      <c r="AI34" s="223"/>
      <c r="AJ34" s="223"/>
      <c r="AK34" s="223"/>
      <c r="AL34" s="206"/>
      <c r="AM34" s="82"/>
      <c r="AN34" s="119"/>
      <c r="AO34" s="119"/>
      <c r="AP34" s="84"/>
      <c r="AQ34" s="125"/>
      <c r="AR34" s="133"/>
      <c r="AS34" s="78">
        <v>814720.76</v>
      </c>
      <c r="AT34" s="288">
        <v>-874045.94</v>
      </c>
      <c r="AU34" s="288">
        <f t="shared" si="10"/>
        <v>-59325.179999999935</v>
      </c>
      <c r="AV34" s="71">
        <f t="shared" si="11"/>
        <v>40667.539999999572</v>
      </c>
      <c r="AW34" s="23"/>
      <c r="AX34" s="82"/>
      <c r="AY34" s="223"/>
      <c r="AZ34" s="223"/>
      <c r="BA34" s="223"/>
      <c r="BB34" s="223"/>
      <c r="BC34" s="223"/>
      <c r="BD34" s="223"/>
      <c r="BE34" s="83"/>
      <c r="BF34" s="78">
        <f t="shared" si="6"/>
        <v>814720.76</v>
      </c>
      <c r="BG34" s="78">
        <f t="shared" si="7"/>
        <v>-874045.94</v>
      </c>
      <c r="BH34" s="78">
        <f t="shared" si="8"/>
        <v>-59325.179999999935</v>
      </c>
      <c r="BI34" s="78">
        <f t="shared" si="9"/>
        <v>40667.539999999572</v>
      </c>
    </row>
    <row r="35" spans="1:61" s="1" customFormat="1" ht="15" hidden="1" customHeight="1" outlineLevel="1">
      <c r="A35" s="35"/>
      <c r="B35" s="87"/>
      <c r="C35" s="36">
        <v>42583</v>
      </c>
      <c r="D35" s="203"/>
      <c r="E35" s="479"/>
      <c r="F35" s="203"/>
      <c r="G35" s="203"/>
      <c r="H35" s="147"/>
      <c r="I35" s="147"/>
      <c r="J35" s="147"/>
      <c r="K35" s="79"/>
      <c r="L35" s="147">
        <v>903317.5</v>
      </c>
      <c r="M35" s="147">
        <v>0</v>
      </c>
      <c r="N35" s="147">
        <v>453.33</v>
      </c>
      <c r="O35" s="148">
        <v>-7647.2300000000005</v>
      </c>
      <c r="P35" s="84"/>
      <c r="Q35" s="80"/>
      <c r="R35" s="208"/>
      <c r="S35" s="208"/>
      <c r="T35" s="208"/>
      <c r="U35" s="208"/>
      <c r="V35" s="208"/>
      <c r="W35" s="80"/>
      <c r="X35" s="82"/>
      <c r="Y35" s="189"/>
      <c r="Z35" s="189"/>
      <c r="AA35" s="223"/>
      <c r="AB35" s="223"/>
      <c r="AC35" s="103"/>
      <c r="AD35" s="223"/>
      <c r="AE35" s="223"/>
      <c r="AF35" s="191"/>
      <c r="AG35" s="83"/>
      <c r="AH35" s="119"/>
      <c r="AI35" s="223"/>
      <c r="AJ35" s="223"/>
      <c r="AK35" s="223"/>
      <c r="AL35" s="206"/>
      <c r="AM35" s="82"/>
      <c r="AN35" s="119"/>
      <c r="AO35" s="119"/>
      <c r="AP35" s="84"/>
      <c r="AQ35" s="125"/>
      <c r="AR35" s="133"/>
      <c r="AS35" s="78">
        <v>896123.6</v>
      </c>
      <c r="AT35" s="288">
        <v>-907327.80999999994</v>
      </c>
      <c r="AU35" s="288">
        <f t="shared" si="10"/>
        <v>-11204.209999999963</v>
      </c>
      <c r="AV35" s="71">
        <f t="shared" si="11"/>
        <v>29463.329999999609</v>
      </c>
      <c r="AW35" s="23"/>
      <c r="AX35" s="82"/>
      <c r="AY35" s="223"/>
      <c r="AZ35" s="223"/>
      <c r="BA35" s="223"/>
      <c r="BB35" s="223"/>
      <c r="BC35" s="223"/>
      <c r="BD35" s="223"/>
      <c r="BE35" s="83"/>
      <c r="BF35" s="78">
        <f t="shared" si="6"/>
        <v>896123.6</v>
      </c>
      <c r="BG35" s="78">
        <f t="shared" si="7"/>
        <v>-907327.80999999994</v>
      </c>
      <c r="BH35" s="78">
        <f t="shared" si="8"/>
        <v>-11204.209999999963</v>
      </c>
      <c r="BI35" s="78">
        <f t="shared" si="9"/>
        <v>29463.329999999609</v>
      </c>
    </row>
    <row r="36" spans="1:61" s="1" customFormat="1" ht="15" hidden="1" customHeight="1" outlineLevel="1">
      <c r="A36" s="35"/>
      <c r="B36" s="87"/>
      <c r="C36" s="36">
        <v>42614</v>
      </c>
      <c r="D36" s="203"/>
      <c r="E36" s="479"/>
      <c r="F36" s="203"/>
      <c r="G36" s="203"/>
      <c r="H36" s="147"/>
      <c r="I36" s="147"/>
      <c r="J36" s="147"/>
      <c r="K36" s="79"/>
      <c r="L36" s="147">
        <v>915733.84000000008</v>
      </c>
      <c r="M36" s="147">
        <v>0</v>
      </c>
      <c r="N36" s="147">
        <v>0</v>
      </c>
      <c r="O36" s="148">
        <v>26693.429999999997</v>
      </c>
      <c r="P36" s="84"/>
      <c r="Q36" s="80"/>
      <c r="R36" s="208"/>
      <c r="S36" s="208"/>
      <c r="T36" s="208"/>
      <c r="U36" s="208"/>
      <c r="V36" s="208"/>
      <c r="W36" s="80"/>
      <c r="X36" s="82"/>
      <c r="Y36" s="189"/>
      <c r="Z36" s="189"/>
      <c r="AA36" s="223"/>
      <c r="AB36" s="223"/>
      <c r="AC36" s="103"/>
      <c r="AD36" s="223"/>
      <c r="AE36" s="223"/>
      <c r="AF36" s="191"/>
      <c r="AG36" s="83"/>
      <c r="AH36" s="119"/>
      <c r="AI36" s="223"/>
      <c r="AJ36" s="223"/>
      <c r="AK36" s="223"/>
      <c r="AL36" s="206"/>
      <c r="AM36" s="82"/>
      <c r="AN36" s="119"/>
      <c r="AO36" s="119"/>
      <c r="AP36" s="84"/>
      <c r="AQ36" s="125"/>
      <c r="AR36" s="133"/>
      <c r="AS36" s="78">
        <v>942427.27000000014</v>
      </c>
      <c r="AT36" s="288">
        <v>-931849.64</v>
      </c>
      <c r="AU36" s="288">
        <f t="shared" si="10"/>
        <v>10577.630000000121</v>
      </c>
      <c r="AV36" s="71">
        <f t="shared" si="11"/>
        <v>40040.95999999973</v>
      </c>
      <c r="AW36" s="23"/>
      <c r="AX36" s="82"/>
      <c r="AY36" s="223"/>
      <c r="AZ36" s="223"/>
      <c r="BA36" s="223"/>
      <c r="BB36" s="223"/>
      <c r="BC36" s="223"/>
      <c r="BD36" s="223"/>
      <c r="BE36" s="83"/>
      <c r="BF36" s="78">
        <f t="shared" si="6"/>
        <v>942427.27000000014</v>
      </c>
      <c r="BG36" s="78">
        <f t="shared" si="7"/>
        <v>-931849.64</v>
      </c>
      <c r="BH36" s="78">
        <f t="shared" si="8"/>
        <v>10577.630000000121</v>
      </c>
      <c r="BI36" s="78">
        <f t="shared" si="9"/>
        <v>40040.95999999973</v>
      </c>
    </row>
    <row r="37" spans="1:61" s="1" customFormat="1" ht="15" hidden="1" customHeight="1" outlineLevel="1">
      <c r="A37" s="35"/>
      <c r="B37" s="87"/>
      <c r="C37" s="36">
        <v>42644</v>
      </c>
      <c r="D37" s="203"/>
      <c r="E37" s="479"/>
      <c r="F37" s="203"/>
      <c r="G37" s="203"/>
      <c r="H37" s="147"/>
      <c r="I37" s="147"/>
      <c r="J37" s="147"/>
      <c r="K37" s="79"/>
      <c r="L37" s="147">
        <v>1057745.6400000001</v>
      </c>
      <c r="M37" s="147">
        <v>0</v>
      </c>
      <c r="N37" s="147">
        <v>2511.16</v>
      </c>
      <c r="O37" s="148">
        <v>-9906.7200000000012</v>
      </c>
      <c r="P37" s="84"/>
      <c r="Q37" s="80"/>
      <c r="R37" s="208"/>
      <c r="S37" s="208"/>
      <c r="T37" s="208"/>
      <c r="U37" s="208"/>
      <c r="V37" s="208"/>
      <c r="W37" s="80"/>
      <c r="X37" s="82"/>
      <c r="Y37" s="189"/>
      <c r="Z37" s="189"/>
      <c r="AA37" s="223"/>
      <c r="AB37" s="223"/>
      <c r="AC37" s="103"/>
      <c r="AD37" s="223"/>
      <c r="AE37" s="223"/>
      <c r="AF37" s="191"/>
      <c r="AG37" s="83"/>
      <c r="AH37" s="119"/>
      <c r="AI37" s="223"/>
      <c r="AJ37" s="223"/>
      <c r="AK37" s="223"/>
      <c r="AL37" s="206"/>
      <c r="AM37" s="82"/>
      <c r="AN37" s="119"/>
      <c r="AO37" s="119"/>
      <c r="AP37" s="84"/>
      <c r="AQ37" s="125"/>
      <c r="AR37" s="133"/>
      <c r="AS37" s="78">
        <v>1050350.0800000001</v>
      </c>
      <c r="AT37" s="288">
        <v>-1015300.4600000001</v>
      </c>
      <c r="AU37" s="288">
        <f t="shared" si="10"/>
        <v>35049.619999999995</v>
      </c>
      <c r="AV37" s="71">
        <f t="shared" si="11"/>
        <v>75090.579999999725</v>
      </c>
      <c r="AW37" s="23"/>
      <c r="AX37" s="82"/>
      <c r="AY37" s="223"/>
      <c r="AZ37" s="223"/>
      <c r="BA37" s="223"/>
      <c r="BB37" s="223"/>
      <c r="BC37" s="223"/>
      <c r="BD37" s="223"/>
      <c r="BE37" s="83"/>
      <c r="BF37" s="78">
        <f t="shared" ref="BF37:BF57" si="12">AS37</f>
        <v>1050350.0800000001</v>
      </c>
      <c r="BG37" s="78">
        <f t="shared" ref="BG37:BG57" si="13">AT37</f>
        <v>-1015300.4600000001</v>
      </c>
      <c r="BH37" s="78">
        <f t="shared" ref="BH37:BH57" si="14">AU37</f>
        <v>35049.619999999995</v>
      </c>
      <c r="BI37" s="78">
        <f t="shared" ref="BI37:BI57" si="15">AV37</f>
        <v>75090.579999999725</v>
      </c>
    </row>
    <row r="38" spans="1:61" s="1" customFormat="1" ht="15" hidden="1" customHeight="1" outlineLevel="1">
      <c r="A38" s="35"/>
      <c r="B38" s="87"/>
      <c r="C38" s="36">
        <v>42675</v>
      </c>
      <c r="D38" s="203"/>
      <c r="E38" s="479"/>
      <c r="F38" s="203"/>
      <c r="G38" s="203"/>
      <c r="H38" s="147"/>
      <c r="I38" s="147"/>
      <c r="J38" s="147"/>
      <c r="K38" s="79"/>
      <c r="L38" s="147">
        <v>1087359.1600000001</v>
      </c>
      <c r="M38" s="147">
        <v>0</v>
      </c>
      <c r="N38" s="147">
        <v>0</v>
      </c>
      <c r="O38" s="148">
        <v>-5039.55</v>
      </c>
      <c r="P38" s="84"/>
      <c r="Q38" s="80"/>
      <c r="R38" s="208"/>
      <c r="S38" s="208"/>
      <c r="T38" s="208"/>
      <c r="U38" s="208"/>
      <c r="V38" s="208"/>
      <c r="W38" s="80"/>
      <c r="X38" s="82"/>
      <c r="Y38" s="189"/>
      <c r="Z38" s="189"/>
      <c r="AA38" s="223"/>
      <c r="AB38" s="223"/>
      <c r="AC38" s="103"/>
      <c r="AD38" s="223"/>
      <c r="AE38" s="223"/>
      <c r="AF38" s="191"/>
      <c r="AG38" s="83"/>
      <c r="AH38" s="119"/>
      <c r="AI38" s="223"/>
      <c r="AJ38" s="223"/>
      <c r="AK38" s="223"/>
      <c r="AL38" s="206"/>
      <c r="AM38" s="82"/>
      <c r="AN38" s="119"/>
      <c r="AO38" s="119"/>
      <c r="AP38" s="84"/>
      <c r="AQ38" s="125"/>
      <c r="AR38" s="133"/>
      <c r="AS38" s="78">
        <v>1082319.6100000001</v>
      </c>
      <c r="AT38" s="288">
        <v>-1030723.64</v>
      </c>
      <c r="AU38" s="288">
        <f t="shared" si="10"/>
        <v>51595.970000000088</v>
      </c>
      <c r="AV38" s="71">
        <f t="shared" si="11"/>
        <v>126686.54999999981</v>
      </c>
      <c r="AW38" s="23"/>
      <c r="AX38" s="82"/>
      <c r="AY38" s="223"/>
      <c r="AZ38" s="223"/>
      <c r="BA38" s="223"/>
      <c r="BB38" s="223"/>
      <c r="BC38" s="223"/>
      <c r="BD38" s="223"/>
      <c r="BE38" s="83"/>
      <c r="BF38" s="78">
        <f t="shared" si="12"/>
        <v>1082319.6100000001</v>
      </c>
      <c r="BG38" s="78">
        <f t="shared" si="13"/>
        <v>-1030723.64</v>
      </c>
      <c r="BH38" s="78">
        <f t="shared" si="14"/>
        <v>51595.970000000088</v>
      </c>
      <c r="BI38" s="78">
        <f t="shared" si="15"/>
        <v>126686.54999999981</v>
      </c>
    </row>
    <row r="39" spans="1:61" s="1" customFormat="1" ht="15" hidden="1" customHeight="1" outlineLevel="1">
      <c r="A39" s="35"/>
      <c r="B39" s="87"/>
      <c r="C39" s="36">
        <v>42705</v>
      </c>
      <c r="D39" s="203"/>
      <c r="E39" s="479"/>
      <c r="F39" s="203"/>
      <c r="G39" s="203"/>
      <c r="H39" s="147"/>
      <c r="I39" s="147"/>
      <c r="J39" s="147"/>
      <c r="K39" s="79"/>
      <c r="L39" s="147">
        <v>1030628.8200000001</v>
      </c>
      <c r="M39" s="147">
        <v>0</v>
      </c>
      <c r="N39" s="147">
        <v>0</v>
      </c>
      <c r="O39" s="148">
        <v>-924.15999999999985</v>
      </c>
      <c r="P39" s="84"/>
      <c r="Q39" s="80"/>
      <c r="R39" s="208"/>
      <c r="S39" s="208"/>
      <c r="T39" s="208"/>
      <c r="U39" s="208"/>
      <c r="V39" s="208"/>
      <c r="W39" s="80"/>
      <c r="X39" s="82"/>
      <c r="Y39" s="189"/>
      <c r="Z39" s="189"/>
      <c r="AA39" s="223"/>
      <c r="AB39" s="223"/>
      <c r="AC39" s="103"/>
      <c r="AD39" s="223"/>
      <c r="AE39" s="223"/>
      <c r="AF39" s="191"/>
      <c r="AG39" s="83"/>
      <c r="AH39" s="119"/>
      <c r="AI39" s="223"/>
      <c r="AJ39" s="223"/>
      <c r="AK39" s="223"/>
      <c r="AL39" s="206"/>
      <c r="AM39" s="82"/>
      <c r="AN39" s="119"/>
      <c r="AO39" s="119"/>
      <c r="AP39" s="84"/>
      <c r="AQ39" s="125"/>
      <c r="AR39" s="133"/>
      <c r="AS39" s="78">
        <v>1029704.66</v>
      </c>
      <c r="AT39" s="288">
        <v>-1059192.21</v>
      </c>
      <c r="AU39" s="288">
        <f t="shared" si="10"/>
        <v>-29487.54999999993</v>
      </c>
      <c r="AV39" s="71">
        <f t="shared" si="11"/>
        <v>97198.999999999884</v>
      </c>
      <c r="AW39" s="23"/>
      <c r="AX39" s="82"/>
      <c r="AY39" s="223"/>
      <c r="AZ39" s="223"/>
      <c r="BA39" s="223"/>
      <c r="BB39" s="223"/>
      <c r="BC39" s="223"/>
      <c r="BD39" s="223"/>
      <c r="BE39" s="83"/>
      <c r="BF39" s="78">
        <f t="shared" si="12"/>
        <v>1029704.66</v>
      </c>
      <c r="BG39" s="78">
        <f t="shared" si="13"/>
        <v>-1059192.21</v>
      </c>
      <c r="BH39" s="78">
        <f t="shared" si="14"/>
        <v>-29487.54999999993</v>
      </c>
      <c r="BI39" s="78">
        <f t="shared" si="15"/>
        <v>97198.999999999884</v>
      </c>
    </row>
    <row r="40" spans="1:61" s="1" customFormat="1" ht="15" hidden="1" customHeight="1" outlineLevel="1">
      <c r="A40" s="35"/>
      <c r="B40" s="87"/>
      <c r="C40" s="36">
        <v>42736</v>
      </c>
      <c r="D40" s="203"/>
      <c r="E40" s="479"/>
      <c r="F40" s="203"/>
      <c r="G40" s="203"/>
      <c r="H40" s="147"/>
      <c r="I40" s="147"/>
      <c r="J40" s="147"/>
      <c r="K40" s="79"/>
      <c r="L40" s="147">
        <v>1195225.1099999999</v>
      </c>
      <c r="M40" s="147">
        <v>0</v>
      </c>
      <c r="N40" s="147">
        <v>0</v>
      </c>
      <c r="O40" s="148">
        <v>-2637.26</v>
      </c>
      <c r="P40" s="84"/>
      <c r="Q40" s="80"/>
      <c r="R40" s="208"/>
      <c r="S40" s="208"/>
      <c r="T40" s="208"/>
      <c r="U40" s="208"/>
      <c r="V40" s="208"/>
      <c r="W40" s="80"/>
      <c r="X40" s="82"/>
      <c r="Y40" s="189"/>
      <c r="Z40" s="189"/>
      <c r="AA40" s="223"/>
      <c r="AB40" s="223"/>
      <c r="AC40" s="103"/>
      <c r="AD40" s="223"/>
      <c r="AE40" s="223"/>
      <c r="AF40" s="191"/>
      <c r="AG40" s="83"/>
      <c r="AH40" s="119"/>
      <c r="AI40" s="223"/>
      <c r="AJ40" s="223"/>
      <c r="AK40" s="223"/>
      <c r="AL40" s="206"/>
      <c r="AM40" s="82"/>
      <c r="AN40" s="119"/>
      <c r="AO40" s="119"/>
      <c r="AP40" s="84"/>
      <c r="AQ40" s="125"/>
      <c r="AR40" s="133"/>
      <c r="AS40" s="78">
        <v>1192587.8499999999</v>
      </c>
      <c r="AT40" s="288">
        <v>-1182796.6499999999</v>
      </c>
      <c r="AU40" s="288">
        <f t="shared" si="10"/>
        <v>9791.1999999999534</v>
      </c>
      <c r="AV40" s="71">
        <f t="shared" si="11"/>
        <v>106990.19999999984</v>
      </c>
      <c r="AW40" s="23"/>
      <c r="AX40" s="82"/>
      <c r="AY40" s="223"/>
      <c r="AZ40" s="223"/>
      <c r="BA40" s="223"/>
      <c r="BB40" s="223"/>
      <c r="BC40" s="223"/>
      <c r="BD40" s="223"/>
      <c r="BE40" s="83"/>
      <c r="BF40" s="78">
        <f t="shared" si="12"/>
        <v>1192587.8499999999</v>
      </c>
      <c r="BG40" s="78">
        <f t="shared" si="13"/>
        <v>-1182796.6499999999</v>
      </c>
      <c r="BH40" s="78">
        <f t="shared" si="14"/>
        <v>9791.1999999999534</v>
      </c>
      <c r="BI40" s="78">
        <f t="shared" si="15"/>
        <v>106990.19999999984</v>
      </c>
    </row>
    <row r="41" spans="1:61" s="1" customFormat="1" ht="15" hidden="1" customHeight="1" outlineLevel="1">
      <c r="A41" s="35"/>
      <c r="B41" s="87"/>
      <c r="C41" s="36">
        <v>42767</v>
      </c>
      <c r="D41" s="203"/>
      <c r="E41" s="479"/>
      <c r="F41" s="203"/>
      <c r="G41" s="203"/>
      <c r="H41" s="147"/>
      <c r="I41" s="147"/>
      <c r="J41" s="147"/>
      <c r="K41" s="79"/>
      <c r="L41" s="147">
        <v>1206005.1400000001</v>
      </c>
      <c r="M41" s="147">
        <v>550000</v>
      </c>
      <c r="N41" s="147">
        <v>0</v>
      </c>
      <c r="O41" s="148">
        <v>11163.52</v>
      </c>
      <c r="P41" s="84"/>
      <c r="Q41" s="80"/>
      <c r="R41" s="208"/>
      <c r="S41" s="208"/>
      <c r="T41" s="208"/>
      <c r="U41" s="208"/>
      <c r="V41" s="208"/>
      <c r="W41" s="80"/>
      <c r="X41" s="82"/>
      <c r="Y41" s="189"/>
      <c r="Z41" s="189"/>
      <c r="AA41" s="223"/>
      <c r="AB41" s="223"/>
      <c r="AC41" s="103"/>
      <c r="AD41" s="223"/>
      <c r="AE41" s="223"/>
      <c r="AF41" s="191"/>
      <c r="AG41" s="83"/>
      <c r="AH41" s="119"/>
      <c r="AI41" s="223"/>
      <c r="AJ41" s="223"/>
      <c r="AK41" s="223"/>
      <c r="AL41" s="206"/>
      <c r="AM41" s="82"/>
      <c r="AN41" s="119"/>
      <c r="AO41" s="119"/>
      <c r="AP41" s="84"/>
      <c r="AQ41" s="125"/>
      <c r="AR41" s="133"/>
      <c r="AS41" s="78">
        <v>1767168.6600000001</v>
      </c>
      <c r="AT41" s="288">
        <v>-1732228.8200000005</v>
      </c>
      <c r="AU41" s="288">
        <f t="shared" si="10"/>
        <v>34939.839999999618</v>
      </c>
      <c r="AV41" s="71">
        <f t="shared" si="11"/>
        <v>141930.03999999946</v>
      </c>
      <c r="AW41" s="23"/>
      <c r="AX41" s="82"/>
      <c r="AY41" s="223"/>
      <c r="AZ41" s="223"/>
      <c r="BA41" s="223"/>
      <c r="BB41" s="223"/>
      <c r="BC41" s="223"/>
      <c r="BD41" s="223"/>
      <c r="BE41" s="83"/>
      <c r="BF41" s="78">
        <f t="shared" si="12"/>
        <v>1767168.6600000001</v>
      </c>
      <c r="BG41" s="78">
        <f t="shared" si="13"/>
        <v>-1732228.8200000005</v>
      </c>
      <c r="BH41" s="78">
        <f t="shared" si="14"/>
        <v>34939.839999999618</v>
      </c>
      <c r="BI41" s="78">
        <f t="shared" si="15"/>
        <v>141930.03999999946</v>
      </c>
    </row>
    <row r="42" spans="1:61" s="1" customFormat="1" ht="15" hidden="1" customHeight="1" outlineLevel="1">
      <c r="A42" s="35"/>
      <c r="B42" s="87"/>
      <c r="C42" s="36">
        <v>42795</v>
      </c>
      <c r="D42" s="203"/>
      <c r="E42" s="479"/>
      <c r="F42" s="203"/>
      <c r="G42" s="203"/>
      <c r="H42" s="147"/>
      <c r="I42" s="147"/>
      <c r="J42" s="147"/>
      <c r="K42" s="79"/>
      <c r="L42" s="147">
        <v>1352669.62</v>
      </c>
      <c r="M42" s="147">
        <v>450000</v>
      </c>
      <c r="N42" s="147">
        <v>0</v>
      </c>
      <c r="O42" s="148">
        <v>6024.6200000000008</v>
      </c>
      <c r="P42" s="84"/>
      <c r="Q42" s="80"/>
      <c r="R42" s="208"/>
      <c r="S42" s="208"/>
      <c r="T42" s="208"/>
      <c r="U42" s="208"/>
      <c r="V42" s="208"/>
      <c r="W42" s="80"/>
      <c r="X42" s="82"/>
      <c r="Y42" s="189"/>
      <c r="Z42" s="189"/>
      <c r="AA42" s="223"/>
      <c r="AB42" s="223"/>
      <c r="AC42" s="103"/>
      <c r="AD42" s="223"/>
      <c r="AE42" s="223"/>
      <c r="AF42" s="191"/>
      <c r="AG42" s="83"/>
      <c r="AH42" s="119"/>
      <c r="AI42" s="223"/>
      <c r="AJ42" s="223"/>
      <c r="AK42" s="223"/>
      <c r="AL42" s="206"/>
      <c r="AM42" s="82"/>
      <c r="AN42" s="119"/>
      <c r="AO42" s="119"/>
      <c r="AP42" s="84"/>
      <c r="AQ42" s="125"/>
      <c r="AR42" s="133"/>
      <c r="AS42" s="78">
        <v>1808694.2400000002</v>
      </c>
      <c r="AT42" s="288">
        <v>-1876252.4</v>
      </c>
      <c r="AU42" s="288">
        <f t="shared" si="10"/>
        <v>-67558.159999999683</v>
      </c>
      <c r="AV42" s="71">
        <f t="shared" si="11"/>
        <v>74371.879999999772</v>
      </c>
      <c r="AW42" s="23"/>
      <c r="AX42" s="82"/>
      <c r="AY42" s="223"/>
      <c r="AZ42" s="223"/>
      <c r="BA42" s="223"/>
      <c r="BB42" s="223"/>
      <c r="BC42" s="223"/>
      <c r="BD42" s="223"/>
      <c r="BE42" s="83"/>
      <c r="BF42" s="78">
        <f t="shared" si="12"/>
        <v>1808694.2400000002</v>
      </c>
      <c r="BG42" s="78">
        <f t="shared" si="13"/>
        <v>-1876252.4</v>
      </c>
      <c r="BH42" s="78">
        <f t="shared" si="14"/>
        <v>-67558.159999999683</v>
      </c>
      <c r="BI42" s="78">
        <f t="shared" si="15"/>
        <v>74371.879999999772</v>
      </c>
    </row>
    <row r="43" spans="1:61" s="1" customFormat="1" ht="15" hidden="1" customHeight="1" outlineLevel="1">
      <c r="A43" s="35"/>
      <c r="B43" s="87"/>
      <c r="C43" s="36">
        <v>42826</v>
      </c>
      <c r="D43" s="203"/>
      <c r="E43" s="479"/>
      <c r="F43" s="203"/>
      <c r="G43" s="203"/>
      <c r="H43" s="147"/>
      <c r="I43" s="147"/>
      <c r="J43" s="147"/>
      <c r="K43" s="79"/>
      <c r="L43" s="147">
        <v>1187831.06</v>
      </c>
      <c r="M43" s="147">
        <v>0</v>
      </c>
      <c r="N43" s="147">
        <v>0</v>
      </c>
      <c r="O43" s="148">
        <v>-22601.899999999998</v>
      </c>
      <c r="P43" s="84"/>
      <c r="Q43" s="80"/>
      <c r="R43" s="208"/>
      <c r="S43" s="208"/>
      <c r="T43" s="208"/>
      <c r="U43" s="208"/>
      <c r="V43" s="208"/>
      <c r="W43" s="80"/>
      <c r="X43" s="82"/>
      <c r="Y43" s="189"/>
      <c r="Z43" s="189"/>
      <c r="AA43" s="223"/>
      <c r="AB43" s="223"/>
      <c r="AC43" s="103"/>
      <c r="AD43" s="223"/>
      <c r="AE43" s="223"/>
      <c r="AF43" s="191"/>
      <c r="AG43" s="83"/>
      <c r="AH43" s="119"/>
      <c r="AI43" s="223"/>
      <c r="AJ43" s="223"/>
      <c r="AK43" s="223"/>
      <c r="AL43" s="206"/>
      <c r="AM43" s="82"/>
      <c r="AN43" s="119"/>
      <c r="AO43" s="119"/>
      <c r="AP43" s="84"/>
      <c r="AQ43" s="125"/>
      <c r="AR43" s="133"/>
      <c r="AS43" s="78">
        <v>1165229.1600000001</v>
      </c>
      <c r="AT43" s="288">
        <v>-1163620.5799999998</v>
      </c>
      <c r="AU43" s="288">
        <f t="shared" si="10"/>
        <v>1608.5800000003073</v>
      </c>
      <c r="AV43" s="71">
        <f t="shared" si="11"/>
        <v>75980.460000000079</v>
      </c>
      <c r="AW43" s="23"/>
      <c r="AX43" s="82"/>
      <c r="AY43" s="223"/>
      <c r="AZ43" s="223"/>
      <c r="BA43" s="223"/>
      <c r="BB43" s="223"/>
      <c r="BC43" s="223"/>
      <c r="BD43" s="223"/>
      <c r="BE43" s="83"/>
      <c r="BF43" s="78">
        <f t="shared" si="12"/>
        <v>1165229.1600000001</v>
      </c>
      <c r="BG43" s="78">
        <f t="shared" si="13"/>
        <v>-1163620.5799999998</v>
      </c>
      <c r="BH43" s="78">
        <f t="shared" si="14"/>
        <v>1608.5800000003073</v>
      </c>
      <c r="BI43" s="78">
        <f t="shared" si="15"/>
        <v>75980.460000000079</v>
      </c>
    </row>
    <row r="44" spans="1:61" s="1" customFormat="1" ht="15" hidden="1" customHeight="1" outlineLevel="1">
      <c r="A44" s="35"/>
      <c r="B44" s="87"/>
      <c r="C44" s="36">
        <v>42856</v>
      </c>
      <c r="D44" s="480"/>
      <c r="E44" s="479"/>
      <c r="F44" s="203"/>
      <c r="G44" s="203"/>
      <c r="H44" s="147"/>
      <c r="I44" s="147"/>
      <c r="J44" s="147"/>
      <c r="K44" s="79"/>
      <c r="L44" s="147">
        <v>1371871.36</v>
      </c>
      <c r="M44" s="147">
        <v>0</v>
      </c>
      <c r="N44" s="147">
        <v>0</v>
      </c>
      <c r="O44" s="148">
        <v>12133.47</v>
      </c>
      <c r="P44" s="84"/>
      <c r="Q44" s="80"/>
      <c r="R44" s="81"/>
      <c r="S44" s="81"/>
      <c r="T44" s="81"/>
      <c r="U44" s="81"/>
      <c r="V44" s="81"/>
      <c r="W44" s="80"/>
      <c r="X44" s="82"/>
      <c r="Y44" s="189"/>
      <c r="Z44" s="189"/>
      <c r="AA44" s="85"/>
      <c r="AB44" s="85"/>
      <c r="AC44" s="103"/>
      <c r="AD44" s="85"/>
      <c r="AE44" s="85"/>
      <c r="AF44" s="191"/>
      <c r="AG44" s="83"/>
      <c r="AH44" s="119"/>
      <c r="AI44" s="85"/>
      <c r="AJ44" s="85"/>
      <c r="AK44" s="85"/>
      <c r="AL44" s="206"/>
      <c r="AM44" s="82"/>
      <c r="AN44" s="119"/>
      <c r="AO44" s="119"/>
      <c r="AP44" s="84"/>
      <c r="AQ44" s="125"/>
      <c r="AR44" s="133"/>
      <c r="AS44" s="78">
        <v>1384004.83</v>
      </c>
      <c r="AT44" s="70">
        <v>-1384843.3800000001</v>
      </c>
      <c r="AU44" s="288">
        <f t="shared" si="10"/>
        <v>-838.55000000004657</v>
      </c>
      <c r="AV44" s="71">
        <f t="shared" si="11"/>
        <v>75141.910000000033</v>
      </c>
      <c r="AW44" s="23"/>
      <c r="AX44" s="82"/>
      <c r="AY44" s="223"/>
      <c r="AZ44" s="223"/>
      <c r="BA44" s="223"/>
      <c r="BB44" s="223"/>
      <c r="BC44" s="223"/>
      <c r="BD44" s="223"/>
      <c r="BE44" s="83"/>
      <c r="BF44" s="78">
        <f t="shared" si="12"/>
        <v>1384004.83</v>
      </c>
      <c r="BG44" s="78">
        <f t="shared" si="13"/>
        <v>-1384843.3800000001</v>
      </c>
      <c r="BH44" s="78">
        <f t="shared" si="14"/>
        <v>-838.55000000004657</v>
      </c>
      <c r="BI44" s="78">
        <f t="shared" si="15"/>
        <v>75141.910000000033</v>
      </c>
    </row>
    <row r="45" spans="1:61" s="1" customFormat="1" ht="15" hidden="1" customHeight="1" outlineLevel="1">
      <c r="A45" s="35"/>
      <c r="B45" s="87"/>
      <c r="C45" s="36">
        <v>42887</v>
      </c>
      <c r="D45" s="203"/>
      <c r="E45" s="479"/>
      <c r="F45" s="203"/>
      <c r="G45" s="203"/>
      <c r="H45" s="147"/>
      <c r="I45" s="147"/>
      <c r="J45" s="147"/>
      <c r="K45" s="79"/>
      <c r="L45" s="147">
        <v>1440298.23</v>
      </c>
      <c r="M45" s="147">
        <v>0</v>
      </c>
      <c r="N45" s="147">
        <v>0</v>
      </c>
      <c r="O45" s="148">
        <v>-11818.97</v>
      </c>
      <c r="P45" s="84"/>
      <c r="Q45" s="80"/>
      <c r="R45" s="208"/>
      <c r="S45" s="208"/>
      <c r="T45" s="208"/>
      <c r="U45" s="208"/>
      <c r="V45" s="208"/>
      <c r="W45" s="80"/>
      <c r="X45" s="82"/>
      <c r="Y45" s="189"/>
      <c r="Z45" s="189"/>
      <c r="AA45" s="223"/>
      <c r="AB45" s="223"/>
      <c r="AC45" s="103"/>
      <c r="AD45" s="223"/>
      <c r="AE45" s="223"/>
      <c r="AF45" s="191"/>
      <c r="AG45" s="83"/>
      <c r="AH45" s="119"/>
      <c r="AI45" s="223"/>
      <c r="AJ45" s="223"/>
      <c r="AK45" s="223"/>
      <c r="AL45" s="206"/>
      <c r="AM45" s="82"/>
      <c r="AN45" s="119"/>
      <c r="AO45" s="119"/>
      <c r="AP45" s="84"/>
      <c r="AQ45" s="125"/>
      <c r="AR45" s="133"/>
      <c r="AS45" s="78">
        <v>1428479.26</v>
      </c>
      <c r="AT45" s="288">
        <v>-1320790.8500000003</v>
      </c>
      <c r="AU45" s="288">
        <f t="shared" si="10"/>
        <v>107688.40999999968</v>
      </c>
      <c r="AV45" s="71">
        <f t="shared" si="11"/>
        <v>182830.31999999972</v>
      </c>
      <c r="AW45" s="23"/>
      <c r="AX45" s="82"/>
      <c r="AY45" s="223"/>
      <c r="AZ45" s="223"/>
      <c r="BA45" s="223"/>
      <c r="BB45" s="223"/>
      <c r="BC45" s="223"/>
      <c r="BD45" s="223"/>
      <c r="BE45" s="83"/>
      <c r="BF45" s="78">
        <f t="shared" si="12"/>
        <v>1428479.26</v>
      </c>
      <c r="BG45" s="78">
        <f t="shared" si="13"/>
        <v>-1320790.8500000003</v>
      </c>
      <c r="BH45" s="78">
        <f t="shared" si="14"/>
        <v>107688.40999999968</v>
      </c>
      <c r="BI45" s="78">
        <f t="shared" si="15"/>
        <v>182830.31999999972</v>
      </c>
    </row>
    <row r="46" spans="1:61" s="1" customFormat="1" ht="15" hidden="1" customHeight="1" outlineLevel="1">
      <c r="A46" s="35"/>
      <c r="B46" s="87"/>
      <c r="C46" s="36">
        <v>42917</v>
      </c>
      <c r="D46" s="203"/>
      <c r="E46" s="479"/>
      <c r="F46" s="203"/>
      <c r="G46" s="203"/>
      <c r="H46" s="147"/>
      <c r="I46" s="147"/>
      <c r="J46" s="147"/>
      <c r="K46" s="79"/>
      <c r="L46" s="147">
        <v>1423127.7100000002</v>
      </c>
      <c r="M46" s="147">
        <v>0</v>
      </c>
      <c r="N46" s="147">
        <v>0</v>
      </c>
      <c r="O46" s="148">
        <v>-6684.1299999999992</v>
      </c>
      <c r="P46" s="84"/>
      <c r="Q46" s="80"/>
      <c r="R46" s="81"/>
      <c r="S46" s="81"/>
      <c r="T46" s="81"/>
      <c r="U46" s="81"/>
      <c r="V46" s="81"/>
      <c r="W46" s="80"/>
      <c r="X46" s="82"/>
      <c r="Y46" s="189"/>
      <c r="Z46" s="189"/>
      <c r="AA46" s="85"/>
      <c r="AB46" s="85"/>
      <c r="AC46" s="103"/>
      <c r="AD46" s="85"/>
      <c r="AE46" s="85"/>
      <c r="AF46" s="191"/>
      <c r="AG46" s="83"/>
      <c r="AH46" s="119"/>
      <c r="AI46" s="85"/>
      <c r="AJ46" s="85"/>
      <c r="AK46" s="85"/>
      <c r="AL46" s="206"/>
      <c r="AM46" s="82"/>
      <c r="AN46" s="119"/>
      <c r="AO46" s="119"/>
      <c r="AP46" s="84"/>
      <c r="AQ46" s="125"/>
      <c r="AR46" s="133"/>
      <c r="AS46" s="78">
        <v>1416443.5800000003</v>
      </c>
      <c r="AT46" s="70">
        <v>-1403537.7600000002</v>
      </c>
      <c r="AU46" s="288">
        <f t="shared" si="10"/>
        <v>12905.820000000065</v>
      </c>
      <c r="AV46" s="71">
        <f t="shared" si="11"/>
        <v>195736.13999999978</v>
      </c>
      <c r="AW46" s="23"/>
      <c r="AX46" s="82"/>
      <c r="AY46" s="223"/>
      <c r="AZ46" s="223"/>
      <c r="BA46" s="223"/>
      <c r="BB46" s="223"/>
      <c r="BC46" s="223"/>
      <c r="BD46" s="223"/>
      <c r="BE46" s="83"/>
      <c r="BF46" s="78">
        <f t="shared" si="12"/>
        <v>1416443.5800000003</v>
      </c>
      <c r="BG46" s="78">
        <f t="shared" si="13"/>
        <v>-1403537.7600000002</v>
      </c>
      <c r="BH46" s="78">
        <f t="shared" si="14"/>
        <v>12905.820000000065</v>
      </c>
      <c r="BI46" s="78">
        <f t="shared" si="15"/>
        <v>195736.13999999978</v>
      </c>
    </row>
    <row r="47" spans="1:61" s="1" customFormat="1" ht="15" hidden="1" customHeight="1" outlineLevel="1">
      <c r="A47" s="35"/>
      <c r="B47" s="87"/>
      <c r="C47" s="36">
        <v>42948</v>
      </c>
      <c r="D47" s="203"/>
      <c r="E47" s="479"/>
      <c r="F47" s="203"/>
      <c r="G47" s="203"/>
      <c r="H47" s="147"/>
      <c r="I47" s="147"/>
      <c r="J47" s="147"/>
      <c r="K47" s="79"/>
      <c r="L47" s="147">
        <v>1483117.9100000001</v>
      </c>
      <c r="M47" s="147">
        <v>0</v>
      </c>
      <c r="N47" s="147">
        <v>0</v>
      </c>
      <c r="O47" s="148">
        <v>11852.060000000001</v>
      </c>
      <c r="P47" s="84"/>
      <c r="Q47" s="80"/>
      <c r="R47" s="81"/>
      <c r="S47" s="81"/>
      <c r="T47" s="81"/>
      <c r="U47" s="81"/>
      <c r="V47" s="81"/>
      <c r="W47" s="80"/>
      <c r="X47" s="82"/>
      <c r="Y47" s="189"/>
      <c r="Z47" s="189"/>
      <c r="AA47" s="85"/>
      <c r="AB47" s="85"/>
      <c r="AC47" s="103"/>
      <c r="AD47" s="85"/>
      <c r="AE47" s="85"/>
      <c r="AF47" s="191"/>
      <c r="AG47" s="83"/>
      <c r="AH47" s="119"/>
      <c r="AI47" s="85"/>
      <c r="AJ47" s="85"/>
      <c r="AK47" s="85"/>
      <c r="AL47" s="206"/>
      <c r="AM47" s="82"/>
      <c r="AN47" s="119"/>
      <c r="AO47" s="119"/>
      <c r="AP47" s="84"/>
      <c r="AQ47" s="125"/>
      <c r="AR47" s="133"/>
      <c r="AS47" s="78">
        <v>1494969.9700000002</v>
      </c>
      <c r="AT47" s="70">
        <v>-1610578.3900000006</v>
      </c>
      <c r="AU47" s="288">
        <f t="shared" si="10"/>
        <v>-115608.42000000039</v>
      </c>
      <c r="AV47" s="71">
        <f t="shared" si="11"/>
        <v>80127.71999999939</v>
      </c>
      <c r="AW47" s="23"/>
      <c r="AX47" s="82"/>
      <c r="AY47" s="223"/>
      <c r="AZ47" s="223"/>
      <c r="BA47" s="223"/>
      <c r="BB47" s="223"/>
      <c r="BC47" s="223"/>
      <c r="BD47" s="223"/>
      <c r="BE47" s="83"/>
      <c r="BF47" s="78">
        <f t="shared" si="12"/>
        <v>1494969.9700000002</v>
      </c>
      <c r="BG47" s="78">
        <f t="shared" si="13"/>
        <v>-1610578.3900000006</v>
      </c>
      <c r="BH47" s="78">
        <f t="shared" si="14"/>
        <v>-115608.42000000039</v>
      </c>
      <c r="BI47" s="78">
        <f t="shared" si="15"/>
        <v>80127.71999999939</v>
      </c>
    </row>
    <row r="48" spans="1:61" s="1" customFormat="1" ht="15" hidden="1" customHeight="1" outlineLevel="1">
      <c r="A48" s="35"/>
      <c r="B48" s="87"/>
      <c r="C48" s="36">
        <v>42979</v>
      </c>
      <c r="D48" s="203"/>
      <c r="E48" s="479"/>
      <c r="F48" s="203"/>
      <c r="G48" s="203"/>
      <c r="H48" s="147"/>
      <c r="I48" s="147"/>
      <c r="J48" s="147"/>
      <c r="K48" s="79"/>
      <c r="L48" s="147">
        <v>1356469.3299999998</v>
      </c>
      <c r="M48" s="147">
        <v>0</v>
      </c>
      <c r="N48" s="147">
        <v>175000</v>
      </c>
      <c r="O48" s="148">
        <v>-12209.02</v>
      </c>
      <c r="P48" s="84"/>
      <c r="Q48" s="80"/>
      <c r="R48" s="81"/>
      <c r="S48" s="81"/>
      <c r="T48" s="81"/>
      <c r="U48" s="81"/>
      <c r="V48" s="81"/>
      <c r="W48" s="80"/>
      <c r="X48" s="82"/>
      <c r="Y48" s="189"/>
      <c r="Z48" s="189"/>
      <c r="AA48" s="85"/>
      <c r="AB48" s="85"/>
      <c r="AC48" s="103"/>
      <c r="AD48" s="85"/>
      <c r="AE48" s="85"/>
      <c r="AF48" s="191"/>
      <c r="AG48" s="83"/>
      <c r="AH48" s="119"/>
      <c r="AI48" s="85"/>
      <c r="AJ48" s="85"/>
      <c r="AK48" s="85"/>
      <c r="AL48" s="206"/>
      <c r="AM48" s="82"/>
      <c r="AN48" s="119"/>
      <c r="AO48" s="119"/>
      <c r="AP48" s="84"/>
      <c r="AQ48" s="125"/>
      <c r="AR48" s="133"/>
      <c r="AS48" s="78">
        <v>1519260.3099999998</v>
      </c>
      <c r="AT48" s="70">
        <v>-1426981.1899999997</v>
      </c>
      <c r="AU48" s="288">
        <f t="shared" si="10"/>
        <v>92279.120000000112</v>
      </c>
      <c r="AV48" s="71">
        <f t="shared" si="11"/>
        <v>172406.8399999995</v>
      </c>
      <c r="AW48" s="23"/>
      <c r="AX48" s="82"/>
      <c r="AY48" s="223"/>
      <c r="AZ48" s="223"/>
      <c r="BA48" s="223"/>
      <c r="BB48" s="223"/>
      <c r="BC48" s="223"/>
      <c r="BD48" s="223"/>
      <c r="BE48" s="83"/>
      <c r="BF48" s="78">
        <f t="shared" si="12"/>
        <v>1519260.3099999998</v>
      </c>
      <c r="BG48" s="78">
        <f t="shared" si="13"/>
        <v>-1426981.1899999997</v>
      </c>
      <c r="BH48" s="78">
        <f t="shared" si="14"/>
        <v>92279.120000000112</v>
      </c>
      <c r="BI48" s="78">
        <f t="shared" si="15"/>
        <v>172406.8399999995</v>
      </c>
    </row>
    <row r="49" spans="1:62" s="1" customFormat="1" ht="15" hidden="1" customHeight="1" outlineLevel="1">
      <c r="A49" s="35"/>
      <c r="B49" s="87"/>
      <c r="C49" s="36">
        <v>43009</v>
      </c>
      <c r="D49" s="203"/>
      <c r="E49" s="479"/>
      <c r="F49" s="203"/>
      <c r="G49" s="203"/>
      <c r="H49" s="147"/>
      <c r="I49" s="147"/>
      <c r="J49" s="147"/>
      <c r="K49" s="79"/>
      <c r="L49" s="147">
        <v>1603028.62</v>
      </c>
      <c r="M49" s="147">
        <v>0</v>
      </c>
      <c r="N49" s="147">
        <v>25000</v>
      </c>
      <c r="O49" s="148">
        <v>-9653.7199999999993</v>
      </c>
      <c r="P49" s="84"/>
      <c r="Q49" s="80"/>
      <c r="R49" s="81"/>
      <c r="S49" s="81"/>
      <c r="T49" s="81"/>
      <c r="U49" s="81"/>
      <c r="V49" s="81"/>
      <c r="W49" s="80"/>
      <c r="X49" s="82"/>
      <c r="Y49" s="189"/>
      <c r="Z49" s="189"/>
      <c r="AA49" s="85"/>
      <c r="AB49" s="85"/>
      <c r="AC49" s="103"/>
      <c r="AD49" s="85"/>
      <c r="AE49" s="85"/>
      <c r="AF49" s="191"/>
      <c r="AG49" s="83"/>
      <c r="AH49" s="119"/>
      <c r="AI49" s="85"/>
      <c r="AJ49" s="85"/>
      <c r="AK49" s="85"/>
      <c r="AL49" s="206"/>
      <c r="AM49" s="82"/>
      <c r="AN49" s="119"/>
      <c r="AO49" s="119"/>
      <c r="AP49" s="84"/>
      <c r="AQ49" s="125"/>
      <c r="AR49" s="133"/>
      <c r="AS49" s="78">
        <v>1618374.9000000001</v>
      </c>
      <c r="AT49" s="70">
        <v>-1626076.5999999999</v>
      </c>
      <c r="AU49" s="288">
        <f t="shared" si="10"/>
        <v>-7701.6999999997206</v>
      </c>
      <c r="AV49" s="71">
        <f t="shared" si="11"/>
        <v>164705.13999999978</v>
      </c>
      <c r="AW49" s="23"/>
      <c r="AX49" s="82"/>
      <c r="AY49" s="223"/>
      <c r="AZ49" s="223"/>
      <c r="BA49" s="223"/>
      <c r="BB49" s="223"/>
      <c r="BC49" s="223"/>
      <c r="BD49" s="223"/>
      <c r="BE49" s="83"/>
      <c r="BF49" s="78">
        <f t="shared" si="12"/>
        <v>1618374.9000000001</v>
      </c>
      <c r="BG49" s="78">
        <f t="shared" si="13"/>
        <v>-1626076.5999999999</v>
      </c>
      <c r="BH49" s="78">
        <f t="shared" si="14"/>
        <v>-7701.6999999997206</v>
      </c>
      <c r="BI49" s="78">
        <f t="shared" si="15"/>
        <v>164705.13999999978</v>
      </c>
    </row>
    <row r="50" spans="1:62" s="1" customFormat="1" ht="15" hidden="1" customHeight="1" outlineLevel="1">
      <c r="A50" s="35"/>
      <c r="B50" s="87"/>
      <c r="C50" s="36">
        <v>43040</v>
      </c>
      <c r="D50" s="203"/>
      <c r="E50" s="479"/>
      <c r="F50" s="203"/>
      <c r="G50" s="203"/>
      <c r="H50" s="147"/>
      <c r="I50" s="147"/>
      <c r="J50" s="147"/>
      <c r="K50" s="79"/>
      <c r="L50" s="147">
        <v>1583605.94</v>
      </c>
      <c r="M50" s="147">
        <v>0</v>
      </c>
      <c r="N50" s="147">
        <v>1000000</v>
      </c>
      <c r="O50" s="148">
        <v>29683.66</v>
      </c>
      <c r="P50" s="84"/>
      <c r="Q50" s="80"/>
      <c r="R50" s="81"/>
      <c r="S50" s="81"/>
      <c r="T50" s="81"/>
      <c r="U50" s="81"/>
      <c r="V50" s="81"/>
      <c r="W50" s="80"/>
      <c r="X50" s="82"/>
      <c r="Y50" s="189"/>
      <c r="Z50" s="189"/>
      <c r="AA50" s="85"/>
      <c r="AB50" s="85"/>
      <c r="AC50" s="103"/>
      <c r="AD50" s="85"/>
      <c r="AE50" s="85"/>
      <c r="AF50" s="191"/>
      <c r="AG50" s="83"/>
      <c r="AH50" s="119"/>
      <c r="AI50" s="85"/>
      <c r="AJ50" s="85"/>
      <c r="AK50" s="85"/>
      <c r="AL50" s="206"/>
      <c r="AM50" s="82"/>
      <c r="AN50" s="119"/>
      <c r="AO50" s="119"/>
      <c r="AP50" s="84"/>
      <c r="AQ50" s="125"/>
      <c r="AR50" s="133"/>
      <c r="AS50" s="78">
        <v>2613289.5999999996</v>
      </c>
      <c r="AT50" s="70">
        <v>-2642537.7000000002</v>
      </c>
      <c r="AU50" s="288">
        <f t="shared" si="10"/>
        <v>-29248.100000000559</v>
      </c>
      <c r="AV50" s="71">
        <f t="shared" si="11"/>
        <v>135457.03999999922</v>
      </c>
      <c r="AW50" s="23"/>
      <c r="AX50" s="82"/>
      <c r="AY50" s="223"/>
      <c r="AZ50" s="223"/>
      <c r="BA50" s="223"/>
      <c r="BB50" s="223"/>
      <c r="BC50" s="223"/>
      <c r="BD50" s="223"/>
      <c r="BE50" s="83"/>
      <c r="BF50" s="78">
        <f t="shared" si="12"/>
        <v>2613289.5999999996</v>
      </c>
      <c r="BG50" s="78">
        <f t="shared" si="13"/>
        <v>-2642537.7000000002</v>
      </c>
      <c r="BH50" s="78">
        <f t="shared" si="14"/>
        <v>-29248.100000000559</v>
      </c>
      <c r="BI50" s="78">
        <f t="shared" si="15"/>
        <v>135457.03999999922</v>
      </c>
    </row>
    <row r="51" spans="1:62" s="1" customFormat="1" ht="15" hidden="1" customHeight="1" outlineLevel="1">
      <c r="A51" s="35"/>
      <c r="B51" s="87"/>
      <c r="C51" s="36">
        <v>43070</v>
      </c>
      <c r="D51" s="203"/>
      <c r="E51" s="479"/>
      <c r="F51" s="203"/>
      <c r="G51" s="203"/>
      <c r="H51" s="147"/>
      <c r="I51" s="147"/>
      <c r="J51" s="147"/>
      <c r="K51" s="79"/>
      <c r="L51" s="147">
        <v>1644313.77</v>
      </c>
      <c r="M51" s="147">
        <v>0</v>
      </c>
      <c r="N51" s="147">
        <v>0</v>
      </c>
      <c r="O51" s="148">
        <v>3298.09</v>
      </c>
      <c r="P51" s="84"/>
      <c r="Q51" s="80"/>
      <c r="R51" s="81"/>
      <c r="S51" s="81"/>
      <c r="T51" s="81"/>
      <c r="U51" s="81"/>
      <c r="V51" s="81"/>
      <c r="W51" s="80"/>
      <c r="X51" s="82"/>
      <c r="Y51" s="189"/>
      <c r="Z51" s="189"/>
      <c r="AA51" s="85"/>
      <c r="AB51" s="85"/>
      <c r="AC51" s="103"/>
      <c r="AD51" s="85"/>
      <c r="AE51" s="85"/>
      <c r="AF51" s="191"/>
      <c r="AG51" s="83"/>
      <c r="AH51" s="119"/>
      <c r="AI51" s="85"/>
      <c r="AJ51" s="85"/>
      <c r="AK51" s="85"/>
      <c r="AL51" s="206"/>
      <c r="AM51" s="82"/>
      <c r="AN51" s="119"/>
      <c r="AO51" s="119"/>
      <c r="AP51" s="84"/>
      <c r="AQ51" s="125"/>
      <c r="AR51" s="133"/>
      <c r="AS51" s="78">
        <v>1647611.86</v>
      </c>
      <c r="AT51" s="70">
        <v>-1713655.65</v>
      </c>
      <c r="AU51" s="288">
        <f t="shared" si="10"/>
        <v>-66043.789999999804</v>
      </c>
      <c r="AV51" s="71">
        <f t="shared" si="11"/>
        <v>69413.249999999418</v>
      </c>
      <c r="AW51" s="23"/>
      <c r="AX51" s="82"/>
      <c r="AY51" s="223"/>
      <c r="AZ51" s="223"/>
      <c r="BA51" s="223"/>
      <c r="BB51" s="223"/>
      <c r="BC51" s="223"/>
      <c r="BD51" s="223"/>
      <c r="BE51" s="83"/>
      <c r="BF51" s="78">
        <f t="shared" si="12"/>
        <v>1647611.86</v>
      </c>
      <c r="BG51" s="78">
        <f t="shared" si="13"/>
        <v>-1713655.65</v>
      </c>
      <c r="BH51" s="78">
        <f t="shared" si="14"/>
        <v>-66043.789999999804</v>
      </c>
      <c r="BI51" s="78">
        <f t="shared" si="15"/>
        <v>69413.249999999418</v>
      </c>
    </row>
    <row r="52" spans="1:62" s="1" customFormat="1" ht="15" hidden="1" customHeight="1" outlineLevel="1">
      <c r="A52" s="35"/>
      <c r="B52" s="87"/>
      <c r="C52" s="36">
        <v>43101</v>
      </c>
      <c r="D52" s="203"/>
      <c r="E52" s="479"/>
      <c r="F52" s="203"/>
      <c r="G52" s="203"/>
      <c r="H52" s="147"/>
      <c r="I52" s="147"/>
      <c r="J52" s="147"/>
      <c r="K52" s="79"/>
      <c r="L52" s="147">
        <v>1738016.86</v>
      </c>
      <c r="M52" s="147">
        <v>0</v>
      </c>
      <c r="N52" s="147">
        <v>0</v>
      </c>
      <c r="O52" s="148">
        <v>-7241.7400000000016</v>
      </c>
      <c r="P52" s="84"/>
      <c r="Q52" s="80"/>
      <c r="R52" s="81"/>
      <c r="S52" s="81"/>
      <c r="T52" s="81"/>
      <c r="U52" s="81"/>
      <c r="V52" s="81"/>
      <c r="W52" s="80"/>
      <c r="X52" s="82"/>
      <c r="Y52" s="189"/>
      <c r="Z52" s="189"/>
      <c r="AA52" s="85"/>
      <c r="AB52" s="85"/>
      <c r="AC52" s="103"/>
      <c r="AD52" s="85"/>
      <c r="AE52" s="85"/>
      <c r="AF52" s="191"/>
      <c r="AG52" s="83"/>
      <c r="AH52" s="119"/>
      <c r="AI52" s="85"/>
      <c r="AJ52" s="85"/>
      <c r="AK52" s="85"/>
      <c r="AL52" s="206"/>
      <c r="AM52" s="82"/>
      <c r="AN52" s="119"/>
      <c r="AO52" s="119"/>
      <c r="AP52" s="84"/>
      <c r="AQ52" s="125"/>
      <c r="AR52" s="133"/>
      <c r="AS52" s="78">
        <v>1730775.12</v>
      </c>
      <c r="AT52" s="70">
        <v>-1636314.1800000004</v>
      </c>
      <c r="AU52" s="288">
        <f t="shared" si="10"/>
        <v>94460.939999999711</v>
      </c>
      <c r="AV52" s="71">
        <f t="shared" si="11"/>
        <v>163874.18999999913</v>
      </c>
      <c r="AW52" s="23"/>
      <c r="AX52" s="82"/>
      <c r="AY52" s="223"/>
      <c r="AZ52" s="223"/>
      <c r="BA52" s="223"/>
      <c r="BB52" s="223"/>
      <c r="BC52" s="223"/>
      <c r="BD52" s="223"/>
      <c r="BE52" s="83"/>
      <c r="BF52" s="78">
        <f t="shared" si="12"/>
        <v>1730775.12</v>
      </c>
      <c r="BG52" s="78">
        <f t="shared" si="13"/>
        <v>-1636314.1800000004</v>
      </c>
      <c r="BH52" s="78">
        <f t="shared" si="14"/>
        <v>94460.939999999711</v>
      </c>
      <c r="BI52" s="78">
        <f t="shared" si="15"/>
        <v>163874.18999999913</v>
      </c>
    </row>
    <row r="53" spans="1:62" s="1" customFormat="1" ht="15" hidden="1" customHeight="1" outlineLevel="1">
      <c r="A53" s="35"/>
      <c r="B53" s="87"/>
      <c r="C53" s="36">
        <v>43132</v>
      </c>
      <c r="D53" s="203"/>
      <c r="E53" s="479"/>
      <c r="F53" s="203"/>
      <c r="G53" s="203"/>
      <c r="H53" s="147"/>
      <c r="I53" s="147"/>
      <c r="J53" s="147"/>
      <c r="K53" s="79"/>
      <c r="L53" s="147">
        <v>1653194.2899999998</v>
      </c>
      <c r="M53" s="147">
        <v>0</v>
      </c>
      <c r="N53" s="147">
        <v>0</v>
      </c>
      <c r="O53" s="148">
        <v>21679.279999999999</v>
      </c>
      <c r="P53" s="84"/>
      <c r="Q53" s="80"/>
      <c r="R53" s="81"/>
      <c r="S53" s="81"/>
      <c r="T53" s="81"/>
      <c r="U53" s="81"/>
      <c r="V53" s="81"/>
      <c r="W53" s="80"/>
      <c r="X53" s="82"/>
      <c r="Y53" s="189"/>
      <c r="Z53" s="189"/>
      <c r="AA53" s="85"/>
      <c r="AB53" s="85"/>
      <c r="AC53" s="103"/>
      <c r="AD53" s="85"/>
      <c r="AE53" s="85"/>
      <c r="AF53" s="191"/>
      <c r="AG53" s="83"/>
      <c r="AH53" s="119"/>
      <c r="AI53" s="85"/>
      <c r="AJ53" s="85"/>
      <c r="AK53" s="85"/>
      <c r="AL53" s="206"/>
      <c r="AM53" s="82"/>
      <c r="AN53" s="119"/>
      <c r="AO53" s="119"/>
      <c r="AP53" s="84"/>
      <c r="AQ53" s="125"/>
      <c r="AR53" s="133"/>
      <c r="AS53" s="78">
        <v>1674873.5699999998</v>
      </c>
      <c r="AT53" s="70">
        <v>-1716828.1500000001</v>
      </c>
      <c r="AU53" s="288">
        <f t="shared" si="10"/>
        <v>-41954.580000000307</v>
      </c>
      <c r="AV53" s="71">
        <f t="shared" si="11"/>
        <v>121919.60999999882</v>
      </c>
      <c r="AW53" s="23"/>
      <c r="AX53" s="82"/>
      <c r="AY53" s="223"/>
      <c r="AZ53" s="223"/>
      <c r="BA53" s="223"/>
      <c r="BB53" s="223"/>
      <c r="BC53" s="223"/>
      <c r="BD53" s="223"/>
      <c r="BE53" s="83"/>
      <c r="BF53" s="78">
        <f t="shared" si="12"/>
        <v>1674873.5699999998</v>
      </c>
      <c r="BG53" s="78">
        <f t="shared" si="13"/>
        <v>-1716828.1500000001</v>
      </c>
      <c r="BH53" s="78">
        <f t="shared" si="14"/>
        <v>-41954.580000000307</v>
      </c>
      <c r="BI53" s="78">
        <f t="shared" si="15"/>
        <v>121919.60999999882</v>
      </c>
    </row>
    <row r="54" spans="1:62" s="1" customFormat="1" ht="15" hidden="1" customHeight="1" outlineLevel="1">
      <c r="A54" s="35"/>
      <c r="B54" s="87"/>
      <c r="C54" s="36">
        <v>43160</v>
      </c>
      <c r="D54" s="203"/>
      <c r="E54" s="479"/>
      <c r="F54" s="288"/>
      <c r="G54" s="288"/>
      <c r="H54" s="79"/>
      <c r="I54" s="79"/>
      <c r="J54" s="147"/>
      <c r="K54" s="79"/>
      <c r="L54" s="147">
        <v>1877077.74</v>
      </c>
      <c r="M54" s="79">
        <v>0</v>
      </c>
      <c r="N54" s="147">
        <v>0</v>
      </c>
      <c r="O54" s="148">
        <v>-18607.629999999997</v>
      </c>
      <c r="P54" s="84"/>
      <c r="Q54" s="80"/>
      <c r="R54" s="81"/>
      <c r="S54" s="81"/>
      <c r="T54" s="81"/>
      <c r="U54" s="81"/>
      <c r="V54" s="81"/>
      <c r="W54" s="80"/>
      <c r="X54" s="82"/>
      <c r="Y54" s="189"/>
      <c r="Z54" s="189"/>
      <c r="AA54" s="85"/>
      <c r="AB54" s="85"/>
      <c r="AC54" s="103"/>
      <c r="AD54" s="85"/>
      <c r="AE54" s="85"/>
      <c r="AF54" s="191"/>
      <c r="AG54" s="83"/>
      <c r="AH54" s="119"/>
      <c r="AI54" s="85"/>
      <c r="AJ54" s="85"/>
      <c r="AK54" s="85"/>
      <c r="AL54" s="206"/>
      <c r="AM54" s="82"/>
      <c r="AN54" s="119"/>
      <c r="AO54" s="119"/>
      <c r="AP54" s="84"/>
      <c r="AQ54" s="125"/>
      <c r="AR54" s="133"/>
      <c r="AS54" s="78">
        <v>1858470.11</v>
      </c>
      <c r="AT54" s="70">
        <v>-1830273.8100000003</v>
      </c>
      <c r="AU54" s="288">
        <f t="shared" si="10"/>
        <v>28196.299999999814</v>
      </c>
      <c r="AV54" s="71">
        <f t="shared" si="11"/>
        <v>150115.90999999864</v>
      </c>
      <c r="AW54" s="23"/>
      <c r="AX54" s="82"/>
      <c r="AY54" s="223"/>
      <c r="AZ54" s="223"/>
      <c r="BA54" s="223"/>
      <c r="BB54" s="223"/>
      <c r="BC54" s="223"/>
      <c r="BD54" s="223"/>
      <c r="BE54" s="83"/>
      <c r="BF54" s="78">
        <f t="shared" si="12"/>
        <v>1858470.11</v>
      </c>
      <c r="BG54" s="78">
        <f t="shared" si="13"/>
        <v>-1830273.8100000003</v>
      </c>
      <c r="BH54" s="78">
        <f t="shared" si="14"/>
        <v>28196.299999999814</v>
      </c>
      <c r="BI54" s="78">
        <f t="shared" si="15"/>
        <v>150115.90999999864</v>
      </c>
    </row>
    <row r="55" spans="1:62" s="1" customFormat="1" ht="15" hidden="1" customHeight="1" outlineLevel="1">
      <c r="A55" s="35"/>
      <c r="B55" s="87"/>
      <c r="C55" s="36">
        <v>43191</v>
      </c>
      <c r="D55" s="203"/>
      <c r="E55" s="479"/>
      <c r="F55" s="288"/>
      <c r="G55" s="288"/>
      <c r="H55" s="79"/>
      <c r="I55" s="79"/>
      <c r="J55" s="147"/>
      <c r="K55" s="79"/>
      <c r="L55" s="147">
        <v>1883752.6199999999</v>
      </c>
      <c r="M55" s="79">
        <v>0</v>
      </c>
      <c r="N55" s="147">
        <v>100000</v>
      </c>
      <c r="O55" s="148">
        <v>-5312.24</v>
      </c>
      <c r="P55" s="84"/>
      <c r="Q55" s="80"/>
      <c r="R55" s="81"/>
      <c r="S55" s="81"/>
      <c r="T55" s="81"/>
      <c r="U55" s="81"/>
      <c r="V55" s="81"/>
      <c r="W55" s="80"/>
      <c r="X55" s="82"/>
      <c r="Y55" s="189"/>
      <c r="Z55" s="189"/>
      <c r="AA55" s="85"/>
      <c r="AB55" s="85"/>
      <c r="AC55" s="103"/>
      <c r="AD55" s="85"/>
      <c r="AE55" s="85"/>
      <c r="AF55" s="191"/>
      <c r="AG55" s="83"/>
      <c r="AH55" s="119"/>
      <c r="AI55" s="85"/>
      <c r="AJ55" s="85"/>
      <c r="AK55" s="85"/>
      <c r="AL55" s="206"/>
      <c r="AM55" s="82"/>
      <c r="AN55" s="119"/>
      <c r="AO55" s="119"/>
      <c r="AP55" s="84"/>
      <c r="AQ55" s="125"/>
      <c r="AR55" s="133"/>
      <c r="AS55" s="78">
        <v>1978440.38</v>
      </c>
      <c r="AT55" s="70">
        <v>-2027756.8699999999</v>
      </c>
      <c r="AU55" s="288">
        <f t="shared" si="10"/>
        <v>-49316.489999999991</v>
      </c>
      <c r="AV55" s="71">
        <f t="shared" si="11"/>
        <v>100799.41999999864</v>
      </c>
      <c r="AW55" s="23"/>
      <c r="AX55" s="82"/>
      <c r="AY55" s="223"/>
      <c r="AZ55" s="223"/>
      <c r="BA55" s="223"/>
      <c r="BB55" s="223"/>
      <c r="BC55" s="223"/>
      <c r="BD55" s="223"/>
      <c r="BE55" s="83"/>
      <c r="BF55" s="78">
        <f t="shared" si="12"/>
        <v>1978440.38</v>
      </c>
      <c r="BG55" s="78">
        <f t="shared" si="13"/>
        <v>-2027756.8699999999</v>
      </c>
      <c r="BH55" s="78">
        <f t="shared" si="14"/>
        <v>-49316.489999999991</v>
      </c>
      <c r="BI55" s="78">
        <f t="shared" si="15"/>
        <v>100799.41999999864</v>
      </c>
    </row>
    <row r="56" spans="1:62" s="1" customFormat="1" ht="15" hidden="1" customHeight="1" outlineLevel="1">
      <c r="A56" s="35"/>
      <c r="B56" s="87"/>
      <c r="C56" s="36">
        <v>43221</v>
      </c>
      <c r="D56" s="203"/>
      <c r="E56" s="479"/>
      <c r="F56" s="203"/>
      <c r="G56" s="203"/>
      <c r="H56" s="147"/>
      <c r="I56" s="147"/>
      <c r="J56" s="147"/>
      <c r="K56" s="79"/>
      <c r="L56" s="147">
        <v>2028488.18</v>
      </c>
      <c r="M56" s="147">
        <v>0</v>
      </c>
      <c r="N56" s="147">
        <v>0</v>
      </c>
      <c r="O56" s="147">
        <v>31658.19</v>
      </c>
      <c r="P56" s="84"/>
      <c r="Q56" s="80"/>
      <c r="R56" s="81"/>
      <c r="S56" s="81"/>
      <c r="T56" s="81"/>
      <c r="U56" s="81"/>
      <c r="V56" s="81"/>
      <c r="W56" s="80"/>
      <c r="X56" s="82"/>
      <c r="Y56" s="189"/>
      <c r="Z56" s="189"/>
      <c r="AA56" s="85"/>
      <c r="AB56" s="85"/>
      <c r="AC56" s="103"/>
      <c r="AD56" s="85"/>
      <c r="AE56" s="85"/>
      <c r="AF56" s="191"/>
      <c r="AG56" s="83"/>
      <c r="AH56" s="119"/>
      <c r="AI56" s="85"/>
      <c r="AJ56" s="85"/>
      <c r="AK56" s="85"/>
      <c r="AL56" s="206"/>
      <c r="AM56" s="82"/>
      <c r="AN56" s="119"/>
      <c r="AO56" s="119"/>
      <c r="AP56" s="84"/>
      <c r="AQ56" s="125"/>
      <c r="AR56" s="133"/>
      <c r="AS56" s="78">
        <v>2060146.3699999999</v>
      </c>
      <c r="AT56" s="70">
        <v>-1991218.4400000002</v>
      </c>
      <c r="AU56" s="288">
        <f t="shared" si="10"/>
        <v>68927.929999999702</v>
      </c>
      <c r="AV56" s="71">
        <f t="shared" si="11"/>
        <v>169727.34999999835</v>
      </c>
      <c r="AW56" s="23"/>
      <c r="AX56" s="82"/>
      <c r="AY56" s="223"/>
      <c r="AZ56" s="223"/>
      <c r="BA56" s="223"/>
      <c r="BB56" s="223"/>
      <c r="BC56" s="223"/>
      <c r="BD56" s="223"/>
      <c r="BE56" s="83"/>
      <c r="BF56" s="78">
        <f t="shared" si="12"/>
        <v>2060146.3699999999</v>
      </c>
      <c r="BG56" s="78">
        <f t="shared" si="13"/>
        <v>-1991218.4400000002</v>
      </c>
      <c r="BH56" s="78">
        <f t="shared" si="14"/>
        <v>68927.929999999702</v>
      </c>
      <c r="BI56" s="78">
        <f t="shared" si="15"/>
        <v>169727.34999999835</v>
      </c>
    </row>
    <row r="57" spans="1:62" s="1" customFormat="1" ht="15" hidden="1" customHeight="1" outlineLevel="1">
      <c r="A57" s="35"/>
      <c r="B57" s="87"/>
      <c r="C57" s="36">
        <v>43252</v>
      </c>
      <c r="D57" s="203"/>
      <c r="E57" s="479"/>
      <c r="F57" s="203"/>
      <c r="G57" s="203"/>
      <c r="H57" s="147"/>
      <c r="I57" s="147"/>
      <c r="J57" s="147"/>
      <c r="K57" s="79"/>
      <c r="L57" s="147">
        <v>1823384.8199999998</v>
      </c>
      <c r="M57" s="147"/>
      <c r="N57" s="147">
        <v>0</v>
      </c>
      <c r="O57" s="147">
        <v>65018.01</v>
      </c>
      <c r="P57" s="84"/>
      <c r="Q57" s="80"/>
      <c r="R57" s="81"/>
      <c r="S57" s="81"/>
      <c r="T57" s="81"/>
      <c r="U57" s="81"/>
      <c r="V57" s="81"/>
      <c r="W57" s="80"/>
      <c r="X57" s="82"/>
      <c r="Y57" s="189"/>
      <c r="Z57" s="189"/>
      <c r="AA57" s="85"/>
      <c r="AB57" s="85"/>
      <c r="AC57" s="103"/>
      <c r="AD57" s="85"/>
      <c r="AE57" s="85"/>
      <c r="AF57" s="191"/>
      <c r="AG57" s="83"/>
      <c r="AH57" s="119"/>
      <c r="AI57" s="85"/>
      <c r="AJ57" s="85"/>
      <c r="AK57" s="85"/>
      <c r="AL57" s="206"/>
      <c r="AM57" s="82"/>
      <c r="AN57" s="119"/>
      <c r="AO57" s="119"/>
      <c r="AP57" s="84"/>
      <c r="AQ57" s="125"/>
      <c r="AR57" s="133"/>
      <c r="AS57" s="78">
        <v>1888402.8299999998</v>
      </c>
      <c r="AT57" s="70">
        <v>-1948302.64</v>
      </c>
      <c r="AU57" s="288">
        <f t="shared" si="10"/>
        <v>-59899.810000000056</v>
      </c>
      <c r="AV57" s="71">
        <f t="shared" si="11"/>
        <v>109827.53999999829</v>
      </c>
      <c r="AW57" s="23"/>
      <c r="AX57" s="82"/>
      <c r="AY57" s="223"/>
      <c r="AZ57" s="223"/>
      <c r="BA57" s="223"/>
      <c r="BB57" s="223"/>
      <c r="BC57" s="223"/>
      <c r="BD57" s="223"/>
      <c r="BE57" s="83"/>
      <c r="BF57" s="78">
        <f t="shared" si="12"/>
        <v>1888402.8299999998</v>
      </c>
      <c r="BG57" s="78">
        <f t="shared" si="13"/>
        <v>-1948302.64</v>
      </c>
      <c r="BH57" s="78">
        <f t="shared" si="14"/>
        <v>-59899.810000000056</v>
      </c>
      <c r="BI57" s="78">
        <f t="shared" si="15"/>
        <v>109827.53999999829</v>
      </c>
    </row>
    <row r="58" spans="1:62" ht="15" hidden="1" customHeight="1" outlineLevel="1" thickBot="1">
      <c r="A58" s="35">
        <v>1</v>
      </c>
      <c r="B58" s="87"/>
      <c r="C58" s="36">
        <v>43282</v>
      </c>
      <c r="D58" s="203"/>
      <c r="E58" s="479"/>
      <c r="F58" s="203"/>
      <c r="G58" s="203"/>
      <c r="H58" s="147"/>
      <c r="I58" s="147"/>
      <c r="J58" s="147"/>
      <c r="K58" s="79"/>
      <c r="L58" s="147">
        <v>2009558.07</v>
      </c>
      <c r="M58" s="147">
        <v>0</v>
      </c>
      <c r="N58" s="147">
        <v>0</v>
      </c>
      <c r="O58" s="147">
        <v>-6538.63</v>
      </c>
      <c r="P58" s="84"/>
      <c r="Q58" s="80"/>
      <c r="R58" s="81"/>
      <c r="S58" s="81"/>
      <c r="T58" s="81"/>
      <c r="U58" s="81"/>
      <c r="V58" s="81"/>
      <c r="W58" s="80"/>
      <c r="X58" s="82"/>
      <c r="Y58" s="189"/>
      <c r="Z58" s="189"/>
      <c r="AA58" s="85"/>
      <c r="AB58" s="85"/>
      <c r="AC58" s="103"/>
      <c r="AD58" s="85"/>
      <c r="AE58" s="85"/>
      <c r="AF58" s="191"/>
      <c r="AG58" s="83"/>
      <c r="AH58" s="119"/>
      <c r="AI58" s="85"/>
      <c r="AJ58" s="85"/>
      <c r="AK58" s="85"/>
      <c r="AL58" s="206"/>
      <c r="AM58" s="82"/>
      <c r="AN58" s="119"/>
      <c r="AO58" s="119"/>
      <c r="AP58" s="84"/>
      <c r="AQ58" s="125"/>
      <c r="AR58" s="133"/>
      <c r="AS58" s="78">
        <v>2003019.4400000002</v>
      </c>
      <c r="AT58" s="70">
        <v>-1901144.67</v>
      </c>
      <c r="AU58" s="288">
        <f t="shared" si="10"/>
        <v>101874.77000000025</v>
      </c>
      <c r="AV58" s="71">
        <f t="shared" si="11"/>
        <v>211702.30999999854</v>
      </c>
      <c r="AX58" s="82"/>
      <c r="AY58" s="223"/>
      <c r="AZ58" s="223"/>
      <c r="BA58" s="223"/>
      <c r="BB58" s="223"/>
      <c r="BC58" s="223"/>
      <c r="BD58" s="223"/>
      <c r="BE58" s="83"/>
      <c r="BF58" s="78">
        <f>AS58</f>
        <v>2003019.4400000002</v>
      </c>
      <c r="BG58" s="78">
        <f>AT58</f>
        <v>-1901144.67</v>
      </c>
      <c r="BH58" s="70">
        <f>SUM(BF58:BG58)</f>
        <v>101874.77000000025</v>
      </c>
      <c r="BI58" s="71">
        <f>BH58+BI57</f>
        <v>211702.30999999854</v>
      </c>
    </row>
    <row r="59" spans="1:62" ht="15" customHeight="1" collapsed="1">
      <c r="A59" s="35">
        <f>A58+1</f>
        <v>2</v>
      </c>
      <c r="B59" s="87" t="s">
        <v>0</v>
      </c>
      <c r="C59" s="36">
        <v>43313</v>
      </c>
      <c r="D59" s="69">
        <v>0</v>
      </c>
      <c r="E59" s="78">
        <v>2221975.42</v>
      </c>
      <c r="F59" s="78">
        <v>0</v>
      </c>
      <c r="G59" s="37">
        <v>0.1</v>
      </c>
      <c r="H59" s="70">
        <f t="shared" ref="H59:H88" si="16">-E59*G59</f>
        <v>-222197.54200000002</v>
      </c>
      <c r="I59" s="70">
        <v>0</v>
      </c>
      <c r="J59" s="79"/>
      <c r="K59" s="79"/>
      <c r="L59" s="79">
        <f t="shared" ref="L59:L122" si="17">SUM(H59:J59,D59:F59)</f>
        <v>1999777.878</v>
      </c>
      <c r="M59" s="70"/>
      <c r="N59" s="70"/>
      <c r="O59" s="481"/>
      <c r="P59" s="84">
        <v>-1531774.27755793</v>
      </c>
      <c r="Q59" s="80">
        <v>-154410.94433277412</v>
      </c>
      <c r="R59" s="81">
        <v>0</v>
      </c>
      <c r="S59" s="81">
        <v>0</v>
      </c>
      <c r="T59" s="81">
        <v>0</v>
      </c>
      <c r="U59" s="81">
        <v>-103903.59608333331</v>
      </c>
      <c r="V59" s="81">
        <v>0</v>
      </c>
      <c r="W59" s="80">
        <v>-70000</v>
      </c>
      <c r="X59" s="82">
        <v>-5000</v>
      </c>
      <c r="Y59" s="189">
        <v>0</v>
      </c>
      <c r="Z59" s="189">
        <v>-79994.210000000006</v>
      </c>
      <c r="AA59" s="85">
        <v>-540875.64</v>
      </c>
      <c r="AB59" s="85">
        <v>0</v>
      </c>
      <c r="AC59" s="103">
        <v>-41454.85</v>
      </c>
      <c r="AD59" s="85">
        <v>-201192</v>
      </c>
      <c r="AE59" s="85">
        <v>-165643.69</v>
      </c>
      <c r="AF59" s="191">
        <v>0</v>
      </c>
      <c r="AG59" s="83">
        <v>-25711.75</v>
      </c>
      <c r="AH59" s="470">
        <f>-L1*6%</f>
        <v>-120573.48420000001</v>
      </c>
      <c r="AI59" s="471">
        <v>-9209.81</v>
      </c>
      <c r="AJ59" s="288">
        <v>-7969</v>
      </c>
      <c r="AK59" s="471">
        <v>-10571.835492014996</v>
      </c>
      <c r="AL59" s="471">
        <v>-242823.02000000002</v>
      </c>
      <c r="AM59" s="471">
        <f>-L1*1.2%</f>
        <v>-24114.696840000001</v>
      </c>
      <c r="AN59" s="471">
        <f>-L1*4%</f>
        <v>-80382.322800000009</v>
      </c>
      <c r="AO59" s="472">
        <v>0</v>
      </c>
      <c r="AP59" s="84">
        <v>-24000</v>
      </c>
      <c r="AQ59" s="125">
        <v>0</v>
      </c>
      <c r="AR59" s="133"/>
      <c r="AS59" s="78">
        <f t="shared" ref="AS59:AS90" si="18">+L59</f>
        <v>1999777.878</v>
      </c>
      <c r="AT59" s="70">
        <f t="shared" ref="AT59:AT90" si="19">+SUM(P59:AQ59)</f>
        <v>-3439605.127306052</v>
      </c>
      <c r="AU59" s="288">
        <f t="shared" si="10"/>
        <v>-1439827.249306052</v>
      </c>
      <c r="AV59" s="71">
        <f>AU59+AV58</f>
        <v>-1228124.9393060533</v>
      </c>
      <c r="AX59" s="82">
        <v>0</v>
      </c>
      <c r="AY59" s="223">
        <v>0</v>
      </c>
      <c r="AZ59" s="223">
        <v>0</v>
      </c>
      <c r="BA59" s="223">
        <v>0</v>
      </c>
      <c r="BB59" s="223">
        <v>0</v>
      </c>
      <c r="BC59" s="223">
        <v>0</v>
      </c>
      <c r="BD59" s="223">
        <f>SUM(AX59:BC59)</f>
        <v>0</v>
      </c>
      <c r="BE59" s="83">
        <v>0</v>
      </c>
      <c r="BF59" s="78">
        <f>L59+AX59+AY59+BA59+BB59</f>
        <v>1999777.878</v>
      </c>
      <c r="BG59" s="70">
        <f t="shared" ref="BG59:BG90" si="20">AT59</f>
        <v>-3439605.127306052</v>
      </c>
      <c r="BH59" s="70">
        <f>SUM(BF59:BG59)</f>
        <v>-1439827.249306052</v>
      </c>
      <c r="BI59" s="71">
        <f>BH59+BI58</f>
        <v>-1228124.9393060533</v>
      </c>
    </row>
    <row r="60" spans="1:62" ht="15" customHeight="1">
      <c r="A60" s="35">
        <f t="shared" ref="A60:A120" si="21">A59+1</f>
        <v>3</v>
      </c>
      <c r="B60" s="87"/>
      <c r="C60" s="36">
        <v>43344</v>
      </c>
      <c r="D60" s="69">
        <v>0</v>
      </c>
      <c r="E60" s="78">
        <v>2238986.81</v>
      </c>
      <c r="F60" s="78">
        <v>0</v>
      </c>
      <c r="G60" s="37">
        <v>0.1</v>
      </c>
      <c r="H60" s="70">
        <f t="shared" si="16"/>
        <v>-223898.68100000001</v>
      </c>
      <c r="I60" s="70">
        <v>0</v>
      </c>
      <c r="J60" s="79"/>
      <c r="K60" s="79"/>
      <c r="L60" s="79">
        <f t="shared" si="17"/>
        <v>2015088.129</v>
      </c>
      <c r="M60" s="70"/>
      <c r="N60" s="70"/>
      <c r="O60" s="481"/>
      <c r="P60" s="84">
        <v>-1514312.9116692152</v>
      </c>
      <c r="Q60" s="80">
        <v>-165440.29749940083</v>
      </c>
      <c r="R60" s="81">
        <v>0</v>
      </c>
      <c r="S60" s="81">
        <v>0</v>
      </c>
      <c r="T60" s="81">
        <v>0</v>
      </c>
      <c r="U60" s="81">
        <v>-103903.59608333331</v>
      </c>
      <c r="V60" s="81">
        <v>0</v>
      </c>
      <c r="W60" s="80">
        <v>-95321.16232000009</v>
      </c>
      <c r="X60" s="82">
        <v>-5000</v>
      </c>
      <c r="Y60" s="189">
        <v>-26080.141499999998</v>
      </c>
      <c r="Z60" s="189">
        <v>-79994.210000000006</v>
      </c>
      <c r="AA60" s="85">
        <v>-527275.21</v>
      </c>
      <c r="AB60" s="85">
        <v>0</v>
      </c>
      <c r="AC60" s="103">
        <v>-48379.83</v>
      </c>
      <c r="AD60" s="85">
        <v>-142042</v>
      </c>
      <c r="AE60" s="85">
        <v>-165643.69</v>
      </c>
      <c r="AF60" s="191">
        <v>0</v>
      </c>
      <c r="AG60" s="83">
        <v>-25711.75</v>
      </c>
      <c r="AH60" s="69">
        <f>-L59*6%</f>
        <v>-119986.67268</v>
      </c>
      <c r="AI60" s="288">
        <v>-9209.81</v>
      </c>
      <c r="AJ60" s="288">
        <v>-7969</v>
      </c>
      <c r="AK60" s="288">
        <v>-12106.457539731591</v>
      </c>
      <c r="AL60" s="288">
        <v>-90637.79</v>
      </c>
      <c r="AM60" s="288">
        <f>-L59*1.2%</f>
        <v>-23997.334536000002</v>
      </c>
      <c r="AN60" s="288">
        <f>-L59*4%</f>
        <v>-79991.115120000002</v>
      </c>
      <c r="AO60" s="71">
        <v>0</v>
      </c>
      <c r="AP60" s="84">
        <v>-24000</v>
      </c>
      <c r="AQ60" s="125">
        <v>-870000</v>
      </c>
      <c r="AR60" s="133"/>
      <c r="AS60" s="78">
        <f t="shared" si="18"/>
        <v>2015088.129</v>
      </c>
      <c r="AT60" s="70">
        <f t="shared" si="19"/>
        <v>-4137002.9789476814</v>
      </c>
      <c r="AU60" s="288">
        <f t="shared" si="10"/>
        <v>-2121914.8499476817</v>
      </c>
      <c r="AV60" s="71">
        <f t="shared" ref="AV60:AV71" si="22">AU60+AV59</f>
        <v>-3350039.789253735</v>
      </c>
      <c r="AX60" s="82">
        <v>15000000</v>
      </c>
      <c r="AY60" s="223">
        <v>0</v>
      </c>
      <c r="AZ60" s="223">
        <v>0</v>
      </c>
      <c r="BA60" s="223">
        <v>0</v>
      </c>
      <c r="BB60" s="485">
        <v>-2263780.1220988398</v>
      </c>
      <c r="BC60" s="223">
        <v>0</v>
      </c>
      <c r="BD60" s="223">
        <f>SUM(AX60:BC60)</f>
        <v>12736219.877901159</v>
      </c>
      <c r="BE60" s="83">
        <f t="shared" ref="BE60:BE91" si="23">SUM(AY60:BC60)</f>
        <v>-2263780.1220988398</v>
      </c>
      <c r="BF60" s="78">
        <f>L60+AX60+AY60+BA60+BB60+BC60+AZ60</f>
        <v>14751308.00690116</v>
      </c>
      <c r="BG60" s="70">
        <f t="shared" si="20"/>
        <v>-4137002.9789476814</v>
      </c>
      <c r="BH60" s="70">
        <f t="shared" ref="BH60:BH123" si="24">SUM(BF60:BG60)</f>
        <v>10614305.027953479</v>
      </c>
      <c r="BI60" s="71">
        <f t="shared" ref="BI60:BI123" si="25">BH60+BI59</f>
        <v>9386180.0886474252</v>
      </c>
      <c r="BJ60" s="86"/>
    </row>
    <row r="61" spans="1:62" ht="15" customHeight="1">
      <c r="A61" s="35">
        <f t="shared" si="21"/>
        <v>4</v>
      </c>
      <c r="B61" s="87"/>
      <c r="C61" s="36">
        <v>43374</v>
      </c>
      <c r="D61" s="69">
        <v>0</v>
      </c>
      <c r="E61" s="78">
        <v>2420664.7200000002</v>
      </c>
      <c r="F61" s="78">
        <v>0</v>
      </c>
      <c r="G61" s="37">
        <v>0.1</v>
      </c>
      <c r="H61" s="70">
        <f t="shared" si="16"/>
        <v>-242066.47200000004</v>
      </c>
      <c r="I61" s="70">
        <f>-H58</f>
        <v>0</v>
      </c>
      <c r="J61" s="79"/>
      <c r="K61" s="79"/>
      <c r="L61" s="79">
        <f t="shared" si="17"/>
        <v>2178598.2480000001</v>
      </c>
      <c r="M61" s="70"/>
      <c r="N61" s="70"/>
      <c r="O61" s="481"/>
      <c r="P61" s="84">
        <v>-1766698.3969474181</v>
      </c>
      <c r="Q61" s="80">
        <v>-193013.68041596765</v>
      </c>
      <c r="R61" s="81">
        <v>0</v>
      </c>
      <c r="S61" s="81">
        <v>0</v>
      </c>
      <c r="T61" s="81">
        <v>0</v>
      </c>
      <c r="U61" s="81">
        <v>-103903.59608333331</v>
      </c>
      <c r="V61" s="81">
        <v>0</v>
      </c>
      <c r="W61" s="80">
        <v>-95321.16232000009</v>
      </c>
      <c r="X61" s="82">
        <v>-5000</v>
      </c>
      <c r="Y61" s="189">
        <v>-43125.711396428567</v>
      </c>
      <c r="Z61" s="189">
        <v>0</v>
      </c>
      <c r="AA61" s="85">
        <v>-492461.97</v>
      </c>
      <c r="AB61" s="85">
        <v>0</v>
      </c>
      <c r="AC61" s="103">
        <v>-52259.88</v>
      </c>
      <c r="AD61" s="85">
        <v>-121742</v>
      </c>
      <c r="AE61" s="85">
        <v>-165643.69</v>
      </c>
      <c r="AF61" s="191">
        <v>0</v>
      </c>
      <c r="AG61" s="83">
        <v>-25711.75</v>
      </c>
      <c r="AH61" s="69">
        <f>-L60*6%</f>
        <v>-120905.28774</v>
      </c>
      <c r="AI61" s="288">
        <v>-9209.81</v>
      </c>
      <c r="AJ61" s="288">
        <v>-7969</v>
      </c>
      <c r="AK61" s="288">
        <v>-12529.673691613938</v>
      </c>
      <c r="AL61" s="288">
        <v>-81235.259999999995</v>
      </c>
      <c r="AM61" s="288">
        <f t="shared" ref="AM61:AM124" si="26">-L60*1.2%</f>
        <v>-24181.057548000001</v>
      </c>
      <c r="AN61" s="288">
        <f t="shared" ref="AN61:AN124" si="27">-L60*4%</f>
        <v>-80603.525160000005</v>
      </c>
      <c r="AO61" s="71">
        <v>0</v>
      </c>
      <c r="AP61" s="84">
        <v>-1200000</v>
      </c>
      <c r="AQ61" s="125"/>
      <c r="AR61" s="133"/>
      <c r="AS61" s="78">
        <f t="shared" si="18"/>
        <v>2178598.2480000001</v>
      </c>
      <c r="AT61" s="70">
        <f t="shared" si="19"/>
        <v>-4601515.4513027621</v>
      </c>
      <c r="AU61" s="288">
        <f t="shared" si="10"/>
        <v>-2422917.203302762</v>
      </c>
      <c r="AV61" s="71">
        <f t="shared" si="22"/>
        <v>-5772956.9925564975</v>
      </c>
      <c r="AX61" s="82">
        <v>0</v>
      </c>
      <c r="AY61" s="223">
        <v>-174843.72107073152</v>
      </c>
      <c r="AZ61" s="223">
        <v>0</v>
      </c>
      <c r="BA61" s="223">
        <v>-65844.424029262809</v>
      </c>
      <c r="BB61" s="223">
        <v>0</v>
      </c>
      <c r="BC61" s="223">
        <v>-115000</v>
      </c>
      <c r="BD61" s="223">
        <f t="shared" ref="BD61:BD92" si="28">SUM(AX61:BB61)</f>
        <v>-240688.14509999432</v>
      </c>
      <c r="BE61" s="83">
        <f t="shared" si="23"/>
        <v>-355688.14509999432</v>
      </c>
      <c r="BF61" s="78">
        <f>L61+AX61+AY61+BA61+BB61+BC61+AZ61</f>
        <v>1822910.1029000059</v>
      </c>
      <c r="BG61" s="70">
        <f t="shared" si="20"/>
        <v>-4601515.4513027621</v>
      </c>
      <c r="BH61" s="70">
        <f t="shared" si="24"/>
        <v>-2778605.3484027563</v>
      </c>
      <c r="BI61" s="71">
        <f t="shared" si="25"/>
        <v>6607574.7402446689</v>
      </c>
      <c r="BJ61" s="86"/>
    </row>
    <row r="62" spans="1:62" ht="15" customHeight="1">
      <c r="A62" s="35">
        <f t="shared" si="21"/>
        <v>5</v>
      </c>
      <c r="B62" s="87"/>
      <c r="C62" s="36">
        <v>43405</v>
      </c>
      <c r="D62" s="69">
        <v>95647.817857142843</v>
      </c>
      <c r="E62" s="78">
        <v>2455737.2000000002</v>
      </c>
      <c r="F62" s="78">
        <v>69110.337499999994</v>
      </c>
      <c r="G62" s="37">
        <v>0.1</v>
      </c>
      <c r="H62" s="70">
        <f t="shared" si="16"/>
        <v>-245573.72000000003</v>
      </c>
      <c r="I62" s="70">
        <f t="shared" ref="I62:I125" si="29">-H59</f>
        <v>222197.54200000002</v>
      </c>
      <c r="J62" s="79"/>
      <c r="K62" s="79"/>
      <c r="L62" s="79">
        <f t="shared" si="17"/>
        <v>2597119.1773571428</v>
      </c>
      <c r="M62" s="70"/>
      <c r="N62" s="70"/>
      <c r="O62" s="481"/>
      <c r="P62" s="84">
        <v>-1918129.6881143395</v>
      </c>
      <c r="Q62" s="80">
        <v>-209557.71016590775</v>
      </c>
      <c r="R62" s="81">
        <v>0</v>
      </c>
      <c r="S62" s="81">
        <v>0</v>
      </c>
      <c r="T62" s="81">
        <v>0</v>
      </c>
      <c r="U62" s="81">
        <v>-63371</v>
      </c>
      <c r="V62" s="81">
        <v>0</v>
      </c>
      <c r="W62" s="80">
        <v>-95321.16232000009</v>
      </c>
      <c r="X62" s="82">
        <v>-5000</v>
      </c>
      <c r="Y62" s="189">
        <v>-64289.082824999998</v>
      </c>
      <c r="Z62" s="189">
        <v>0</v>
      </c>
      <c r="AA62" s="85">
        <v>-482413.39</v>
      </c>
      <c r="AB62" s="85">
        <v>-2213.0870535714284</v>
      </c>
      <c r="AC62" s="103">
        <v>-52498.51</v>
      </c>
      <c r="AD62" s="85">
        <v>-121742</v>
      </c>
      <c r="AE62" s="85">
        <v>-165643.69</v>
      </c>
      <c r="AF62" s="191">
        <v>-29333.333333333332</v>
      </c>
      <c r="AG62" s="83">
        <v>-25711.75</v>
      </c>
      <c r="AH62" s="69">
        <f t="shared" ref="AH62:AH125" si="30">-L61*6%</f>
        <v>-130715.89488000001</v>
      </c>
      <c r="AI62" s="288">
        <v>-9209.81</v>
      </c>
      <c r="AJ62" s="288">
        <v>-7969</v>
      </c>
      <c r="AK62" s="288">
        <v>-13034.913757279874</v>
      </c>
      <c r="AL62" s="288">
        <v>-75391.28</v>
      </c>
      <c r="AM62" s="288">
        <f t="shared" si="26"/>
        <v>-26143.178976000003</v>
      </c>
      <c r="AN62" s="288">
        <f t="shared" si="27"/>
        <v>-87143.92992000001</v>
      </c>
      <c r="AO62" s="71">
        <v>0</v>
      </c>
      <c r="AP62" s="84">
        <v>0</v>
      </c>
      <c r="AQ62" s="125"/>
      <c r="AR62" s="133"/>
      <c r="AS62" s="78">
        <f t="shared" si="18"/>
        <v>2597119.1773571428</v>
      </c>
      <c r="AT62" s="70">
        <f t="shared" si="19"/>
        <v>-3584832.4113454316</v>
      </c>
      <c r="AU62" s="288">
        <f t="shared" si="10"/>
        <v>-987713.23398828879</v>
      </c>
      <c r="AV62" s="71">
        <f t="shared" si="22"/>
        <v>-6760670.2265447862</v>
      </c>
      <c r="AX62" s="82">
        <v>0</v>
      </c>
      <c r="AY62" s="223">
        <v>-174843.72107073152</v>
      </c>
      <c r="AZ62" s="223">
        <v>0</v>
      </c>
      <c r="BA62" s="223">
        <v>-67219.924029262809</v>
      </c>
      <c r="BB62" s="223">
        <v>0</v>
      </c>
      <c r="BC62" s="223">
        <v>-115000</v>
      </c>
      <c r="BD62" s="223">
        <f t="shared" si="28"/>
        <v>-242063.64509999432</v>
      </c>
      <c r="BE62" s="83">
        <f t="shared" si="23"/>
        <v>-357063.64509999432</v>
      </c>
      <c r="BF62" s="78">
        <f t="shared" ref="BF62:BF124" si="31">L62+AX62+AY62+BA62+BB62+BC62+AZ62</f>
        <v>2240055.5322571485</v>
      </c>
      <c r="BG62" s="70">
        <f t="shared" si="20"/>
        <v>-3584832.4113454316</v>
      </c>
      <c r="BH62" s="70">
        <f t="shared" si="24"/>
        <v>-1344776.8790882831</v>
      </c>
      <c r="BI62" s="71">
        <f t="shared" si="25"/>
        <v>5262797.8611563854</v>
      </c>
      <c r="BJ62" s="86"/>
    </row>
    <row r="63" spans="1:62" ht="15" customHeight="1">
      <c r="A63" s="35">
        <f t="shared" si="21"/>
        <v>6</v>
      </c>
      <c r="B63" s="87"/>
      <c r="C63" s="36">
        <v>43435</v>
      </c>
      <c r="D63" s="69">
        <v>150179.7082142857</v>
      </c>
      <c r="E63" s="78">
        <v>2461625.42</v>
      </c>
      <c r="F63" s="78">
        <v>69110.337499999994</v>
      </c>
      <c r="G63" s="37">
        <v>0.1</v>
      </c>
      <c r="H63" s="70">
        <f t="shared" si="16"/>
        <v>-246162.54200000002</v>
      </c>
      <c r="I63" s="70">
        <f t="shared" si="29"/>
        <v>223898.68100000001</v>
      </c>
      <c r="J63" s="79"/>
      <c r="K63" s="79"/>
      <c r="L63" s="79">
        <f t="shared" si="17"/>
        <v>2658651.6047142856</v>
      </c>
      <c r="M63" s="70"/>
      <c r="N63" s="70"/>
      <c r="O63" s="481"/>
      <c r="P63" s="84">
        <v>-1918129.6881143395</v>
      </c>
      <c r="Q63" s="80">
        <v>-209557.71016590772</v>
      </c>
      <c r="R63" s="81">
        <v>0</v>
      </c>
      <c r="S63" s="81">
        <v>0</v>
      </c>
      <c r="T63" s="81">
        <v>0</v>
      </c>
      <c r="U63" s="81">
        <v>0</v>
      </c>
      <c r="V63" s="81">
        <v>0</v>
      </c>
      <c r="W63" s="80">
        <v>-95321.16232000009</v>
      </c>
      <c r="X63" s="82">
        <v>-5000</v>
      </c>
      <c r="Y63" s="189">
        <v>-77833.578503571422</v>
      </c>
      <c r="Z63" s="189">
        <v>0</v>
      </c>
      <c r="AA63" s="85">
        <v>-277514.40000000002</v>
      </c>
      <c r="AB63" s="85">
        <v>-3521.7506696428572</v>
      </c>
      <c r="AC63" s="103">
        <v>-52467.32</v>
      </c>
      <c r="AD63" s="85">
        <v>0</v>
      </c>
      <c r="AE63" s="85">
        <v>-165643.69</v>
      </c>
      <c r="AF63" s="191">
        <v>-46800</v>
      </c>
      <c r="AG63" s="83">
        <v>-25711.75</v>
      </c>
      <c r="AH63" s="69">
        <f t="shared" si="30"/>
        <v>-155827.15064142857</v>
      </c>
      <c r="AI63" s="288">
        <v>-9209.81</v>
      </c>
      <c r="AJ63" s="288">
        <v>-7969</v>
      </c>
      <c r="AK63" s="288">
        <v>-13197.860397282708</v>
      </c>
      <c r="AL63" s="288">
        <v>-66303.710000000006</v>
      </c>
      <c r="AM63" s="288">
        <f t="shared" si="26"/>
        <v>-31165.430128285716</v>
      </c>
      <c r="AN63" s="288">
        <f t="shared" si="27"/>
        <v>-103884.76709428571</v>
      </c>
      <c r="AO63" s="71">
        <v>0</v>
      </c>
      <c r="AP63" s="84">
        <v>0</v>
      </c>
      <c r="AQ63" s="125"/>
      <c r="AR63" s="133"/>
      <c r="AS63" s="78">
        <f t="shared" si="18"/>
        <v>2658651.6047142856</v>
      </c>
      <c r="AT63" s="70">
        <f t="shared" si="19"/>
        <v>-3265058.7780347439</v>
      </c>
      <c r="AU63" s="288">
        <f t="shared" si="10"/>
        <v>-606407.17332045827</v>
      </c>
      <c r="AV63" s="71">
        <f t="shared" si="22"/>
        <v>-7367077.3998652445</v>
      </c>
      <c r="AX63" s="82">
        <v>0</v>
      </c>
      <c r="AY63" s="223">
        <v>-174843.72107073152</v>
      </c>
      <c r="AZ63" s="223">
        <v>0</v>
      </c>
      <c r="BA63" s="223">
        <v>-68983.924029262809</v>
      </c>
      <c r="BB63" s="223">
        <v>0</v>
      </c>
      <c r="BC63" s="223">
        <v>-115000</v>
      </c>
      <c r="BD63" s="223">
        <f t="shared" si="28"/>
        <v>-243827.64509999432</v>
      </c>
      <c r="BE63" s="83">
        <f t="shared" si="23"/>
        <v>-358827.64509999432</v>
      </c>
      <c r="BF63" s="78">
        <f t="shared" si="31"/>
        <v>2299823.9596142913</v>
      </c>
      <c r="BG63" s="70">
        <f t="shared" si="20"/>
        <v>-3265058.7780347439</v>
      </c>
      <c r="BH63" s="70">
        <f t="shared" si="24"/>
        <v>-965234.81842045253</v>
      </c>
      <c r="BI63" s="71">
        <f t="shared" si="25"/>
        <v>4297563.0427359324</v>
      </c>
      <c r="BJ63" s="86"/>
    </row>
    <row r="64" spans="1:62" ht="15" customHeight="1">
      <c r="A64" s="35">
        <f t="shared" si="21"/>
        <v>7</v>
      </c>
      <c r="B64" s="87"/>
      <c r="C64" s="36">
        <v>43466</v>
      </c>
      <c r="D64" s="69">
        <v>228130.47428571427</v>
      </c>
      <c r="E64" s="78">
        <v>2468998.4500000002</v>
      </c>
      <c r="F64" s="78">
        <v>69110.337499999994</v>
      </c>
      <c r="G64" s="37">
        <v>0.1</v>
      </c>
      <c r="H64" s="70">
        <f t="shared" si="16"/>
        <v>-246899.84500000003</v>
      </c>
      <c r="I64" s="70">
        <f t="shared" si="29"/>
        <v>242066.47200000004</v>
      </c>
      <c r="J64" s="79"/>
      <c r="K64" s="79"/>
      <c r="L64" s="79">
        <f t="shared" si="17"/>
        <v>2761405.8887857143</v>
      </c>
      <c r="M64" s="70"/>
      <c r="N64" s="70"/>
      <c r="O64" s="481"/>
      <c r="P64" s="84">
        <v>-1918129.6881143395</v>
      </c>
      <c r="Q64" s="80">
        <v>-209557.71016590772</v>
      </c>
      <c r="R64" s="81">
        <v>0</v>
      </c>
      <c r="S64" s="81">
        <v>0</v>
      </c>
      <c r="T64" s="81">
        <v>0</v>
      </c>
      <c r="U64" s="81">
        <v>0</v>
      </c>
      <c r="V64" s="81">
        <v>0</v>
      </c>
      <c r="W64" s="80">
        <v>-95321.16232000009</v>
      </c>
      <c r="X64" s="82">
        <v>-5000</v>
      </c>
      <c r="Y64" s="189">
        <v>-139983.42461785715</v>
      </c>
      <c r="Z64" s="189">
        <v>0</v>
      </c>
      <c r="AA64" s="85">
        <v>-254589.19</v>
      </c>
      <c r="AB64" s="85">
        <v>-5218.0243303571433</v>
      </c>
      <c r="AC64" s="103">
        <v>-52490.65</v>
      </c>
      <c r="AD64" s="85">
        <v>0</v>
      </c>
      <c r="AE64" s="85">
        <v>-165643.69</v>
      </c>
      <c r="AF64" s="191">
        <v>-69200</v>
      </c>
      <c r="AG64" s="83">
        <v>0</v>
      </c>
      <c r="AH64" s="69">
        <f t="shared" si="30"/>
        <v>-159519.09628285712</v>
      </c>
      <c r="AI64" s="288">
        <v>-9209.81</v>
      </c>
      <c r="AJ64" s="288">
        <v>-7969</v>
      </c>
      <c r="AK64" s="288">
        <v>-13383.091551579251</v>
      </c>
      <c r="AL64" s="288">
        <v>-58596.62</v>
      </c>
      <c r="AM64" s="288">
        <f t="shared" si="26"/>
        <v>-31903.819256571427</v>
      </c>
      <c r="AN64" s="288">
        <f t="shared" si="27"/>
        <v>-106346.06418857143</v>
      </c>
      <c r="AO64" s="71">
        <v>0</v>
      </c>
      <c r="AP64" s="84">
        <v>0</v>
      </c>
      <c r="AQ64" s="125"/>
      <c r="AR64" s="133"/>
      <c r="AS64" s="78">
        <f t="shared" si="18"/>
        <v>2761405.8887857143</v>
      </c>
      <c r="AT64" s="70">
        <f t="shared" si="19"/>
        <v>-3302061.0408280408</v>
      </c>
      <c r="AU64" s="288">
        <f t="shared" si="10"/>
        <v>-540655.15204232652</v>
      </c>
      <c r="AV64" s="71">
        <f t="shared" si="22"/>
        <v>-7907732.551907571</v>
      </c>
      <c r="AX64" s="82">
        <v>27000000</v>
      </c>
      <c r="AY64" s="223">
        <v>-174843.72107073152</v>
      </c>
      <c r="AZ64" s="223">
        <v>0</v>
      </c>
      <c r="BA64" s="223">
        <v>-70086.424029262809</v>
      </c>
      <c r="BB64" s="485">
        <v>-3591967</v>
      </c>
      <c r="BC64" s="223">
        <v>-115000</v>
      </c>
      <c r="BD64" s="223">
        <f t="shared" si="28"/>
        <v>23163102.854900002</v>
      </c>
      <c r="BE64" s="83">
        <f t="shared" si="23"/>
        <v>-3951897.1450999943</v>
      </c>
      <c r="BF64" s="78">
        <f t="shared" si="31"/>
        <v>25809508.743685715</v>
      </c>
      <c r="BG64" s="70">
        <f t="shared" si="20"/>
        <v>-3302061.0408280408</v>
      </c>
      <c r="BH64" s="70">
        <f t="shared" si="24"/>
        <v>22507447.702857673</v>
      </c>
      <c r="BI64" s="71">
        <f t="shared" si="25"/>
        <v>26805010.745593607</v>
      </c>
      <c r="BJ64" s="86"/>
    </row>
    <row r="65" spans="1:62" ht="15" customHeight="1">
      <c r="A65" s="35">
        <f t="shared" si="21"/>
        <v>8</v>
      </c>
      <c r="B65" s="88"/>
      <c r="C65" s="36">
        <v>43497</v>
      </c>
      <c r="D65" s="69">
        <v>273900.61535714281</v>
      </c>
      <c r="E65" s="78">
        <v>2473272.14</v>
      </c>
      <c r="F65" s="78">
        <v>69110.337499999994</v>
      </c>
      <c r="G65" s="37">
        <v>0.1</v>
      </c>
      <c r="H65" s="70">
        <f t="shared" si="16"/>
        <v>-247327.21400000004</v>
      </c>
      <c r="I65" s="70">
        <f t="shared" si="29"/>
        <v>245573.72000000003</v>
      </c>
      <c r="J65" s="79"/>
      <c r="K65" s="79"/>
      <c r="L65" s="79">
        <f t="shared" si="17"/>
        <v>2814529.598857143</v>
      </c>
      <c r="M65" s="70"/>
      <c r="N65" s="70"/>
      <c r="O65" s="481"/>
      <c r="P65" s="84">
        <v>-1918129.6881143395</v>
      </c>
      <c r="Q65" s="80">
        <v>-209557.71016590769</v>
      </c>
      <c r="R65" s="81">
        <v>0</v>
      </c>
      <c r="S65" s="81">
        <v>0</v>
      </c>
      <c r="T65" s="81">
        <v>0</v>
      </c>
      <c r="U65" s="81">
        <v>0</v>
      </c>
      <c r="V65" s="81">
        <v>0</v>
      </c>
      <c r="W65" s="80">
        <v>-95321.16232000009</v>
      </c>
      <c r="X65" s="82">
        <v>-5000</v>
      </c>
      <c r="Y65" s="189">
        <v>-178086.8440607143</v>
      </c>
      <c r="Z65" s="189">
        <v>0</v>
      </c>
      <c r="AA65" s="85">
        <v>-242080.33</v>
      </c>
      <c r="AB65" s="85">
        <v>-6260.6058035714286</v>
      </c>
      <c r="AC65" s="103">
        <v>-52438.46</v>
      </c>
      <c r="AD65" s="85">
        <v>0</v>
      </c>
      <c r="AE65" s="85">
        <v>-165643.69</v>
      </c>
      <c r="AF65" s="191">
        <v>-83200</v>
      </c>
      <c r="AG65" s="83">
        <v>0</v>
      </c>
      <c r="AH65" s="69">
        <f t="shared" si="30"/>
        <v>-165684.35332714286</v>
      </c>
      <c r="AI65" s="288">
        <v>-9209.81</v>
      </c>
      <c r="AJ65" s="288">
        <v>-7969</v>
      </c>
      <c r="AK65" s="288">
        <v>-13668.399286116743</v>
      </c>
      <c r="AL65" s="288">
        <v>-51471.91</v>
      </c>
      <c r="AM65" s="288">
        <f t="shared" si="26"/>
        <v>-33136.870665428571</v>
      </c>
      <c r="AN65" s="288">
        <f t="shared" si="27"/>
        <v>-110456.23555142857</v>
      </c>
      <c r="AO65" s="71">
        <v>0</v>
      </c>
      <c r="AP65" s="84">
        <v>0</v>
      </c>
      <c r="AQ65" s="125"/>
      <c r="AR65" s="133"/>
      <c r="AS65" s="78">
        <f t="shared" si="18"/>
        <v>2814529.598857143</v>
      </c>
      <c r="AT65" s="70">
        <f t="shared" si="19"/>
        <v>-3347315.0692946506</v>
      </c>
      <c r="AU65" s="288">
        <f t="shared" si="10"/>
        <v>-532785.47043750761</v>
      </c>
      <c r="AV65" s="71">
        <f t="shared" si="22"/>
        <v>-8440518.0223450791</v>
      </c>
      <c r="AX65" s="82">
        <v>0</v>
      </c>
      <c r="AY65" s="223">
        <v>-174843.72107073152</v>
      </c>
      <c r="AZ65" s="223">
        <v>-314718.69792731677</v>
      </c>
      <c r="BA65" s="223">
        <v>-75535.924029262809</v>
      </c>
      <c r="BB65" s="223">
        <v>0</v>
      </c>
      <c r="BC65" s="223">
        <v>-115000</v>
      </c>
      <c r="BD65" s="223">
        <f t="shared" si="28"/>
        <v>-565098.34302731114</v>
      </c>
      <c r="BE65" s="83">
        <f t="shared" si="23"/>
        <v>-680098.34302731114</v>
      </c>
      <c r="BF65" s="78">
        <f t="shared" si="31"/>
        <v>2134431.2558298321</v>
      </c>
      <c r="BG65" s="70">
        <f t="shared" si="20"/>
        <v>-3347315.0692946506</v>
      </c>
      <c r="BH65" s="70">
        <f t="shared" si="24"/>
        <v>-1212883.8134648185</v>
      </c>
      <c r="BI65" s="71">
        <f t="shared" si="25"/>
        <v>25592126.932128787</v>
      </c>
      <c r="BJ65" s="86"/>
    </row>
    <row r="66" spans="1:62" ht="15" customHeight="1">
      <c r="A66" s="35">
        <f t="shared" si="21"/>
        <v>9</v>
      </c>
      <c r="B66" s="88"/>
      <c r="C66" s="36">
        <v>43525</v>
      </c>
      <c r="D66" s="69">
        <v>513954.33142857137</v>
      </c>
      <c r="E66" s="78">
        <v>2477068.15</v>
      </c>
      <c r="F66" s="78">
        <v>69110.337499999994</v>
      </c>
      <c r="G66" s="37">
        <v>0.1</v>
      </c>
      <c r="H66" s="70">
        <f t="shared" si="16"/>
        <v>-247706.815</v>
      </c>
      <c r="I66" s="70">
        <f t="shared" si="29"/>
        <v>246162.54200000002</v>
      </c>
      <c r="J66" s="79"/>
      <c r="K66" s="79"/>
      <c r="L66" s="79">
        <f t="shared" si="17"/>
        <v>3058588.5459285714</v>
      </c>
      <c r="M66" s="70"/>
      <c r="N66" s="70"/>
      <c r="O66" s="481"/>
      <c r="P66" s="84">
        <v>-1918129.6881143395</v>
      </c>
      <c r="Q66" s="80">
        <v>-209557.71016590769</v>
      </c>
      <c r="R66" s="81">
        <v>0</v>
      </c>
      <c r="S66" s="81">
        <v>0</v>
      </c>
      <c r="T66" s="81">
        <v>0</v>
      </c>
      <c r="U66" s="81">
        <v>0</v>
      </c>
      <c r="V66" s="81">
        <v>0</v>
      </c>
      <c r="W66" s="80">
        <v>-95321.16232000009</v>
      </c>
      <c r="X66" s="82">
        <v>-5000</v>
      </c>
      <c r="Y66" s="189">
        <v>-196495.60750714288</v>
      </c>
      <c r="Z66" s="189">
        <v>0</v>
      </c>
      <c r="AA66" s="85">
        <v>-221053.73</v>
      </c>
      <c r="AB66" s="85">
        <v>-11547.709151785713</v>
      </c>
      <c r="AC66" s="103">
        <v>-52361.09</v>
      </c>
      <c r="AD66" s="85">
        <v>0</v>
      </c>
      <c r="AE66" s="85">
        <v>-165643.69</v>
      </c>
      <c r="AF66" s="191">
        <v>-152400</v>
      </c>
      <c r="AG66" s="83">
        <v>0</v>
      </c>
      <c r="AH66" s="69">
        <f t="shared" si="30"/>
        <v>-168871.77593142856</v>
      </c>
      <c r="AI66" s="288">
        <v>-9209.81</v>
      </c>
      <c r="AJ66" s="288">
        <v>-7969</v>
      </c>
      <c r="AK66" s="288">
        <v>-13803.312489435404</v>
      </c>
      <c r="AL66" s="288">
        <v>-42786.68</v>
      </c>
      <c r="AM66" s="288">
        <f t="shared" si="26"/>
        <v>-33774.355186285713</v>
      </c>
      <c r="AN66" s="288">
        <f t="shared" si="27"/>
        <v>-112581.18395428572</v>
      </c>
      <c r="AO66" s="71">
        <v>0</v>
      </c>
      <c r="AP66" s="84">
        <v>0</v>
      </c>
      <c r="AQ66" s="125"/>
      <c r="AR66" s="133"/>
      <c r="AS66" s="78">
        <f t="shared" si="18"/>
        <v>3058588.5459285714</v>
      </c>
      <c r="AT66" s="70">
        <f t="shared" si="19"/>
        <v>-3416506.5048206118</v>
      </c>
      <c r="AU66" s="288">
        <f t="shared" si="10"/>
        <v>-357917.95889204042</v>
      </c>
      <c r="AV66" s="71">
        <f t="shared" si="22"/>
        <v>-8798435.9812371191</v>
      </c>
      <c r="AX66" s="82">
        <v>0</v>
      </c>
      <c r="AY66" s="223">
        <v>-174843.72107073152</v>
      </c>
      <c r="AZ66" s="223">
        <v>-314718.69792731677</v>
      </c>
      <c r="BA66" s="223">
        <v>-78370.924029262809</v>
      </c>
      <c r="BB66" s="223">
        <v>0</v>
      </c>
      <c r="BC66" s="223">
        <v>-115000</v>
      </c>
      <c r="BD66" s="223">
        <f t="shared" si="28"/>
        <v>-567933.34302731114</v>
      </c>
      <c r="BE66" s="83">
        <f t="shared" si="23"/>
        <v>-682933.34302731114</v>
      </c>
      <c r="BF66" s="78">
        <f t="shared" si="31"/>
        <v>2375655.2029012605</v>
      </c>
      <c r="BG66" s="70">
        <f t="shared" si="20"/>
        <v>-3416506.5048206118</v>
      </c>
      <c r="BH66" s="70">
        <f t="shared" si="24"/>
        <v>-1040851.3019193513</v>
      </c>
      <c r="BI66" s="71">
        <f t="shared" si="25"/>
        <v>24551275.630209435</v>
      </c>
      <c r="BJ66" s="86"/>
    </row>
    <row r="67" spans="1:62" ht="15" customHeight="1">
      <c r="A67" s="35">
        <f t="shared" si="21"/>
        <v>10</v>
      </c>
      <c r="B67" s="87"/>
      <c r="C67" s="36">
        <v>43556</v>
      </c>
      <c r="D67" s="69">
        <v>638500.939047619</v>
      </c>
      <c r="E67" s="78">
        <v>2478316.34</v>
      </c>
      <c r="F67" s="78">
        <v>69110.337499999994</v>
      </c>
      <c r="G67" s="37">
        <v>0.1</v>
      </c>
      <c r="H67" s="70">
        <f t="shared" si="16"/>
        <v>-247831.63399999999</v>
      </c>
      <c r="I67" s="70">
        <f t="shared" si="29"/>
        <v>246899.84500000003</v>
      </c>
      <c r="J67" s="79"/>
      <c r="K67" s="79"/>
      <c r="L67" s="79">
        <f t="shared" si="17"/>
        <v>3184995.8275476187</v>
      </c>
      <c r="M67" s="70"/>
      <c r="N67" s="70"/>
      <c r="O67" s="481"/>
      <c r="P67" s="84">
        <v>-1918129.6881143395</v>
      </c>
      <c r="Q67" s="80">
        <v>-209557.71016590769</v>
      </c>
      <c r="R67" s="81">
        <v>0</v>
      </c>
      <c r="S67" s="81">
        <v>0</v>
      </c>
      <c r="T67" s="81">
        <v>0</v>
      </c>
      <c r="U67" s="81">
        <v>0</v>
      </c>
      <c r="V67" s="81">
        <v>0</v>
      </c>
      <c r="W67" s="80">
        <v>-95321.16232000009</v>
      </c>
      <c r="X67" s="82">
        <v>-5000</v>
      </c>
      <c r="Y67" s="189">
        <v>-201655.71057857145</v>
      </c>
      <c r="Z67" s="189">
        <v>0</v>
      </c>
      <c r="AA67" s="85">
        <v>-176529.34</v>
      </c>
      <c r="AB67" s="85">
        <v>-14607.653794642856</v>
      </c>
      <c r="AC67" s="103">
        <v>-52371.73</v>
      </c>
      <c r="AD67" s="85">
        <v>0</v>
      </c>
      <c r="AE67" s="85">
        <v>-165643.69</v>
      </c>
      <c r="AF67" s="191">
        <v>-193200</v>
      </c>
      <c r="AG67" s="83">
        <v>0</v>
      </c>
      <c r="AH67" s="69">
        <f t="shared" si="30"/>
        <v>-183515.31275571429</v>
      </c>
      <c r="AI67" s="288">
        <v>-9209.81</v>
      </c>
      <c r="AJ67" s="288">
        <v>-23969</v>
      </c>
      <c r="AK67" s="288">
        <v>-14069.046376219576</v>
      </c>
      <c r="AL67" s="288">
        <v>-40237.620000000003</v>
      </c>
      <c r="AM67" s="288">
        <f t="shared" si="26"/>
        <v>-36703.062551142859</v>
      </c>
      <c r="AN67" s="288">
        <f t="shared" si="27"/>
        <v>-122343.54183714285</v>
      </c>
      <c r="AO67" s="71">
        <v>-10000</v>
      </c>
      <c r="AP67" s="84">
        <v>0</v>
      </c>
      <c r="AQ67" s="125"/>
      <c r="AR67" s="133"/>
      <c r="AS67" s="78">
        <f t="shared" si="18"/>
        <v>3184995.8275476187</v>
      </c>
      <c r="AT67" s="70">
        <f t="shared" si="19"/>
        <v>-3472064.0784936808</v>
      </c>
      <c r="AU67" s="288">
        <f t="shared" si="10"/>
        <v>-287068.25094606215</v>
      </c>
      <c r="AV67" s="71">
        <f t="shared" si="22"/>
        <v>-9085504.2321831807</v>
      </c>
      <c r="AX67" s="82">
        <v>0</v>
      </c>
      <c r="AY67" s="223">
        <v>-174843.72107073152</v>
      </c>
      <c r="AZ67" s="223">
        <v>-314718.69792731677</v>
      </c>
      <c r="BA67" s="223">
        <v>-79945.924029262809</v>
      </c>
      <c r="BB67" s="223">
        <v>0</v>
      </c>
      <c r="BC67" s="223">
        <v>-115000</v>
      </c>
      <c r="BD67" s="223">
        <f t="shared" si="28"/>
        <v>-569508.34302731114</v>
      </c>
      <c r="BE67" s="83">
        <f t="shared" si="23"/>
        <v>-684508.34302731114</v>
      </c>
      <c r="BF67" s="78">
        <f t="shared" si="31"/>
        <v>2500487.4845203077</v>
      </c>
      <c r="BG67" s="70">
        <f t="shared" si="20"/>
        <v>-3472064.0784936808</v>
      </c>
      <c r="BH67" s="70">
        <f t="shared" si="24"/>
        <v>-971576.59397337306</v>
      </c>
      <c r="BI67" s="71">
        <f t="shared" si="25"/>
        <v>23579699.036236063</v>
      </c>
      <c r="BJ67" s="86"/>
    </row>
    <row r="68" spans="1:62" ht="15" customHeight="1">
      <c r="A68" s="35">
        <f t="shared" si="21"/>
        <v>11</v>
      </c>
      <c r="B68" s="87"/>
      <c r="C68" s="36">
        <v>43586</v>
      </c>
      <c r="D68" s="69">
        <v>725772.28166666662</v>
      </c>
      <c r="E68" s="78">
        <v>2477298.59</v>
      </c>
      <c r="F68" s="78">
        <v>69110.337499999994</v>
      </c>
      <c r="G68" s="37">
        <v>0.1</v>
      </c>
      <c r="H68" s="70">
        <f t="shared" si="16"/>
        <v>-247729.859</v>
      </c>
      <c r="I68" s="70">
        <f t="shared" si="29"/>
        <v>247327.21400000004</v>
      </c>
      <c r="J68" s="79"/>
      <c r="K68" s="79"/>
      <c r="L68" s="79">
        <f t="shared" si="17"/>
        <v>3271778.5641666665</v>
      </c>
      <c r="M68" s="70"/>
      <c r="N68" s="70"/>
      <c r="O68" s="481"/>
      <c r="P68" s="84">
        <v>-1918129.6881143395</v>
      </c>
      <c r="Q68" s="80">
        <v>-209557.71016590769</v>
      </c>
      <c r="R68" s="81">
        <v>0</v>
      </c>
      <c r="S68" s="81">
        <v>0</v>
      </c>
      <c r="T68" s="81">
        <v>0</v>
      </c>
      <c r="U68" s="81">
        <v>0</v>
      </c>
      <c r="V68" s="81">
        <v>0</v>
      </c>
      <c r="W68" s="80">
        <v>-95321.16232000009</v>
      </c>
      <c r="X68" s="82">
        <v>-5000</v>
      </c>
      <c r="Y68" s="189">
        <v>-212904.68875714284</v>
      </c>
      <c r="Z68" s="189">
        <v>0</v>
      </c>
      <c r="AA68" s="85">
        <v>-161299.94</v>
      </c>
      <c r="AB68" s="85">
        <v>-16136.346874999999</v>
      </c>
      <c r="AC68" s="103">
        <v>-52329.99</v>
      </c>
      <c r="AD68" s="85">
        <v>0</v>
      </c>
      <c r="AE68" s="85">
        <v>-165643.69</v>
      </c>
      <c r="AF68" s="191">
        <v>-183866.66666666666</v>
      </c>
      <c r="AG68" s="83">
        <v>0</v>
      </c>
      <c r="AH68" s="69">
        <f t="shared" si="30"/>
        <v>-191099.74965285711</v>
      </c>
      <c r="AI68" s="288">
        <v>-9209.81</v>
      </c>
      <c r="AJ68" s="288">
        <v>-23969</v>
      </c>
      <c r="AK68" s="288">
        <v>-14677.486931004543</v>
      </c>
      <c r="AL68" s="288">
        <v>-34414.14</v>
      </c>
      <c r="AM68" s="288">
        <f t="shared" si="26"/>
        <v>-38219.949930571427</v>
      </c>
      <c r="AN68" s="288">
        <f t="shared" si="27"/>
        <v>-127399.83310190475</v>
      </c>
      <c r="AO68" s="71">
        <v>0</v>
      </c>
      <c r="AP68" s="84">
        <v>0</v>
      </c>
      <c r="AQ68" s="125"/>
      <c r="AR68" s="133"/>
      <c r="AS68" s="78">
        <f t="shared" si="18"/>
        <v>3271778.5641666665</v>
      </c>
      <c r="AT68" s="70">
        <f t="shared" si="19"/>
        <v>-3459179.8525153948</v>
      </c>
      <c r="AU68" s="288">
        <f t="shared" si="10"/>
        <v>-187401.28834872833</v>
      </c>
      <c r="AV68" s="71">
        <f t="shared" si="22"/>
        <v>-9272905.5205319095</v>
      </c>
      <c r="AX68" s="82">
        <v>0</v>
      </c>
      <c r="AY68" s="223">
        <v>-174843.72107073152</v>
      </c>
      <c r="AZ68" s="223">
        <v>-314718.69792731677</v>
      </c>
      <c r="BA68" s="223">
        <v>-80418.424029262809</v>
      </c>
      <c r="BB68" s="223">
        <v>0</v>
      </c>
      <c r="BC68" s="223">
        <v>-115000</v>
      </c>
      <c r="BD68" s="223">
        <f t="shared" si="28"/>
        <v>-569980.84302731114</v>
      </c>
      <c r="BE68" s="83">
        <f t="shared" si="23"/>
        <v>-684980.84302731114</v>
      </c>
      <c r="BF68" s="78">
        <f t="shared" si="31"/>
        <v>2586797.7211393556</v>
      </c>
      <c r="BG68" s="70">
        <f t="shared" si="20"/>
        <v>-3459179.8525153948</v>
      </c>
      <c r="BH68" s="70">
        <f t="shared" si="24"/>
        <v>-872382.13137603924</v>
      </c>
      <c r="BI68" s="71">
        <f t="shared" si="25"/>
        <v>22707316.904860023</v>
      </c>
      <c r="BJ68" s="86"/>
    </row>
    <row r="69" spans="1:62" ht="15" customHeight="1">
      <c r="A69" s="35">
        <f t="shared" si="21"/>
        <v>12</v>
      </c>
      <c r="B69" s="87"/>
      <c r="C69" s="36">
        <v>43617</v>
      </c>
      <c r="D69" s="69">
        <v>745105.49178571429</v>
      </c>
      <c r="E69" s="78">
        <v>2477603.41</v>
      </c>
      <c r="F69" s="78">
        <v>69110.337499999994</v>
      </c>
      <c r="G69" s="37">
        <v>0.1</v>
      </c>
      <c r="H69" s="70">
        <f t="shared" si="16"/>
        <v>-247760.34100000001</v>
      </c>
      <c r="I69" s="70">
        <f t="shared" si="29"/>
        <v>247706.815</v>
      </c>
      <c r="J69" s="79"/>
      <c r="K69" s="79"/>
      <c r="L69" s="79">
        <f t="shared" si="17"/>
        <v>3291765.7132857144</v>
      </c>
      <c r="M69" s="70"/>
      <c r="N69" s="70"/>
      <c r="O69" s="481"/>
      <c r="P69" s="84">
        <v>-1918129.6881143395</v>
      </c>
      <c r="Q69" s="80">
        <v>-209557.71016590766</v>
      </c>
      <c r="R69" s="81">
        <v>-972900</v>
      </c>
      <c r="S69" s="81">
        <v>0</v>
      </c>
      <c r="T69" s="81">
        <v>-60000</v>
      </c>
      <c r="U69" s="81">
        <v>0</v>
      </c>
      <c r="V69" s="81">
        <v>0</v>
      </c>
      <c r="W69" s="80">
        <v>-95321.16232000009</v>
      </c>
      <c r="X69" s="82">
        <v>-5000</v>
      </c>
      <c r="Y69" s="189">
        <v>-226806.17586428573</v>
      </c>
      <c r="Z69" s="189">
        <v>0</v>
      </c>
      <c r="AA69" s="85">
        <v>-139008.51999999999</v>
      </c>
      <c r="AB69" s="85">
        <v>-16590.477455357141</v>
      </c>
      <c r="AC69" s="103">
        <v>-52350.45</v>
      </c>
      <c r="AD69" s="85">
        <v>0</v>
      </c>
      <c r="AE69" s="85">
        <v>0</v>
      </c>
      <c r="AF69" s="191">
        <v>-172400</v>
      </c>
      <c r="AG69" s="83">
        <v>0</v>
      </c>
      <c r="AH69" s="69">
        <f t="shared" si="30"/>
        <v>-196306.71384999997</v>
      </c>
      <c r="AI69" s="288">
        <v>-9209.81</v>
      </c>
      <c r="AJ69" s="288">
        <v>-7969</v>
      </c>
      <c r="AK69" s="288">
        <v>-15097.477033261381</v>
      </c>
      <c r="AL69" s="288">
        <v>-29838.75</v>
      </c>
      <c r="AM69" s="288">
        <f t="shared" si="26"/>
        <v>-39261.342769999996</v>
      </c>
      <c r="AN69" s="288">
        <f t="shared" si="27"/>
        <v>-130871.14256666666</v>
      </c>
      <c r="AO69" s="71">
        <v>0</v>
      </c>
      <c r="AP69" s="84">
        <v>0</v>
      </c>
      <c r="AQ69" s="125">
        <v>0</v>
      </c>
      <c r="AR69" s="133"/>
      <c r="AS69" s="78">
        <f t="shared" si="18"/>
        <v>3291765.7132857144</v>
      </c>
      <c r="AT69" s="70">
        <f t="shared" si="19"/>
        <v>-4296618.4201398185</v>
      </c>
      <c r="AU69" s="288">
        <f t="shared" si="10"/>
        <v>-1004852.7068541041</v>
      </c>
      <c r="AV69" s="71">
        <f t="shared" si="22"/>
        <v>-10277758.227386013</v>
      </c>
      <c r="AX69" s="82">
        <v>0</v>
      </c>
      <c r="AY69" s="223">
        <v>-174843.72107073152</v>
      </c>
      <c r="AZ69" s="223">
        <v>-314718.69792731677</v>
      </c>
      <c r="BA69" s="223">
        <v>-81468.424029262809</v>
      </c>
      <c r="BB69" s="223">
        <v>0</v>
      </c>
      <c r="BC69" s="223">
        <v>-115000</v>
      </c>
      <c r="BD69" s="223">
        <f t="shared" si="28"/>
        <v>-571030.84302731114</v>
      </c>
      <c r="BE69" s="83">
        <f t="shared" si="23"/>
        <v>-686030.84302731114</v>
      </c>
      <c r="BF69" s="78">
        <f t="shared" si="31"/>
        <v>2605734.8702584035</v>
      </c>
      <c r="BG69" s="70">
        <f t="shared" si="20"/>
        <v>-4296618.4201398185</v>
      </c>
      <c r="BH69" s="70">
        <f t="shared" si="24"/>
        <v>-1690883.549881415</v>
      </c>
      <c r="BI69" s="71">
        <f t="shared" si="25"/>
        <v>21016433.35497861</v>
      </c>
      <c r="BJ69" s="86"/>
    </row>
    <row r="70" spans="1:62" ht="15" customHeight="1">
      <c r="A70" s="35">
        <f t="shared" si="21"/>
        <v>13</v>
      </c>
      <c r="B70" s="87"/>
      <c r="C70" s="36">
        <v>43647</v>
      </c>
      <c r="D70" s="69">
        <v>787321.33226190472</v>
      </c>
      <c r="E70" s="78">
        <v>2478692.7599999998</v>
      </c>
      <c r="F70" s="78">
        <v>69110.337499999994</v>
      </c>
      <c r="G70" s="37">
        <v>0.1</v>
      </c>
      <c r="H70" s="70">
        <f t="shared" si="16"/>
        <v>-247869.27599999998</v>
      </c>
      <c r="I70" s="70">
        <f t="shared" si="29"/>
        <v>247831.63399999999</v>
      </c>
      <c r="J70" s="79"/>
      <c r="K70" s="79"/>
      <c r="L70" s="79">
        <f t="shared" si="17"/>
        <v>3335086.7877619043</v>
      </c>
      <c r="M70" s="70"/>
      <c r="N70" s="70"/>
      <c r="O70" s="481"/>
      <c r="P70" s="84">
        <v>-1918129.6881143395</v>
      </c>
      <c r="Q70" s="80">
        <v>-209557.71016590766</v>
      </c>
      <c r="R70" s="81">
        <v>-1280592.3076923075</v>
      </c>
      <c r="S70" s="81">
        <v>0</v>
      </c>
      <c r="T70" s="81">
        <v>-60000</v>
      </c>
      <c r="U70" s="81">
        <v>0</v>
      </c>
      <c r="V70" s="81">
        <v>0</v>
      </c>
      <c r="W70" s="80">
        <v>-95321.16232000009</v>
      </c>
      <c r="X70" s="82">
        <v>-2000</v>
      </c>
      <c r="Y70" s="189">
        <v>-244996.40468571428</v>
      </c>
      <c r="Z70" s="189">
        <v>0</v>
      </c>
      <c r="AA70" s="85">
        <v>-108182.15</v>
      </c>
      <c r="AB70" s="85">
        <v>-17601.077901785713</v>
      </c>
      <c r="AC70" s="103">
        <v>-52367.49</v>
      </c>
      <c r="AD70" s="85">
        <v>0</v>
      </c>
      <c r="AE70" s="85">
        <v>0</v>
      </c>
      <c r="AF70" s="191">
        <v>-163333.33333333334</v>
      </c>
      <c r="AG70" s="83">
        <v>0</v>
      </c>
      <c r="AH70" s="69">
        <f t="shared" si="30"/>
        <v>-197505.94279714287</v>
      </c>
      <c r="AI70" s="288">
        <v>-9209.81</v>
      </c>
      <c r="AJ70" s="288">
        <v>-7969</v>
      </c>
      <c r="AK70" s="288">
        <v>-15746.69793105112</v>
      </c>
      <c r="AL70" s="288">
        <v>-26964.79</v>
      </c>
      <c r="AM70" s="288">
        <f t="shared" si="26"/>
        <v>-39501.18855942857</v>
      </c>
      <c r="AN70" s="288">
        <f t="shared" si="27"/>
        <v>-131670.62853142858</v>
      </c>
      <c r="AO70" s="71">
        <v>0</v>
      </c>
      <c r="AP70" s="84">
        <v>0</v>
      </c>
      <c r="AQ70" s="125">
        <v>0</v>
      </c>
      <c r="AR70" s="133"/>
      <c r="AS70" s="78">
        <f t="shared" si="18"/>
        <v>3335086.7877619043</v>
      </c>
      <c r="AT70" s="70">
        <f t="shared" si="19"/>
        <v>-4580649.38203244</v>
      </c>
      <c r="AU70" s="288">
        <f t="shared" ref="AU70:AU133" si="32">SUM(AS70:AT70)</f>
        <v>-1245562.5942705357</v>
      </c>
      <c r="AV70" s="71">
        <f t="shared" si="22"/>
        <v>-11523320.821656547</v>
      </c>
      <c r="AX70" s="82">
        <v>0</v>
      </c>
      <c r="AY70" s="223">
        <v>-174843.72107073152</v>
      </c>
      <c r="AZ70" s="223">
        <v>-314718.69792731677</v>
      </c>
      <c r="BA70" s="223">
        <v>-82780.924029262809</v>
      </c>
      <c r="BB70" s="223">
        <v>0</v>
      </c>
      <c r="BC70" s="223">
        <v>-115000</v>
      </c>
      <c r="BD70" s="223">
        <f t="shared" si="28"/>
        <v>-572343.34302731114</v>
      </c>
      <c r="BE70" s="83">
        <f t="shared" si="23"/>
        <v>-687343.34302731114</v>
      </c>
      <c r="BF70" s="78">
        <f t="shared" si="31"/>
        <v>2647743.4447345934</v>
      </c>
      <c r="BG70" s="70">
        <f t="shared" si="20"/>
        <v>-4580649.38203244</v>
      </c>
      <c r="BH70" s="70">
        <f t="shared" si="24"/>
        <v>-1932905.9372978467</v>
      </c>
      <c r="BI70" s="71">
        <f t="shared" si="25"/>
        <v>19083527.417680763</v>
      </c>
      <c r="BJ70" s="86"/>
    </row>
    <row r="71" spans="1:62" ht="15" customHeight="1">
      <c r="A71" s="35">
        <f t="shared" si="21"/>
        <v>14</v>
      </c>
      <c r="B71" s="87"/>
      <c r="C71" s="36">
        <v>43678</v>
      </c>
      <c r="D71" s="69">
        <v>839906.22928571433</v>
      </c>
      <c r="E71" s="78">
        <v>2478928.9</v>
      </c>
      <c r="F71" s="78">
        <v>69110.337499999994</v>
      </c>
      <c r="G71" s="37">
        <v>0.1</v>
      </c>
      <c r="H71" s="70">
        <f t="shared" si="16"/>
        <v>-247892.89</v>
      </c>
      <c r="I71" s="70">
        <f t="shared" si="29"/>
        <v>247729.859</v>
      </c>
      <c r="J71" s="79"/>
      <c r="K71" s="79"/>
      <c r="L71" s="79">
        <f t="shared" si="17"/>
        <v>3387782.4357857141</v>
      </c>
      <c r="M71" s="70"/>
      <c r="N71" s="70"/>
      <c r="O71" s="481"/>
      <c r="P71" s="84">
        <v>-1918129.6881143395</v>
      </c>
      <c r="Q71" s="80">
        <v>-209557.71016590766</v>
      </c>
      <c r="R71" s="81">
        <v>-1280592.3076923075</v>
      </c>
      <c r="S71" s="81">
        <v>0</v>
      </c>
      <c r="T71" s="81">
        <v>-60000</v>
      </c>
      <c r="U71" s="81">
        <v>0</v>
      </c>
      <c r="V71" s="81">
        <v>0</v>
      </c>
      <c r="W71" s="80">
        <v>-95321.16232000009</v>
      </c>
      <c r="X71" s="82">
        <v>-2000</v>
      </c>
      <c r="Y71" s="189">
        <v>-296425.6563857143</v>
      </c>
      <c r="Z71" s="189">
        <v>0</v>
      </c>
      <c r="AA71" s="85">
        <v>-87692.41</v>
      </c>
      <c r="AB71" s="85">
        <v>-18873.922767857144</v>
      </c>
      <c r="AC71" s="103">
        <v>-52300.54</v>
      </c>
      <c r="AD71" s="85">
        <v>0</v>
      </c>
      <c r="AE71" s="85">
        <v>0</v>
      </c>
      <c r="AF71" s="191">
        <v>-166000</v>
      </c>
      <c r="AG71" s="83">
        <v>0</v>
      </c>
      <c r="AH71" s="69">
        <f t="shared" si="30"/>
        <v>-200105.20726571424</v>
      </c>
      <c r="AI71" s="288">
        <v>-9209.81</v>
      </c>
      <c r="AJ71" s="288">
        <v>-7969</v>
      </c>
      <c r="AK71" s="288">
        <v>-16317.504050439004</v>
      </c>
      <c r="AL71" s="288">
        <v>-24397.08</v>
      </c>
      <c r="AM71" s="288">
        <f t="shared" si="26"/>
        <v>-40021.041453142854</v>
      </c>
      <c r="AN71" s="288">
        <f t="shared" si="27"/>
        <v>-133403.47151047617</v>
      </c>
      <c r="AO71" s="71">
        <v>0</v>
      </c>
      <c r="AP71" s="84">
        <v>0</v>
      </c>
      <c r="AQ71" s="125">
        <v>0</v>
      </c>
      <c r="AR71" s="133"/>
      <c r="AS71" s="78">
        <f t="shared" si="18"/>
        <v>3387782.4357857141</v>
      </c>
      <c r="AT71" s="70">
        <f t="shared" si="19"/>
        <v>-4618316.5117258988</v>
      </c>
      <c r="AU71" s="288">
        <f t="shared" si="32"/>
        <v>-1230534.0759401848</v>
      </c>
      <c r="AV71" s="71">
        <f t="shared" si="22"/>
        <v>-12753854.897596732</v>
      </c>
      <c r="AX71" s="82">
        <v>0</v>
      </c>
      <c r="AY71" s="223">
        <v>-174843.72107073152</v>
      </c>
      <c r="AZ71" s="223">
        <v>-314718.69792731677</v>
      </c>
      <c r="BA71" s="223">
        <v>-84355.924029262809</v>
      </c>
      <c r="BB71" s="223">
        <v>0</v>
      </c>
      <c r="BC71" s="223">
        <v>-115000</v>
      </c>
      <c r="BD71" s="223">
        <f t="shared" si="28"/>
        <v>-573918.34302731114</v>
      </c>
      <c r="BE71" s="83">
        <f t="shared" si="23"/>
        <v>-688918.34302731114</v>
      </c>
      <c r="BF71" s="78">
        <f t="shared" si="31"/>
        <v>2698864.0927584032</v>
      </c>
      <c r="BG71" s="70">
        <f t="shared" si="20"/>
        <v>-4618316.5117258988</v>
      </c>
      <c r="BH71" s="70">
        <f t="shared" si="24"/>
        <v>-1919452.4189674957</v>
      </c>
      <c r="BI71" s="71">
        <f t="shared" si="25"/>
        <v>17164074.998713266</v>
      </c>
      <c r="BJ71" s="86"/>
    </row>
    <row r="72" spans="1:62" ht="15" customHeight="1">
      <c r="A72" s="35">
        <f t="shared" si="21"/>
        <v>15</v>
      </c>
      <c r="B72" s="87"/>
      <c r="C72" s="36">
        <v>43709</v>
      </c>
      <c r="D72" s="69">
        <v>908649.16440476198</v>
      </c>
      <c r="E72" s="78">
        <v>2478205.5699999998</v>
      </c>
      <c r="F72" s="78">
        <v>69110.337499999994</v>
      </c>
      <c r="G72" s="37">
        <v>0.1</v>
      </c>
      <c r="H72" s="70">
        <f t="shared" si="16"/>
        <v>-247820.557</v>
      </c>
      <c r="I72" s="70">
        <f t="shared" si="29"/>
        <v>247760.34100000001</v>
      </c>
      <c r="J72" s="79"/>
      <c r="K72" s="79"/>
      <c r="L72" s="79">
        <f t="shared" si="17"/>
        <v>3455904.8559047617</v>
      </c>
      <c r="M72" s="70"/>
      <c r="N72" s="70"/>
      <c r="O72" s="481"/>
      <c r="P72" s="84">
        <v>-1918129.6881143395</v>
      </c>
      <c r="Q72" s="80">
        <v>-209557.71016590769</v>
      </c>
      <c r="R72" s="81">
        <v>-1280592.3076923075</v>
      </c>
      <c r="S72" s="81">
        <v>-100000</v>
      </c>
      <c r="T72" s="81">
        <v>-60000</v>
      </c>
      <c r="U72" s="81">
        <v>0</v>
      </c>
      <c r="V72" s="81">
        <v>-40882.573224881242</v>
      </c>
      <c r="W72" s="80">
        <v>-95321.16232000009</v>
      </c>
      <c r="X72" s="82">
        <v>-2000</v>
      </c>
      <c r="Y72" s="189">
        <v>-303432.28627499996</v>
      </c>
      <c r="Z72" s="189">
        <v>0</v>
      </c>
      <c r="AA72" s="85">
        <v>-68833.8</v>
      </c>
      <c r="AB72" s="85">
        <v>-20402.615848214286</v>
      </c>
      <c r="AC72" s="103">
        <v>-52294.81</v>
      </c>
      <c r="AD72" s="85">
        <v>0</v>
      </c>
      <c r="AE72" s="85">
        <v>0</v>
      </c>
      <c r="AF72" s="191">
        <v>-116800</v>
      </c>
      <c r="AG72" s="83">
        <v>0</v>
      </c>
      <c r="AH72" s="69">
        <f t="shared" si="30"/>
        <v>-203266.94614714285</v>
      </c>
      <c r="AI72" s="288">
        <v>-9209.81</v>
      </c>
      <c r="AJ72" s="288">
        <v>-7969</v>
      </c>
      <c r="AK72" s="288">
        <v>-16466.780729559887</v>
      </c>
      <c r="AL72" s="288">
        <v>-22365.19</v>
      </c>
      <c r="AM72" s="288">
        <f t="shared" si="26"/>
        <v>-40653.389229428569</v>
      </c>
      <c r="AN72" s="288">
        <f t="shared" si="27"/>
        <v>-135511.29743142857</v>
      </c>
      <c r="AO72" s="71">
        <v>0</v>
      </c>
      <c r="AP72" s="84">
        <v>0</v>
      </c>
      <c r="AQ72" s="125">
        <v>0</v>
      </c>
      <c r="AR72" s="133"/>
      <c r="AS72" s="78">
        <f t="shared" si="18"/>
        <v>3455904.8559047617</v>
      </c>
      <c r="AT72" s="70">
        <f t="shared" si="19"/>
        <v>-4703689.367178211</v>
      </c>
      <c r="AU72" s="288">
        <f t="shared" si="32"/>
        <v>-1247784.5112734493</v>
      </c>
      <c r="AV72" s="71">
        <f t="shared" ref="AV72:AV135" si="33">AU72+AV71</f>
        <v>-14001639.408870181</v>
      </c>
      <c r="AX72" s="82">
        <v>0</v>
      </c>
      <c r="AY72" s="223">
        <v>-174843.72107073152</v>
      </c>
      <c r="AZ72" s="223">
        <v>-314718.69792731677</v>
      </c>
      <c r="BA72" s="223">
        <v>-106112.67701731062</v>
      </c>
      <c r="BB72" s="223">
        <v>0</v>
      </c>
      <c r="BC72" s="223">
        <v>-115000</v>
      </c>
      <c r="BD72" s="223">
        <f t="shared" si="28"/>
        <v>-595675.09601535893</v>
      </c>
      <c r="BE72" s="83">
        <f t="shared" si="23"/>
        <v>-710675.09601535893</v>
      </c>
      <c r="BF72" s="78">
        <f t="shared" si="31"/>
        <v>2745229.7598894029</v>
      </c>
      <c r="BG72" s="70">
        <f t="shared" si="20"/>
        <v>-4703689.367178211</v>
      </c>
      <c r="BH72" s="70">
        <f t="shared" si="24"/>
        <v>-1958459.6072888081</v>
      </c>
      <c r="BI72" s="71">
        <f t="shared" si="25"/>
        <v>15205615.391424458</v>
      </c>
      <c r="BJ72" s="86"/>
    </row>
    <row r="73" spans="1:62" ht="15" customHeight="1">
      <c r="A73" s="35">
        <f t="shared" si="21"/>
        <v>16</v>
      </c>
      <c r="B73" s="87"/>
      <c r="C73" s="36">
        <v>43739</v>
      </c>
      <c r="D73" s="69">
        <v>1102815.8833333335</v>
      </c>
      <c r="E73" s="78">
        <v>2473443.23</v>
      </c>
      <c r="F73" s="78">
        <v>69110.337499999994</v>
      </c>
      <c r="G73" s="37">
        <v>0.1</v>
      </c>
      <c r="H73" s="70">
        <f t="shared" si="16"/>
        <v>-247344.323</v>
      </c>
      <c r="I73" s="70">
        <f t="shared" si="29"/>
        <v>247869.27599999998</v>
      </c>
      <c r="J73" s="79"/>
      <c r="K73" s="79"/>
      <c r="L73" s="79">
        <f t="shared" si="17"/>
        <v>3645894.4038333334</v>
      </c>
      <c r="M73" s="70"/>
      <c r="N73" s="70"/>
      <c r="O73" s="481"/>
      <c r="P73" s="84">
        <v>-1918129.6881143395</v>
      </c>
      <c r="Q73" s="80">
        <v>-209557.71016590769</v>
      </c>
      <c r="R73" s="81">
        <v>-1280592.3076923075</v>
      </c>
      <c r="S73" s="81">
        <v>-100000</v>
      </c>
      <c r="T73" s="81">
        <v>-60000</v>
      </c>
      <c r="U73" s="81">
        <v>0</v>
      </c>
      <c r="V73" s="81">
        <v>-40882.573224881242</v>
      </c>
      <c r="W73" s="80">
        <v>-95321.16232000009</v>
      </c>
      <c r="X73" s="82">
        <v>-2000</v>
      </c>
      <c r="Y73" s="189">
        <v>-316118.0387892857</v>
      </c>
      <c r="Z73" s="189">
        <v>0</v>
      </c>
      <c r="AA73" s="85">
        <v>0</v>
      </c>
      <c r="AB73" s="85">
        <v>-24589.571874999998</v>
      </c>
      <c r="AC73" s="103">
        <v>-52223.05</v>
      </c>
      <c r="AD73" s="85">
        <v>0</v>
      </c>
      <c r="AE73" s="85">
        <v>0</v>
      </c>
      <c r="AF73" s="191">
        <v>-130800</v>
      </c>
      <c r="AG73" s="83">
        <v>0</v>
      </c>
      <c r="AH73" s="69">
        <f t="shared" si="30"/>
        <v>-207354.2913542857</v>
      </c>
      <c r="AI73" s="288">
        <v>-9209.81</v>
      </c>
      <c r="AJ73" s="288">
        <v>-7969</v>
      </c>
      <c r="AK73" s="288">
        <v>-16646.083324458661</v>
      </c>
      <c r="AL73" s="288">
        <v>-19689.79</v>
      </c>
      <c r="AM73" s="288">
        <f t="shared" si="26"/>
        <v>-41470.858270857141</v>
      </c>
      <c r="AN73" s="288">
        <f t="shared" si="27"/>
        <v>-138236.19423619047</v>
      </c>
      <c r="AO73" s="71">
        <v>0</v>
      </c>
      <c r="AP73" s="84">
        <v>0</v>
      </c>
      <c r="AQ73" s="125">
        <v>0</v>
      </c>
      <c r="AR73" s="133"/>
      <c r="AS73" s="78">
        <f t="shared" si="18"/>
        <v>3645894.4038333334</v>
      </c>
      <c r="AT73" s="70">
        <f t="shared" si="19"/>
        <v>-4670790.1293675127</v>
      </c>
      <c r="AU73" s="288">
        <f t="shared" si="32"/>
        <v>-1024895.7255341792</v>
      </c>
      <c r="AV73" s="71">
        <f t="shared" si="33"/>
        <v>-15026535.134404361</v>
      </c>
      <c r="AX73" s="82">
        <v>0</v>
      </c>
      <c r="AY73" s="223">
        <v>-174843.72107073152</v>
      </c>
      <c r="AZ73" s="223">
        <v>-314718.69792731677</v>
      </c>
      <c r="BA73" s="223">
        <v>-92356.924029262809</v>
      </c>
      <c r="BB73" s="223">
        <v>0</v>
      </c>
      <c r="BC73" s="223">
        <v>-115000</v>
      </c>
      <c r="BD73" s="223">
        <f t="shared" si="28"/>
        <v>-581919.34302731114</v>
      </c>
      <c r="BE73" s="83">
        <f t="shared" si="23"/>
        <v>-696919.34302731114</v>
      </c>
      <c r="BF73" s="78">
        <f t="shared" si="31"/>
        <v>2948975.0608060225</v>
      </c>
      <c r="BG73" s="70">
        <f t="shared" si="20"/>
        <v>-4670790.1293675127</v>
      </c>
      <c r="BH73" s="70">
        <f t="shared" si="24"/>
        <v>-1721815.0685614902</v>
      </c>
      <c r="BI73" s="71">
        <f t="shared" si="25"/>
        <v>13483800.322862968</v>
      </c>
      <c r="BJ73" s="86"/>
    </row>
    <row r="74" spans="1:62" ht="15" customHeight="1">
      <c r="A74" s="35">
        <f t="shared" si="21"/>
        <v>17</v>
      </c>
      <c r="B74" s="87"/>
      <c r="C74" s="36">
        <v>43770</v>
      </c>
      <c r="D74" s="69">
        <v>1128741.5161904762</v>
      </c>
      <c r="E74" s="78">
        <v>2472474.5699999998</v>
      </c>
      <c r="F74" s="78">
        <v>69110.337499999994</v>
      </c>
      <c r="G74" s="37">
        <v>0.1</v>
      </c>
      <c r="H74" s="70">
        <f t="shared" si="16"/>
        <v>-247247.45699999999</v>
      </c>
      <c r="I74" s="70">
        <f t="shared" si="29"/>
        <v>247892.89</v>
      </c>
      <c r="J74" s="79"/>
      <c r="K74" s="79"/>
      <c r="L74" s="79">
        <f t="shared" si="17"/>
        <v>3670971.8566904762</v>
      </c>
      <c r="M74" s="70"/>
      <c r="N74" s="70"/>
      <c r="O74" s="481"/>
      <c r="P74" s="84">
        <v>-1918129.6881143395</v>
      </c>
      <c r="Q74" s="80">
        <v>-209557.7101659076</v>
      </c>
      <c r="R74" s="81">
        <v>-1037367.3076923075</v>
      </c>
      <c r="S74" s="81">
        <v>-100000</v>
      </c>
      <c r="T74" s="81">
        <v>-60000</v>
      </c>
      <c r="U74" s="81">
        <v>0</v>
      </c>
      <c r="V74" s="81">
        <v>-40882.573224881242</v>
      </c>
      <c r="W74" s="80">
        <v>-95321.16232000009</v>
      </c>
      <c r="X74" s="82">
        <v>-2000</v>
      </c>
      <c r="Y74" s="189">
        <v>-313641.88106785715</v>
      </c>
      <c r="Z74" s="189">
        <v>0</v>
      </c>
      <c r="AA74" s="85">
        <v>0</v>
      </c>
      <c r="AB74" s="85">
        <v>-25307.226116071426</v>
      </c>
      <c r="AC74" s="103">
        <v>-52191.13</v>
      </c>
      <c r="AD74" s="85">
        <v>0</v>
      </c>
      <c r="AE74" s="85">
        <v>0</v>
      </c>
      <c r="AF74" s="191">
        <v>-120400</v>
      </c>
      <c r="AG74" s="83">
        <v>0</v>
      </c>
      <c r="AH74" s="69">
        <f t="shared" si="30"/>
        <v>-218753.66422999999</v>
      </c>
      <c r="AI74" s="288">
        <v>-9209.81</v>
      </c>
      <c r="AJ74" s="288">
        <v>-7969</v>
      </c>
      <c r="AK74" s="288">
        <v>-16934.841168466141</v>
      </c>
      <c r="AL74" s="288">
        <v>-18481.86</v>
      </c>
      <c r="AM74" s="288">
        <f t="shared" si="26"/>
        <v>-43750.732845999999</v>
      </c>
      <c r="AN74" s="288">
        <f t="shared" si="27"/>
        <v>-145835.77615333334</v>
      </c>
      <c r="AO74" s="71">
        <v>0</v>
      </c>
      <c r="AP74" s="84">
        <v>0</v>
      </c>
      <c r="AQ74" s="125">
        <v>0</v>
      </c>
      <c r="AR74" s="133"/>
      <c r="AS74" s="78">
        <f t="shared" si="18"/>
        <v>3670971.8566904762</v>
      </c>
      <c r="AT74" s="70">
        <f t="shared" si="19"/>
        <v>-4435734.3630991643</v>
      </c>
      <c r="AU74" s="288">
        <f t="shared" si="32"/>
        <v>-764762.50640868815</v>
      </c>
      <c r="AV74" s="71">
        <f t="shared" si="33"/>
        <v>-15791297.640813049</v>
      </c>
      <c r="AX74" s="82">
        <v>0</v>
      </c>
      <c r="AY74" s="223">
        <v>-174843.72107073152</v>
      </c>
      <c r="AZ74" s="223">
        <v>-314718.69792731677</v>
      </c>
      <c r="BA74" s="223">
        <v>-94656.424029262809</v>
      </c>
      <c r="BB74" s="223">
        <v>0</v>
      </c>
      <c r="BC74" s="223">
        <v>-115000</v>
      </c>
      <c r="BD74" s="223">
        <f t="shared" si="28"/>
        <v>-584218.84302731114</v>
      </c>
      <c r="BE74" s="83">
        <f t="shared" si="23"/>
        <v>-699218.84302731114</v>
      </c>
      <c r="BF74" s="78">
        <f t="shared" si="31"/>
        <v>2971753.0136631653</v>
      </c>
      <c r="BG74" s="70">
        <f t="shared" si="20"/>
        <v>-4435734.3630991643</v>
      </c>
      <c r="BH74" s="70">
        <f t="shared" si="24"/>
        <v>-1463981.3494359991</v>
      </c>
      <c r="BI74" s="71">
        <f t="shared" si="25"/>
        <v>12019818.973426968</v>
      </c>
      <c r="BJ74" s="86"/>
    </row>
    <row r="75" spans="1:62" ht="15" customHeight="1">
      <c r="A75" s="35">
        <f t="shared" si="21"/>
        <v>18</v>
      </c>
      <c r="B75" s="87" t="s">
        <v>37</v>
      </c>
      <c r="C75" s="36">
        <v>43800</v>
      </c>
      <c r="D75" s="69">
        <v>1176086.9395238096</v>
      </c>
      <c r="E75" s="78">
        <v>2473021.81</v>
      </c>
      <c r="F75" s="78">
        <v>69110.337499999994</v>
      </c>
      <c r="G75" s="37">
        <v>0.1</v>
      </c>
      <c r="H75" s="70">
        <f t="shared" si="16"/>
        <v>-247302.18100000001</v>
      </c>
      <c r="I75" s="70">
        <f t="shared" si="29"/>
        <v>247820.557</v>
      </c>
      <c r="J75" s="79">
        <v>0</v>
      </c>
      <c r="K75" s="79"/>
      <c r="L75" s="79">
        <f t="shared" si="17"/>
        <v>3718737.4630238093</v>
      </c>
      <c r="M75" s="70"/>
      <c r="N75" s="70"/>
      <c r="O75" s="481"/>
      <c r="P75" s="84">
        <v>-2019083.8822256206</v>
      </c>
      <c r="Q75" s="80">
        <v>-220587.06333253428</v>
      </c>
      <c r="R75" s="81">
        <v>-988722.30769230775</v>
      </c>
      <c r="S75" s="81">
        <v>-100000</v>
      </c>
      <c r="T75" s="81">
        <v>-60000</v>
      </c>
      <c r="U75" s="81">
        <v>0</v>
      </c>
      <c r="V75" s="81">
        <v>-40882.573224881242</v>
      </c>
      <c r="W75" s="80">
        <v>-95321.16232000009</v>
      </c>
      <c r="X75" s="82">
        <v>-2000</v>
      </c>
      <c r="Y75" s="189">
        <v>-298825.36405714287</v>
      </c>
      <c r="Z75" s="189">
        <v>0</v>
      </c>
      <c r="AA75" s="85">
        <v>0</v>
      </c>
      <c r="AB75" s="85">
        <v>-26632.519866071427</v>
      </c>
      <c r="AC75" s="103">
        <v>-52208.34</v>
      </c>
      <c r="AD75" s="85">
        <v>0</v>
      </c>
      <c r="AE75" s="85">
        <v>0</v>
      </c>
      <c r="AF75" s="191">
        <v>-132000</v>
      </c>
      <c r="AG75" s="83">
        <v>0</v>
      </c>
      <c r="AH75" s="69">
        <f t="shared" si="30"/>
        <v>-220258.31140142857</v>
      </c>
      <c r="AI75" s="288">
        <v>-9209.81</v>
      </c>
      <c r="AJ75" s="288">
        <v>-7969</v>
      </c>
      <c r="AK75" s="288">
        <v>-16761.086159764258</v>
      </c>
      <c r="AL75" s="288">
        <v>-17629.73</v>
      </c>
      <c r="AM75" s="288">
        <f t="shared" si="26"/>
        <v>-44051.662280285716</v>
      </c>
      <c r="AN75" s="288">
        <f t="shared" si="27"/>
        <v>-146838.87426761904</v>
      </c>
      <c r="AO75" s="71">
        <v>0</v>
      </c>
      <c r="AP75" s="84">
        <v>0</v>
      </c>
      <c r="AQ75" s="125">
        <v>0</v>
      </c>
      <c r="AR75" s="133"/>
      <c r="AS75" s="78">
        <f t="shared" si="18"/>
        <v>3718737.4630238093</v>
      </c>
      <c r="AT75" s="70">
        <f t="shared" si="19"/>
        <v>-4498981.6868276559</v>
      </c>
      <c r="AU75" s="288">
        <f t="shared" si="32"/>
        <v>-780244.22380384663</v>
      </c>
      <c r="AV75" s="71">
        <f t="shared" si="33"/>
        <v>-16571541.864616895</v>
      </c>
      <c r="AX75" s="82">
        <v>0</v>
      </c>
      <c r="AY75" s="223">
        <v>-174843.72107073152</v>
      </c>
      <c r="AZ75" s="223">
        <v>-314718.69792731677</v>
      </c>
      <c r="BA75" s="223">
        <v>-92291.72588063516</v>
      </c>
      <c r="BB75" s="223">
        <v>0</v>
      </c>
      <c r="BC75" s="223">
        <v>-115000</v>
      </c>
      <c r="BD75" s="223">
        <f t="shared" si="28"/>
        <v>-581854.1448786835</v>
      </c>
      <c r="BE75" s="83">
        <f t="shared" si="23"/>
        <v>-696854.1448786835</v>
      </c>
      <c r="BF75" s="78">
        <f t="shared" si="31"/>
        <v>3021883.3181451261</v>
      </c>
      <c r="BG75" s="70">
        <f t="shared" si="20"/>
        <v>-4498981.6868276559</v>
      </c>
      <c r="BH75" s="70">
        <f t="shared" si="24"/>
        <v>-1477098.3686825298</v>
      </c>
      <c r="BI75" s="71">
        <f t="shared" si="25"/>
        <v>10542720.604744438</v>
      </c>
      <c r="BJ75" s="86"/>
    </row>
    <row r="76" spans="1:62" ht="15" customHeight="1">
      <c r="A76" s="35">
        <f t="shared" si="21"/>
        <v>19</v>
      </c>
      <c r="B76" s="87"/>
      <c r="C76" s="36">
        <v>43831</v>
      </c>
      <c r="D76" s="69">
        <v>1259824.2552380953</v>
      </c>
      <c r="E76" s="78">
        <v>2470659.0699999998</v>
      </c>
      <c r="F76" s="78">
        <v>69110.337499999994</v>
      </c>
      <c r="G76" s="37">
        <v>0.1</v>
      </c>
      <c r="H76" s="70">
        <f t="shared" si="16"/>
        <v>-247065.90700000001</v>
      </c>
      <c r="I76" s="70">
        <f t="shared" si="29"/>
        <v>247344.323</v>
      </c>
      <c r="J76" s="79">
        <v>0</v>
      </c>
      <c r="K76" s="79">
        <v>0</v>
      </c>
      <c r="L76" s="79">
        <f t="shared" si="17"/>
        <v>3799872.0787380948</v>
      </c>
      <c r="M76" s="70"/>
      <c r="N76" s="70"/>
      <c r="O76" s="481"/>
      <c r="P76" s="84">
        <v>-1413358.7175579343</v>
      </c>
      <c r="Q76" s="80">
        <v>-154410.94433277394</v>
      </c>
      <c r="R76" s="81">
        <v>-891432.30769230751</v>
      </c>
      <c r="S76" s="81">
        <v>-100000</v>
      </c>
      <c r="T76" s="81">
        <v>-60000</v>
      </c>
      <c r="U76" s="81">
        <v>0</v>
      </c>
      <c r="V76" s="81">
        <v>-40882.573224881242</v>
      </c>
      <c r="W76" s="80">
        <v>-95321.16232000009</v>
      </c>
      <c r="X76" s="82">
        <v>-2000</v>
      </c>
      <c r="Y76" s="189">
        <v>-277661.9926285714</v>
      </c>
      <c r="Z76" s="189">
        <v>0</v>
      </c>
      <c r="AA76" s="85">
        <v>0</v>
      </c>
      <c r="AB76" s="85">
        <v>-28820.022098214286</v>
      </c>
      <c r="AC76" s="103">
        <v>-53223.15</v>
      </c>
      <c r="AD76" s="85">
        <v>0</v>
      </c>
      <c r="AE76" s="85">
        <v>0</v>
      </c>
      <c r="AF76" s="191">
        <v>-149066.66666666666</v>
      </c>
      <c r="AG76" s="83">
        <v>0</v>
      </c>
      <c r="AH76" s="69">
        <f t="shared" si="30"/>
        <v>-223124.24778142854</v>
      </c>
      <c r="AI76" s="288">
        <v>-9209.81</v>
      </c>
      <c r="AJ76" s="288">
        <v>-7969</v>
      </c>
      <c r="AK76" s="288">
        <v>-16865.733433477038</v>
      </c>
      <c r="AL76" s="288">
        <v>-22476.67</v>
      </c>
      <c r="AM76" s="288">
        <f t="shared" si="26"/>
        <v>-44624.849556285713</v>
      </c>
      <c r="AN76" s="288">
        <f t="shared" si="27"/>
        <v>-148749.49852095239</v>
      </c>
      <c r="AO76" s="71">
        <v>0</v>
      </c>
      <c r="AP76" s="84">
        <v>0</v>
      </c>
      <c r="AQ76" s="125">
        <v>0</v>
      </c>
      <c r="AR76" s="133"/>
      <c r="AS76" s="78">
        <f t="shared" si="18"/>
        <v>3799872.0787380948</v>
      </c>
      <c r="AT76" s="70">
        <f t="shared" si="19"/>
        <v>-3739197.3458134932</v>
      </c>
      <c r="AU76" s="288">
        <f t="shared" si="32"/>
        <v>60674.732924601529</v>
      </c>
      <c r="AV76" s="71">
        <f t="shared" si="33"/>
        <v>-16510867.131692294</v>
      </c>
      <c r="AX76" s="82">
        <v>0</v>
      </c>
      <c r="AY76" s="223">
        <v>-174843.72107073152</v>
      </c>
      <c r="AZ76" s="223">
        <v>-314718.69792731677</v>
      </c>
      <c r="BA76" s="223">
        <v>-89994.07445579693</v>
      </c>
      <c r="BB76" s="223">
        <v>0</v>
      </c>
      <c r="BC76" s="223">
        <v>-115000</v>
      </c>
      <c r="BD76" s="223">
        <f t="shared" si="28"/>
        <v>-579556.49345384527</v>
      </c>
      <c r="BE76" s="83">
        <f t="shared" si="23"/>
        <v>-694556.49345384527</v>
      </c>
      <c r="BF76" s="78">
        <f t="shared" si="31"/>
        <v>3105315.5852842499</v>
      </c>
      <c r="BG76" s="70">
        <f t="shared" si="20"/>
        <v>-3739197.3458134932</v>
      </c>
      <c r="BH76" s="70">
        <f t="shared" si="24"/>
        <v>-633881.76052924339</v>
      </c>
      <c r="BI76" s="71">
        <f t="shared" si="25"/>
        <v>9908838.8442151956</v>
      </c>
      <c r="BJ76" s="86"/>
    </row>
    <row r="77" spans="1:62" ht="15" customHeight="1">
      <c r="A77" s="35">
        <f t="shared" si="21"/>
        <v>20</v>
      </c>
      <c r="B77" s="87"/>
      <c r="C77" s="36">
        <v>43862</v>
      </c>
      <c r="D77" s="69">
        <v>1268342.8638095239</v>
      </c>
      <c r="E77" s="78">
        <v>2466681.64</v>
      </c>
      <c r="F77" s="78">
        <v>69110.337499999994</v>
      </c>
      <c r="G77" s="37">
        <v>0.1</v>
      </c>
      <c r="H77" s="70">
        <f t="shared" si="16"/>
        <v>-246668.16400000002</v>
      </c>
      <c r="I77" s="70">
        <f t="shared" si="29"/>
        <v>247247.45699999999</v>
      </c>
      <c r="J77" s="79">
        <f t="shared" ref="J77:J138" si="34">FV($J$3,K77,,-SUM(D77:E77))-SUM(D77:E77)</f>
        <v>18675.122519047</v>
      </c>
      <c r="K77" s="79">
        <f>K76+1</f>
        <v>1</v>
      </c>
      <c r="L77" s="79">
        <f t="shared" si="17"/>
        <v>3823389.2568285712</v>
      </c>
      <c r="M77" s="70"/>
      <c r="N77" s="70"/>
      <c r="O77" s="481"/>
      <c r="P77" s="84">
        <v>-1009541.9411128103</v>
      </c>
      <c r="Q77" s="80">
        <v>-110293.53166626723</v>
      </c>
      <c r="R77" s="81">
        <v>-891432.30769230751</v>
      </c>
      <c r="S77" s="81">
        <v>-100000</v>
      </c>
      <c r="T77" s="81">
        <v>-60000</v>
      </c>
      <c r="U77" s="81">
        <v>0</v>
      </c>
      <c r="V77" s="81">
        <v>-40882.573224881242</v>
      </c>
      <c r="W77" s="80">
        <v>-95321.16232000009</v>
      </c>
      <c r="X77" s="82">
        <v>-2000</v>
      </c>
      <c r="Y77" s="189">
        <v>-264117.49694999994</v>
      </c>
      <c r="Z77" s="189">
        <v>0</v>
      </c>
      <c r="AA77" s="85">
        <v>0</v>
      </c>
      <c r="AB77" s="85">
        <v>-29065.636383928573</v>
      </c>
      <c r="AC77" s="103">
        <v>-53173.71</v>
      </c>
      <c r="AD77" s="85">
        <v>0</v>
      </c>
      <c r="AE77" s="85">
        <v>0</v>
      </c>
      <c r="AF77" s="191">
        <v>-135600</v>
      </c>
      <c r="AG77" s="83">
        <v>0</v>
      </c>
      <c r="AH77" s="69">
        <f t="shared" si="30"/>
        <v>-227992.32472428569</v>
      </c>
      <c r="AI77" s="288">
        <v>-9209.81</v>
      </c>
      <c r="AJ77" s="288">
        <v>-7969</v>
      </c>
      <c r="AK77" s="288">
        <v>-17048.520464445832</v>
      </c>
      <c r="AL77" s="288">
        <v>-12670.56</v>
      </c>
      <c r="AM77" s="288">
        <f t="shared" si="26"/>
        <v>-45598.464944857136</v>
      </c>
      <c r="AN77" s="288">
        <f t="shared" si="27"/>
        <v>-151994.88314952378</v>
      </c>
      <c r="AO77" s="71">
        <v>0</v>
      </c>
      <c r="AP77" s="84">
        <v>0</v>
      </c>
      <c r="AQ77" s="125">
        <v>0</v>
      </c>
      <c r="AR77" s="133"/>
      <c r="AS77" s="78">
        <f t="shared" si="18"/>
        <v>3823389.2568285712</v>
      </c>
      <c r="AT77" s="70">
        <f t="shared" si="19"/>
        <v>-3263911.9226333075</v>
      </c>
      <c r="AU77" s="288">
        <f t="shared" si="32"/>
        <v>559477.33419526368</v>
      </c>
      <c r="AV77" s="71">
        <f t="shared" si="33"/>
        <v>-15951389.79749703</v>
      </c>
      <c r="AW77" s="289"/>
      <c r="AX77" s="82">
        <v>0</v>
      </c>
      <c r="AY77" s="223">
        <v>-174843.72107073152</v>
      </c>
      <c r="AZ77" s="223">
        <v>-314718.69792731677</v>
      </c>
      <c r="BA77" s="223">
        <v>-87761.568766593016</v>
      </c>
      <c r="BB77" s="223">
        <v>0</v>
      </c>
      <c r="BC77" s="223">
        <v>-115000</v>
      </c>
      <c r="BD77" s="223">
        <f t="shared" si="28"/>
        <v>-577323.98776464129</v>
      </c>
      <c r="BE77" s="83">
        <f t="shared" si="23"/>
        <v>-692323.98776464129</v>
      </c>
      <c r="BF77" s="78">
        <f t="shared" si="31"/>
        <v>3131065.26906393</v>
      </c>
      <c r="BG77" s="70">
        <f t="shared" si="20"/>
        <v>-3263911.9226333075</v>
      </c>
      <c r="BH77" s="70">
        <f t="shared" si="24"/>
        <v>-132846.65356937749</v>
      </c>
      <c r="BI77" s="71">
        <f t="shared" si="25"/>
        <v>9775992.1906458177</v>
      </c>
      <c r="BJ77" s="86"/>
    </row>
    <row r="78" spans="1:62" ht="15" customHeight="1">
      <c r="A78" s="35">
        <f t="shared" si="21"/>
        <v>21</v>
      </c>
      <c r="B78" s="87"/>
      <c r="C78" s="36">
        <v>43891</v>
      </c>
      <c r="D78" s="69">
        <v>1268342.8638095239</v>
      </c>
      <c r="E78" s="78">
        <v>2460818.41</v>
      </c>
      <c r="F78" s="78">
        <v>69110.337499999994</v>
      </c>
      <c r="G78" s="37">
        <v>0.1</v>
      </c>
      <c r="H78" s="70">
        <f t="shared" si="16"/>
        <v>-246081.84100000001</v>
      </c>
      <c r="I78" s="70">
        <f t="shared" si="29"/>
        <v>247302.18100000001</v>
      </c>
      <c r="J78" s="79">
        <f t="shared" si="34"/>
        <v>37384.841769939288</v>
      </c>
      <c r="K78" s="79">
        <f t="shared" ref="K78:K141" si="35">K77+1</f>
        <v>2</v>
      </c>
      <c r="L78" s="79">
        <f t="shared" si="17"/>
        <v>3836876.7930794633</v>
      </c>
      <c r="M78" s="70"/>
      <c r="N78" s="70"/>
      <c r="O78" s="481"/>
      <c r="P78" s="84">
        <v>-762771.35913421214</v>
      </c>
      <c r="Q78" s="80">
        <v>-83333.58291192539</v>
      </c>
      <c r="R78" s="81">
        <v>-891432.30769230751</v>
      </c>
      <c r="S78" s="81">
        <v>0</v>
      </c>
      <c r="T78" s="81">
        <v>-60000</v>
      </c>
      <c r="U78" s="81">
        <v>0</v>
      </c>
      <c r="V78" s="81">
        <v>-40882.573224881242</v>
      </c>
      <c r="W78" s="80">
        <v>-95321.16232000009</v>
      </c>
      <c r="X78" s="82">
        <v>-2000</v>
      </c>
      <c r="Y78" s="189">
        <v>-201967.65083571427</v>
      </c>
      <c r="Z78" s="189">
        <v>0</v>
      </c>
      <c r="AA78" s="85">
        <v>0</v>
      </c>
      <c r="AB78" s="85">
        <v>-29065.636383928573</v>
      </c>
      <c r="AC78" s="103">
        <v>-53051.34</v>
      </c>
      <c r="AD78" s="85">
        <v>0</v>
      </c>
      <c r="AE78" s="85">
        <v>0</v>
      </c>
      <c r="AF78" s="191">
        <v>-115600</v>
      </c>
      <c r="AG78" s="83">
        <v>0</v>
      </c>
      <c r="AH78" s="69">
        <f t="shared" si="30"/>
        <v>-229403.35540971428</v>
      </c>
      <c r="AI78" s="288">
        <v>-9209.81</v>
      </c>
      <c r="AJ78" s="288">
        <v>-7969</v>
      </c>
      <c r="AK78" s="288">
        <v>-17104.460720534855</v>
      </c>
      <c r="AL78" s="288">
        <v>-11864.03</v>
      </c>
      <c r="AM78" s="288">
        <f t="shared" si="26"/>
        <v>-45880.671081942855</v>
      </c>
      <c r="AN78" s="288">
        <f t="shared" si="27"/>
        <v>-152935.57027314286</v>
      </c>
      <c r="AO78" s="71">
        <v>0</v>
      </c>
      <c r="AP78" s="84">
        <v>0</v>
      </c>
      <c r="AQ78" s="125">
        <v>0</v>
      </c>
      <c r="AR78" s="133"/>
      <c r="AS78" s="78">
        <f t="shared" si="18"/>
        <v>3836876.7930794633</v>
      </c>
      <c r="AT78" s="70">
        <f t="shared" si="19"/>
        <v>-2809792.5099883038</v>
      </c>
      <c r="AU78" s="288">
        <f t="shared" si="32"/>
        <v>1027084.2830911595</v>
      </c>
      <c r="AV78" s="71">
        <f t="shared" si="33"/>
        <v>-14924305.514405871</v>
      </c>
      <c r="AW78" s="289"/>
      <c r="AX78" s="82">
        <v>0</v>
      </c>
      <c r="AY78" s="223">
        <v>-174843.72107073152</v>
      </c>
      <c r="AZ78" s="223">
        <v>-314718.69792731677</v>
      </c>
      <c r="BA78" s="223">
        <v>-85592.361723936963</v>
      </c>
      <c r="BB78" s="223">
        <v>0</v>
      </c>
      <c r="BC78" s="223">
        <v>-115000</v>
      </c>
      <c r="BD78" s="223">
        <f t="shared" si="28"/>
        <v>-575154.78072198527</v>
      </c>
      <c r="BE78" s="83">
        <f t="shared" si="23"/>
        <v>-690154.78072198527</v>
      </c>
      <c r="BF78" s="78">
        <f t="shared" si="31"/>
        <v>3146722.012357478</v>
      </c>
      <c r="BG78" s="70">
        <f t="shared" si="20"/>
        <v>-2809792.5099883038</v>
      </c>
      <c r="BH78" s="70">
        <f t="shared" si="24"/>
        <v>336929.50236917427</v>
      </c>
      <c r="BI78" s="71">
        <f t="shared" si="25"/>
        <v>10112921.693014992</v>
      </c>
      <c r="BJ78" s="86"/>
    </row>
    <row r="79" spans="1:62" ht="15" customHeight="1">
      <c r="A79" s="35">
        <f t="shared" si="21"/>
        <v>22</v>
      </c>
      <c r="B79" s="87"/>
      <c r="C79" s="36">
        <v>43922</v>
      </c>
      <c r="D79" s="69">
        <v>1268342.8638095239</v>
      </c>
      <c r="E79" s="78">
        <v>2459122.27</v>
      </c>
      <c r="F79" s="78">
        <v>69110.337499999994</v>
      </c>
      <c r="G79" s="37">
        <v>0.1</v>
      </c>
      <c r="H79" s="70">
        <f t="shared" si="16"/>
        <v>-245912.22700000001</v>
      </c>
      <c r="I79" s="70">
        <f t="shared" si="29"/>
        <v>247065.90700000001</v>
      </c>
      <c r="J79" s="79">
        <f t="shared" si="34"/>
        <v>56192.002825318836</v>
      </c>
      <c r="K79" s="79">
        <f t="shared" si="35"/>
        <v>3</v>
      </c>
      <c r="L79" s="79">
        <f t="shared" si="17"/>
        <v>3853921.1541348426</v>
      </c>
      <c r="M79" s="70"/>
      <c r="N79" s="70"/>
      <c r="O79" s="481"/>
      <c r="P79" s="84">
        <v>0</v>
      </c>
      <c r="Q79" s="80">
        <v>0</v>
      </c>
      <c r="R79" s="81">
        <v>-891432.30769230751</v>
      </c>
      <c r="S79" s="81">
        <v>0</v>
      </c>
      <c r="T79" s="81">
        <v>0</v>
      </c>
      <c r="U79" s="81">
        <v>0</v>
      </c>
      <c r="V79" s="81">
        <v>-40882.573224881242</v>
      </c>
      <c r="W79" s="80">
        <v>-95321.16232000009</v>
      </c>
      <c r="X79" s="82">
        <v>-2000</v>
      </c>
      <c r="Y79" s="189">
        <v>-163864.23139285712</v>
      </c>
      <c r="Z79" s="189">
        <v>0</v>
      </c>
      <c r="AA79" s="85">
        <v>0</v>
      </c>
      <c r="AB79" s="85">
        <v>-29065.636383928573</v>
      </c>
      <c r="AC79" s="103">
        <v>-53011.5</v>
      </c>
      <c r="AD79" s="85">
        <v>0</v>
      </c>
      <c r="AE79" s="85">
        <v>0</v>
      </c>
      <c r="AF79" s="191">
        <v>-60800</v>
      </c>
      <c r="AG79" s="83">
        <v>0</v>
      </c>
      <c r="AH79" s="69">
        <f t="shared" si="30"/>
        <v>-230212.6075847678</v>
      </c>
      <c r="AI79" s="288">
        <v>-9209.81</v>
      </c>
      <c r="AJ79" s="288">
        <v>-23969</v>
      </c>
      <c r="AK79" s="288">
        <v>-17294.413628603081</v>
      </c>
      <c r="AL79" s="288">
        <v>-9614.48</v>
      </c>
      <c r="AM79" s="288">
        <f t="shared" si="26"/>
        <v>-46042.521516953559</v>
      </c>
      <c r="AN79" s="288">
        <f t="shared" si="27"/>
        <v>-153475.07172317852</v>
      </c>
      <c r="AO79" s="71">
        <v>-10000</v>
      </c>
      <c r="AP79" s="84">
        <v>0</v>
      </c>
      <c r="AQ79" s="125">
        <v>0</v>
      </c>
      <c r="AR79" s="133"/>
      <c r="AS79" s="78">
        <f t="shared" si="18"/>
        <v>3853921.1541348426</v>
      </c>
      <c r="AT79" s="70">
        <f t="shared" si="19"/>
        <v>-1836195.3154674775</v>
      </c>
      <c r="AU79" s="288">
        <f t="shared" si="32"/>
        <v>2017725.838667365</v>
      </c>
      <c r="AV79" s="71">
        <f t="shared" si="33"/>
        <v>-12906579.675738506</v>
      </c>
      <c r="AW79" s="289"/>
      <c r="AX79" s="82">
        <v>0</v>
      </c>
      <c r="AY79" s="223">
        <v>-174843.72107073152</v>
      </c>
      <c r="AZ79" s="223">
        <v>-314718.69792731677</v>
      </c>
      <c r="BA79" s="223">
        <v>-83484.65860960065</v>
      </c>
      <c r="BB79" s="223">
        <v>0</v>
      </c>
      <c r="BC79" s="223">
        <v>-115000</v>
      </c>
      <c r="BD79" s="223">
        <f t="shared" si="28"/>
        <v>-573047.07760764891</v>
      </c>
      <c r="BE79" s="83">
        <f t="shared" si="23"/>
        <v>-688047.07760764891</v>
      </c>
      <c r="BF79" s="78">
        <f t="shared" si="31"/>
        <v>3165874.0765271937</v>
      </c>
      <c r="BG79" s="70">
        <f t="shared" si="20"/>
        <v>-1836195.3154674775</v>
      </c>
      <c r="BH79" s="70">
        <f t="shared" si="24"/>
        <v>1329678.7610597161</v>
      </c>
      <c r="BI79" s="71">
        <f t="shared" si="25"/>
        <v>11442600.454074709</v>
      </c>
      <c r="BJ79" s="86"/>
    </row>
    <row r="80" spans="1:62" ht="15" customHeight="1">
      <c r="A80" s="35">
        <f t="shared" si="21"/>
        <v>23</v>
      </c>
      <c r="B80" s="87"/>
      <c r="C80" s="36">
        <v>43952</v>
      </c>
      <c r="D80" s="69">
        <v>1268342.8638095239</v>
      </c>
      <c r="E80" s="78">
        <v>2457836.44</v>
      </c>
      <c r="F80" s="78">
        <v>69110.337499999994</v>
      </c>
      <c r="G80" s="37">
        <v>0.1</v>
      </c>
      <c r="H80" s="70">
        <f t="shared" si="16"/>
        <v>-245783.644</v>
      </c>
      <c r="I80" s="70">
        <f t="shared" si="29"/>
        <v>246668.16400000002</v>
      </c>
      <c r="J80" s="79">
        <f t="shared" si="34"/>
        <v>75084.378390273545</v>
      </c>
      <c r="K80" s="79">
        <f t="shared" si="35"/>
        <v>4</v>
      </c>
      <c r="L80" s="79">
        <f t="shared" si="17"/>
        <v>3871258.5396997971</v>
      </c>
      <c r="M80" s="70"/>
      <c r="N80" s="70"/>
      <c r="O80" s="481"/>
      <c r="P80" s="84">
        <v>0</v>
      </c>
      <c r="Q80" s="80">
        <v>0</v>
      </c>
      <c r="R80" s="81">
        <v>-891432.30769230751</v>
      </c>
      <c r="S80" s="81">
        <v>0</v>
      </c>
      <c r="T80" s="81">
        <v>0</v>
      </c>
      <c r="U80" s="81">
        <v>0</v>
      </c>
      <c r="V80" s="81">
        <v>-40882.573224881242</v>
      </c>
      <c r="W80" s="80">
        <v>-95321.16232000009</v>
      </c>
      <c r="X80" s="82">
        <v>-2000</v>
      </c>
      <c r="Y80" s="189">
        <v>-145455.46794642854</v>
      </c>
      <c r="Z80" s="189">
        <v>0</v>
      </c>
      <c r="AA80" s="85">
        <v>0</v>
      </c>
      <c r="AB80" s="85">
        <v>-29065.636383928573</v>
      </c>
      <c r="AC80" s="103">
        <v>-52972.13</v>
      </c>
      <c r="AD80" s="85">
        <v>0</v>
      </c>
      <c r="AE80" s="85">
        <v>0</v>
      </c>
      <c r="AF80" s="191">
        <v>-51200</v>
      </c>
      <c r="AG80" s="83">
        <v>0</v>
      </c>
      <c r="AH80" s="69">
        <f t="shared" si="30"/>
        <v>-231235.26924809054</v>
      </c>
      <c r="AI80" s="288">
        <v>-9209.81</v>
      </c>
      <c r="AJ80" s="288">
        <v>-23969</v>
      </c>
      <c r="AK80" s="288">
        <v>-17778.584404487225</v>
      </c>
      <c r="AL80" s="288">
        <v>-7356.99</v>
      </c>
      <c r="AM80" s="288">
        <f t="shared" si="26"/>
        <v>-46247.053849618111</v>
      </c>
      <c r="AN80" s="288">
        <f t="shared" si="27"/>
        <v>-154156.84616539371</v>
      </c>
      <c r="AO80" s="71">
        <v>0</v>
      </c>
      <c r="AP80" s="84">
        <v>0</v>
      </c>
      <c r="AQ80" s="125"/>
      <c r="AR80" s="133"/>
      <c r="AS80" s="78">
        <f t="shared" si="18"/>
        <v>3871258.5396997971</v>
      </c>
      <c r="AT80" s="70">
        <f t="shared" si="19"/>
        <v>-1798282.8312351354</v>
      </c>
      <c r="AU80" s="288">
        <f t="shared" si="32"/>
        <v>2072975.7084646616</v>
      </c>
      <c r="AV80" s="71">
        <f t="shared" si="33"/>
        <v>-10833603.967273844</v>
      </c>
      <c r="AW80" s="289"/>
      <c r="AX80" s="82">
        <v>0</v>
      </c>
      <c r="AY80" s="223">
        <v>-174843.72107073152</v>
      </c>
      <c r="AZ80" s="223">
        <v>-314718.69792731677</v>
      </c>
      <c r="BA80" s="223">
        <v>-81436.71559133369</v>
      </c>
      <c r="BB80" s="223">
        <v>0</v>
      </c>
      <c r="BC80" s="223">
        <v>-115000</v>
      </c>
      <c r="BD80" s="223">
        <f t="shared" si="28"/>
        <v>-570999.13458938198</v>
      </c>
      <c r="BE80" s="83">
        <f t="shared" si="23"/>
        <v>-685999.13458938198</v>
      </c>
      <c r="BF80" s="78">
        <f t="shared" si="31"/>
        <v>3185259.4051104151</v>
      </c>
      <c r="BG80" s="70">
        <f t="shared" si="20"/>
        <v>-1798282.8312351354</v>
      </c>
      <c r="BH80" s="70">
        <f t="shared" si="24"/>
        <v>1386976.5738752796</v>
      </c>
      <c r="BI80" s="71">
        <f t="shared" si="25"/>
        <v>12829577.027949989</v>
      </c>
      <c r="BJ80" s="86"/>
    </row>
    <row r="81" spans="1:62" ht="15" customHeight="1">
      <c r="A81" s="35">
        <f t="shared" si="21"/>
        <v>24</v>
      </c>
      <c r="B81" s="89"/>
      <c r="C81" s="36">
        <v>43983</v>
      </c>
      <c r="D81" s="69">
        <v>1268342.8638095239</v>
      </c>
      <c r="E81" s="78">
        <v>2451791.13</v>
      </c>
      <c r="F81" s="78">
        <v>69110.337499999994</v>
      </c>
      <c r="G81" s="37">
        <v>0.05</v>
      </c>
      <c r="H81" s="70">
        <f t="shared" si="16"/>
        <v>-122589.55650000001</v>
      </c>
      <c r="I81" s="70">
        <f t="shared" si="29"/>
        <v>246081.84100000001</v>
      </c>
      <c r="J81" s="79">
        <f t="shared" si="34"/>
        <v>93938.045148223639</v>
      </c>
      <c r="K81" s="79">
        <f t="shared" si="35"/>
        <v>5</v>
      </c>
      <c r="L81" s="79">
        <f t="shared" si="17"/>
        <v>4006674.6609577476</v>
      </c>
      <c r="M81" s="70"/>
      <c r="N81" s="70"/>
      <c r="O81" s="481"/>
      <c r="P81" s="84">
        <v>0</v>
      </c>
      <c r="Q81" s="80">
        <v>0</v>
      </c>
      <c r="R81" s="81">
        <v>-842787.30769230751</v>
      </c>
      <c r="S81" s="81">
        <v>0</v>
      </c>
      <c r="T81" s="81">
        <v>0</v>
      </c>
      <c r="U81" s="81">
        <v>0</v>
      </c>
      <c r="V81" s="81">
        <v>-40882.573224881242</v>
      </c>
      <c r="W81" s="80">
        <v>-95321.16232000009</v>
      </c>
      <c r="X81" s="82">
        <v>-2000</v>
      </c>
      <c r="Y81" s="189">
        <v>-140295.364875</v>
      </c>
      <c r="Z81" s="189">
        <v>0</v>
      </c>
      <c r="AA81" s="85">
        <v>0</v>
      </c>
      <c r="AB81" s="85">
        <v>-29065.636383928573</v>
      </c>
      <c r="AC81" s="103">
        <v>-52850.59</v>
      </c>
      <c r="AD81" s="85">
        <v>0</v>
      </c>
      <c r="AE81" s="85">
        <v>0</v>
      </c>
      <c r="AF81" s="191">
        <v>-33600</v>
      </c>
      <c r="AG81" s="83">
        <v>0</v>
      </c>
      <c r="AH81" s="69">
        <f t="shared" si="30"/>
        <v>-232275.51238198782</v>
      </c>
      <c r="AI81" s="288">
        <v>-9209.81</v>
      </c>
      <c r="AJ81" s="288">
        <v>-7969</v>
      </c>
      <c r="AK81" s="288">
        <v>-18092.513022352352</v>
      </c>
      <c r="AL81" s="288">
        <v>-7016.44</v>
      </c>
      <c r="AM81" s="288">
        <f t="shared" si="26"/>
        <v>-46455.102476397566</v>
      </c>
      <c r="AN81" s="288">
        <f t="shared" si="27"/>
        <v>-154850.34158799189</v>
      </c>
      <c r="AO81" s="71">
        <v>0</v>
      </c>
      <c r="AP81" s="84">
        <v>0</v>
      </c>
      <c r="AQ81" s="125"/>
      <c r="AR81" s="133"/>
      <c r="AS81" s="78">
        <f t="shared" si="18"/>
        <v>4006674.6609577476</v>
      </c>
      <c r="AT81" s="70">
        <f t="shared" si="19"/>
        <v>-1712671.353964847</v>
      </c>
      <c r="AU81" s="288">
        <f t="shared" si="32"/>
        <v>2294003.3069929006</v>
      </c>
      <c r="AV81" s="71">
        <f t="shared" si="33"/>
        <v>-8539600.6602809429</v>
      </c>
      <c r="AW81" s="289"/>
      <c r="AX81" s="82">
        <v>0</v>
      </c>
      <c r="AY81" s="223">
        <v>-174843.72107073152</v>
      </c>
      <c r="AZ81" s="223">
        <v>-314718.69792731677</v>
      </c>
      <c r="BA81" s="223">
        <v>-79446.838280083874</v>
      </c>
      <c r="BB81" s="223">
        <v>0</v>
      </c>
      <c r="BC81" s="223">
        <v>-115000</v>
      </c>
      <c r="BD81" s="223">
        <f t="shared" si="28"/>
        <v>-569009.25727813214</v>
      </c>
      <c r="BE81" s="83">
        <f t="shared" si="23"/>
        <v>-684009.25727813214</v>
      </c>
      <c r="BF81" s="78">
        <f t="shared" si="31"/>
        <v>3322665.4036796154</v>
      </c>
      <c r="BG81" s="70">
        <f t="shared" si="20"/>
        <v>-1712671.353964847</v>
      </c>
      <c r="BH81" s="70">
        <f t="shared" si="24"/>
        <v>1609994.0497147683</v>
      </c>
      <c r="BI81" s="71">
        <f t="shared" si="25"/>
        <v>14439571.077664757</v>
      </c>
      <c r="BJ81" s="86"/>
    </row>
    <row r="82" spans="1:62" ht="15" customHeight="1">
      <c r="A82" s="35">
        <f t="shared" si="21"/>
        <v>25</v>
      </c>
      <c r="B82" s="89"/>
      <c r="C82" s="36">
        <v>44013</v>
      </c>
      <c r="D82" s="69">
        <v>1268342.8638095239</v>
      </c>
      <c r="E82" s="78">
        <v>2447213.4300000002</v>
      </c>
      <c r="F82" s="78">
        <v>0</v>
      </c>
      <c r="G82" s="37">
        <f t="shared" ref="G82:G110" si="36">+G81</f>
        <v>0.05</v>
      </c>
      <c r="H82" s="70">
        <f t="shared" si="16"/>
        <v>-122360.67150000001</v>
      </c>
      <c r="I82" s="70">
        <f t="shared" si="29"/>
        <v>245912.22700000001</v>
      </c>
      <c r="J82" s="79">
        <f t="shared" si="34"/>
        <v>112869.34621826001</v>
      </c>
      <c r="K82" s="79">
        <f t="shared" si="35"/>
        <v>6</v>
      </c>
      <c r="L82" s="79">
        <f t="shared" si="17"/>
        <v>3951977.1955277841</v>
      </c>
      <c r="M82" s="70"/>
      <c r="N82" s="70"/>
      <c r="O82" s="481"/>
      <c r="P82" s="84">
        <v>0</v>
      </c>
      <c r="Q82" s="80">
        <v>0</v>
      </c>
      <c r="R82" s="81">
        <v>-307692.30769230757</v>
      </c>
      <c r="S82" s="81">
        <v>0</v>
      </c>
      <c r="T82" s="81">
        <v>0</v>
      </c>
      <c r="U82" s="81">
        <v>0</v>
      </c>
      <c r="V82" s="81">
        <v>-40882.573224881242</v>
      </c>
      <c r="W82" s="80">
        <v>-95321.16232000009</v>
      </c>
      <c r="X82" s="82">
        <v>-2000</v>
      </c>
      <c r="Y82" s="189">
        <v>-129046.38669642856</v>
      </c>
      <c r="Z82" s="189">
        <v>0</v>
      </c>
      <c r="AA82" s="85">
        <v>0</v>
      </c>
      <c r="AB82" s="85">
        <v>-29065.636383928573</v>
      </c>
      <c r="AC82" s="103">
        <v>-52724.92</v>
      </c>
      <c r="AD82" s="85">
        <v>0</v>
      </c>
      <c r="AE82" s="85">
        <v>0</v>
      </c>
      <c r="AF82" s="191">
        <v>-3200</v>
      </c>
      <c r="AG82" s="83">
        <v>0</v>
      </c>
      <c r="AH82" s="69">
        <f t="shared" si="30"/>
        <v>-240400.47965746484</v>
      </c>
      <c r="AI82" s="288">
        <v>-9209.81</v>
      </c>
      <c r="AJ82" s="288">
        <v>-7969</v>
      </c>
      <c r="AK82" s="288">
        <v>-18263.769793176365</v>
      </c>
      <c r="AL82" s="288">
        <v>-6188.93</v>
      </c>
      <c r="AM82" s="288">
        <f t="shared" si="26"/>
        <v>-48080.095931492971</v>
      </c>
      <c r="AN82" s="288">
        <f t="shared" si="27"/>
        <v>-160266.98643830992</v>
      </c>
      <c r="AO82" s="71">
        <v>0</v>
      </c>
      <c r="AP82" s="84">
        <v>0</v>
      </c>
      <c r="AQ82" s="125"/>
      <c r="AR82" s="133"/>
      <c r="AS82" s="78">
        <f t="shared" si="18"/>
        <v>3951977.1955277841</v>
      </c>
      <c r="AT82" s="70">
        <f t="shared" si="19"/>
        <v>-1150312.0581379903</v>
      </c>
      <c r="AU82" s="288">
        <f t="shared" si="32"/>
        <v>2801665.137389794</v>
      </c>
      <c r="AV82" s="71">
        <f t="shared" si="33"/>
        <v>-5737935.5228911489</v>
      </c>
      <c r="AW82" s="289"/>
      <c r="AX82" s="82">
        <v>0</v>
      </c>
      <c r="AY82" s="223">
        <v>-174843.72107073152</v>
      </c>
      <c r="AZ82" s="223">
        <v>-314718.69792731677</v>
      </c>
      <c r="BA82" s="223">
        <v>-77513.380328125073</v>
      </c>
      <c r="BB82" s="223">
        <v>0</v>
      </c>
      <c r="BC82" s="223">
        <v>-115000</v>
      </c>
      <c r="BD82" s="223">
        <f t="shared" si="28"/>
        <v>-567075.79932617338</v>
      </c>
      <c r="BE82" s="83">
        <f t="shared" si="23"/>
        <v>-682075.79932617338</v>
      </c>
      <c r="BF82" s="78">
        <f t="shared" si="31"/>
        <v>3269901.396201611</v>
      </c>
      <c r="BG82" s="70">
        <f t="shared" si="20"/>
        <v>-1150312.0581379903</v>
      </c>
      <c r="BH82" s="70">
        <f t="shared" si="24"/>
        <v>2119589.338063621</v>
      </c>
      <c r="BI82" s="71">
        <f t="shared" si="25"/>
        <v>16559160.415728379</v>
      </c>
      <c r="BJ82" s="86"/>
    </row>
    <row r="83" spans="1:62" ht="15" customHeight="1">
      <c r="A83" s="35">
        <f t="shared" si="21"/>
        <v>26</v>
      </c>
      <c r="B83" s="87"/>
      <c r="C83" s="36">
        <v>44044</v>
      </c>
      <c r="D83" s="69">
        <v>1268342.8638095239</v>
      </c>
      <c r="E83" s="78">
        <v>2435633.0099999998</v>
      </c>
      <c r="F83" s="78">
        <v>0</v>
      </c>
      <c r="G83" s="37">
        <f t="shared" si="36"/>
        <v>0.05</v>
      </c>
      <c r="H83" s="70">
        <f t="shared" si="16"/>
        <v>-121781.65049999999</v>
      </c>
      <c r="I83" s="70">
        <f t="shared" si="29"/>
        <v>245783.644</v>
      </c>
      <c r="J83" s="79">
        <f t="shared" si="34"/>
        <v>131600.02907947823</v>
      </c>
      <c r="K83" s="79">
        <f t="shared" si="35"/>
        <v>7</v>
      </c>
      <c r="L83" s="79">
        <f t="shared" si="17"/>
        <v>3959577.896389002</v>
      </c>
      <c r="M83" s="70"/>
      <c r="N83" s="70"/>
      <c r="O83" s="481"/>
      <c r="P83" s="84">
        <v>0</v>
      </c>
      <c r="Q83" s="80">
        <v>0</v>
      </c>
      <c r="R83" s="81">
        <v>0</v>
      </c>
      <c r="S83" s="81">
        <v>0</v>
      </c>
      <c r="T83" s="81">
        <v>0</v>
      </c>
      <c r="U83" s="81">
        <v>0</v>
      </c>
      <c r="V83" s="81">
        <v>-40882.573224881242</v>
      </c>
      <c r="W83" s="80">
        <v>-95321.16232000009</v>
      </c>
      <c r="X83" s="82">
        <v>-2000</v>
      </c>
      <c r="Y83" s="189">
        <v>-115144.89958928571</v>
      </c>
      <c r="Z83" s="189">
        <v>0</v>
      </c>
      <c r="AA83" s="85">
        <v>0</v>
      </c>
      <c r="AB83" s="85">
        <v>-29065.636383928573</v>
      </c>
      <c r="AC83" s="103">
        <v>-52495.4</v>
      </c>
      <c r="AD83" s="85">
        <v>0</v>
      </c>
      <c r="AE83" s="85">
        <v>0</v>
      </c>
      <c r="AF83" s="191">
        <v>0</v>
      </c>
      <c r="AG83" s="83">
        <v>0</v>
      </c>
      <c r="AH83" s="69">
        <f t="shared" si="30"/>
        <v>-237118.63173166703</v>
      </c>
      <c r="AI83" s="288">
        <v>-9209.81</v>
      </c>
      <c r="AJ83" s="288">
        <v>-7969</v>
      </c>
      <c r="AK83" s="288">
        <v>-18292.080112442527</v>
      </c>
      <c r="AL83" s="288">
        <v>-5197.0200000000004</v>
      </c>
      <c r="AM83" s="288">
        <f t="shared" si="26"/>
        <v>-47423.726346333409</v>
      </c>
      <c r="AN83" s="288">
        <f t="shared" si="27"/>
        <v>-158079.08782111137</v>
      </c>
      <c r="AO83" s="71">
        <v>0</v>
      </c>
      <c r="AP83" s="84">
        <v>0</v>
      </c>
      <c r="AQ83" s="125"/>
      <c r="AR83" s="133"/>
      <c r="AS83" s="78">
        <f t="shared" si="18"/>
        <v>3959577.896389002</v>
      </c>
      <c r="AT83" s="70">
        <f t="shared" si="19"/>
        <v>-818199.0275296499</v>
      </c>
      <c r="AU83" s="288">
        <f t="shared" si="32"/>
        <v>3141378.8688593521</v>
      </c>
      <c r="AV83" s="71">
        <f t="shared" si="33"/>
        <v>-2596556.6540317968</v>
      </c>
      <c r="AW83" s="289"/>
      <c r="AX83" s="82">
        <v>0</v>
      </c>
      <c r="AY83" s="223">
        <v>-174843.72107073152</v>
      </c>
      <c r="AZ83" s="223">
        <v>-314718.69792731677</v>
      </c>
      <c r="BA83" s="223">
        <v>-75634.742066932566</v>
      </c>
      <c r="BB83" s="223">
        <v>0</v>
      </c>
      <c r="BC83" s="223">
        <v>-115000</v>
      </c>
      <c r="BD83" s="223">
        <f t="shared" si="28"/>
        <v>-565197.1610649809</v>
      </c>
      <c r="BE83" s="83">
        <f t="shared" si="23"/>
        <v>-680197.1610649809</v>
      </c>
      <c r="BF83" s="78">
        <f t="shared" si="31"/>
        <v>3279380.7353240214</v>
      </c>
      <c r="BG83" s="70">
        <f t="shared" si="20"/>
        <v>-818199.0275296499</v>
      </c>
      <c r="BH83" s="70">
        <f t="shared" si="24"/>
        <v>2461181.7077943715</v>
      </c>
      <c r="BI83" s="71">
        <f t="shared" si="25"/>
        <v>19020342.123522751</v>
      </c>
      <c r="BJ83" s="86"/>
    </row>
    <row r="84" spans="1:62" ht="15" customHeight="1">
      <c r="A84" s="35">
        <f t="shared" si="21"/>
        <v>27</v>
      </c>
      <c r="B84" s="87"/>
      <c r="C84" s="36">
        <v>44075</v>
      </c>
      <c r="D84" s="69">
        <v>1268342.8638095239</v>
      </c>
      <c r="E84" s="78">
        <v>2432436.61</v>
      </c>
      <c r="F84" s="78">
        <v>0</v>
      </c>
      <c r="G84" s="37">
        <f t="shared" si="36"/>
        <v>0.05</v>
      </c>
      <c r="H84" s="70">
        <f t="shared" si="16"/>
        <v>-121621.8305</v>
      </c>
      <c r="I84" s="70">
        <f t="shared" si="29"/>
        <v>122589.55650000001</v>
      </c>
      <c r="J84" s="79">
        <f t="shared" si="34"/>
        <v>150647.79259871971</v>
      </c>
      <c r="K84" s="79">
        <f t="shared" si="35"/>
        <v>8</v>
      </c>
      <c r="L84" s="79">
        <f t="shared" si="17"/>
        <v>3852394.9924082435</v>
      </c>
      <c r="M84" s="70"/>
      <c r="N84" s="70"/>
      <c r="O84" s="481"/>
      <c r="P84" s="84">
        <v>0</v>
      </c>
      <c r="Q84" s="80">
        <v>0</v>
      </c>
      <c r="R84" s="81">
        <v>0</v>
      </c>
      <c r="S84" s="81">
        <v>0</v>
      </c>
      <c r="T84" s="81">
        <v>0</v>
      </c>
      <c r="U84" s="81">
        <v>0</v>
      </c>
      <c r="V84" s="81">
        <v>-40882.573224881242</v>
      </c>
      <c r="W84" s="80">
        <v>-95321.16232000009</v>
      </c>
      <c r="X84" s="82">
        <v>-2000</v>
      </c>
      <c r="Y84" s="189">
        <v>-96954.67076785714</v>
      </c>
      <c r="Z84" s="189">
        <v>0</v>
      </c>
      <c r="AA84" s="85">
        <v>0</v>
      </c>
      <c r="AB84" s="85">
        <v>-29065.636383928573</v>
      </c>
      <c r="AC84" s="103">
        <v>-52431.55</v>
      </c>
      <c r="AD84" s="85">
        <v>0</v>
      </c>
      <c r="AE84" s="85">
        <v>0</v>
      </c>
      <c r="AF84" s="191">
        <v>0</v>
      </c>
      <c r="AG84" s="83">
        <v>0</v>
      </c>
      <c r="AH84" s="69">
        <f t="shared" si="30"/>
        <v>-237574.67378334011</v>
      </c>
      <c r="AI84" s="288">
        <v>-9209.81</v>
      </c>
      <c r="AJ84" s="288">
        <v>-7969</v>
      </c>
      <c r="AK84" s="288">
        <v>-18270.181764804096</v>
      </c>
      <c r="AL84" s="288">
        <v>-4441.9399999999996</v>
      </c>
      <c r="AM84" s="288">
        <f t="shared" si="26"/>
        <v>-47514.934756668023</v>
      </c>
      <c r="AN84" s="288">
        <f t="shared" si="27"/>
        <v>-158383.11585556009</v>
      </c>
      <c r="AO84" s="71">
        <v>0</v>
      </c>
      <c r="AP84" s="84">
        <v>0</v>
      </c>
      <c r="AQ84" s="125"/>
      <c r="AR84" s="133"/>
      <c r="AS84" s="78">
        <f t="shared" si="18"/>
        <v>3852394.9924082435</v>
      </c>
      <c r="AT84" s="70">
        <f t="shared" si="19"/>
        <v>-800019.24885703926</v>
      </c>
      <c r="AU84" s="288">
        <f t="shared" si="32"/>
        <v>3052375.743551204</v>
      </c>
      <c r="AV84" s="71">
        <f t="shared" si="33"/>
        <v>455819.08951940713</v>
      </c>
      <c r="AW84" s="289"/>
      <c r="AX84" s="82">
        <v>0</v>
      </c>
      <c r="AY84" s="223">
        <v>-174843.72107073152</v>
      </c>
      <c r="AZ84" s="223">
        <v>-314718.69792731677</v>
      </c>
      <c r="BA84" s="223">
        <v>-89371.122171726922</v>
      </c>
      <c r="BB84" s="223">
        <v>0</v>
      </c>
      <c r="BC84" s="223">
        <v>-115000</v>
      </c>
      <c r="BD84" s="223">
        <f t="shared" si="28"/>
        <v>-578933.54116977518</v>
      </c>
      <c r="BE84" s="83">
        <f t="shared" si="23"/>
        <v>-693933.54116977518</v>
      </c>
      <c r="BF84" s="78">
        <f t="shared" si="31"/>
        <v>3158461.4512384683</v>
      </c>
      <c r="BG84" s="70">
        <f t="shared" si="20"/>
        <v>-800019.24885703926</v>
      </c>
      <c r="BH84" s="70">
        <f t="shared" si="24"/>
        <v>2358442.2023814293</v>
      </c>
      <c r="BI84" s="71">
        <f t="shared" si="25"/>
        <v>21378784.325904179</v>
      </c>
      <c r="BJ84" s="86"/>
    </row>
    <row r="85" spans="1:62" ht="15" customHeight="1">
      <c r="A85" s="35">
        <f t="shared" si="21"/>
        <v>28</v>
      </c>
      <c r="B85" s="87"/>
      <c r="C85" s="36">
        <v>44105</v>
      </c>
      <c r="D85" s="69">
        <v>1268342.8638095239</v>
      </c>
      <c r="E85" s="78">
        <v>2427810.77</v>
      </c>
      <c r="F85" s="78">
        <v>0</v>
      </c>
      <c r="G85" s="37">
        <f t="shared" si="36"/>
        <v>0.05</v>
      </c>
      <c r="H85" s="70">
        <f t="shared" si="16"/>
        <v>-121390.53850000001</v>
      </c>
      <c r="I85" s="70">
        <f t="shared" si="29"/>
        <v>122360.67150000001</v>
      </c>
      <c r="J85" s="79">
        <f t="shared" si="34"/>
        <v>169692.55393732805</v>
      </c>
      <c r="K85" s="79">
        <f t="shared" si="35"/>
        <v>9</v>
      </c>
      <c r="L85" s="79">
        <f t="shared" si="17"/>
        <v>3866816.3207468521</v>
      </c>
      <c r="M85" s="70"/>
      <c r="N85" s="70"/>
      <c r="O85" s="481"/>
      <c r="P85" s="84">
        <v>0</v>
      </c>
      <c r="Q85" s="80">
        <v>0</v>
      </c>
      <c r="R85" s="81">
        <v>0</v>
      </c>
      <c r="S85" s="81">
        <v>0</v>
      </c>
      <c r="T85" s="81">
        <v>0</v>
      </c>
      <c r="U85" s="81">
        <v>0</v>
      </c>
      <c r="V85" s="81">
        <v>-40882.573224881242</v>
      </c>
      <c r="W85" s="80">
        <v>-95321.16232000009</v>
      </c>
      <c r="X85" s="82">
        <v>-2000</v>
      </c>
      <c r="Y85" s="189">
        <v>-45525.419067857139</v>
      </c>
      <c r="Z85" s="189">
        <v>0</v>
      </c>
      <c r="AA85" s="85">
        <v>0</v>
      </c>
      <c r="AB85" s="85">
        <v>-29065.636383928573</v>
      </c>
      <c r="AC85" s="103">
        <v>-52360.02</v>
      </c>
      <c r="AD85" s="85">
        <v>0</v>
      </c>
      <c r="AE85" s="85">
        <v>0</v>
      </c>
      <c r="AF85" s="191">
        <v>0</v>
      </c>
      <c r="AG85" s="83">
        <v>0</v>
      </c>
      <c r="AH85" s="69">
        <f t="shared" si="30"/>
        <v>-231143.69954449459</v>
      </c>
      <c r="AI85" s="288">
        <v>-9209.81</v>
      </c>
      <c r="AJ85" s="288">
        <v>-7969</v>
      </c>
      <c r="AK85" s="288">
        <v>-18271.592640486731</v>
      </c>
      <c r="AL85" s="288">
        <v>-4017.93</v>
      </c>
      <c r="AM85" s="288">
        <f t="shared" si="26"/>
        <v>-46228.739908898926</v>
      </c>
      <c r="AN85" s="288">
        <f t="shared" si="27"/>
        <v>-154095.79969632975</v>
      </c>
      <c r="AO85" s="71">
        <v>0</v>
      </c>
      <c r="AP85" s="84">
        <v>0</v>
      </c>
      <c r="AQ85" s="125"/>
      <c r="AR85" s="133"/>
      <c r="AS85" s="78">
        <f t="shared" si="18"/>
        <v>3866816.3207468521</v>
      </c>
      <c r="AT85" s="70">
        <f t="shared" si="19"/>
        <v>-736091.3827868771</v>
      </c>
      <c r="AU85" s="288">
        <f t="shared" si="32"/>
        <v>3130724.9379599751</v>
      </c>
      <c r="AV85" s="71">
        <f t="shared" si="33"/>
        <v>3586544.0274793822</v>
      </c>
      <c r="AW85" s="289"/>
      <c r="AX85" s="82">
        <v>0</v>
      </c>
      <c r="AY85" s="223">
        <v>-331093.72107073152</v>
      </c>
      <c r="AZ85" s="223">
        <v>-595968.69792731677</v>
      </c>
      <c r="BA85" s="223">
        <v>-72035.751435256389</v>
      </c>
      <c r="BB85" s="223">
        <v>0</v>
      </c>
      <c r="BC85" s="223">
        <v>0</v>
      </c>
      <c r="BD85" s="223">
        <f t="shared" si="28"/>
        <v>-999098.17043330474</v>
      </c>
      <c r="BE85" s="83">
        <f t="shared" si="23"/>
        <v>-999098.17043330474</v>
      </c>
      <c r="BF85" s="78">
        <f t="shared" si="31"/>
        <v>2867718.1503135473</v>
      </c>
      <c r="BG85" s="70">
        <f t="shared" si="20"/>
        <v>-736091.3827868771</v>
      </c>
      <c r="BH85" s="70">
        <f t="shared" si="24"/>
        <v>2131626.7675266704</v>
      </c>
      <c r="BI85" s="71">
        <f t="shared" si="25"/>
        <v>23510411.093430851</v>
      </c>
      <c r="BJ85" s="86"/>
    </row>
    <row r="86" spans="1:62" ht="15" customHeight="1">
      <c r="A86" s="35">
        <f t="shared" si="21"/>
        <v>29</v>
      </c>
      <c r="B86" s="87"/>
      <c r="C86" s="36">
        <v>44136</v>
      </c>
      <c r="D86" s="69">
        <v>1268342.8638095239</v>
      </c>
      <c r="E86" s="78">
        <v>2424441.6</v>
      </c>
      <c r="F86" s="78">
        <v>0</v>
      </c>
      <c r="G86" s="37">
        <f t="shared" si="36"/>
        <v>0.05</v>
      </c>
      <c r="H86" s="70">
        <f t="shared" si="16"/>
        <v>-121222.08000000002</v>
      </c>
      <c r="I86" s="70">
        <f t="shared" si="29"/>
        <v>121781.65049999999</v>
      </c>
      <c r="J86" s="79">
        <f t="shared" si="34"/>
        <v>188849.48507739371</v>
      </c>
      <c r="K86" s="79">
        <f t="shared" si="35"/>
        <v>10</v>
      </c>
      <c r="L86" s="79">
        <f t="shared" si="17"/>
        <v>3882193.5193869174</v>
      </c>
      <c r="M86" s="70"/>
      <c r="N86" s="70"/>
      <c r="O86" s="481"/>
      <c r="P86" s="84">
        <v>0</v>
      </c>
      <c r="Q86" s="80">
        <v>0</v>
      </c>
      <c r="R86" s="81">
        <v>0</v>
      </c>
      <c r="S86" s="81">
        <v>0</v>
      </c>
      <c r="T86" s="81">
        <v>0</v>
      </c>
      <c r="U86" s="81">
        <v>0</v>
      </c>
      <c r="V86" s="81">
        <v>-40882.573224881242</v>
      </c>
      <c r="W86" s="80">
        <v>0</v>
      </c>
      <c r="X86" s="82">
        <v>-2000</v>
      </c>
      <c r="Y86" s="189">
        <v>-38518.789178571424</v>
      </c>
      <c r="Z86" s="189">
        <v>0</v>
      </c>
      <c r="AA86" s="85">
        <v>0</v>
      </c>
      <c r="AB86" s="85">
        <v>-29065.636383928573</v>
      </c>
      <c r="AC86" s="103">
        <v>-52274.79</v>
      </c>
      <c r="AD86" s="85">
        <v>0</v>
      </c>
      <c r="AE86" s="85">
        <v>0</v>
      </c>
      <c r="AF86" s="191">
        <v>0</v>
      </c>
      <c r="AG86" s="83">
        <v>0</v>
      </c>
      <c r="AH86" s="69">
        <f t="shared" si="30"/>
        <v>-232008.97924481111</v>
      </c>
      <c r="AI86" s="288">
        <v>-9209.81</v>
      </c>
      <c r="AJ86" s="288">
        <v>-7969</v>
      </c>
      <c r="AK86" s="288">
        <v>-18244.015331353658</v>
      </c>
      <c r="AL86" s="288">
        <v>-4017.93</v>
      </c>
      <c r="AM86" s="288">
        <f t="shared" si="26"/>
        <v>-46401.795848962225</v>
      </c>
      <c r="AN86" s="288">
        <f t="shared" si="27"/>
        <v>-154672.65282987407</v>
      </c>
      <c r="AO86" s="71">
        <v>0</v>
      </c>
      <c r="AP86" s="84">
        <v>0</v>
      </c>
      <c r="AQ86" s="125"/>
      <c r="AR86" s="133"/>
      <c r="AS86" s="78">
        <f t="shared" si="18"/>
        <v>3882193.5193869174</v>
      </c>
      <c r="AT86" s="70">
        <f t="shared" si="19"/>
        <v>-635265.97204238223</v>
      </c>
      <c r="AU86" s="288">
        <f t="shared" si="32"/>
        <v>3246927.5473445351</v>
      </c>
      <c r="AV86" s="71">
        <f t="shared" si="33"/>
        <v>6833471.5748239178</v>
      </c>
      <c r="AW86" s="289"/>
      <c r="AX86" s="82">
        <v>0</v>
      </c>
      <c r="AY86" s="223">
        <v>-329272.43230957811</v>
      </c>
      <c r="AZ86" s="223">
        <v>-592690.37815724057</v>
      </c>
      <c r="BA86" s="223">
        <v>-70312.421398758117</v>
      </c>
      <c r="BB86" s="223">
        <v>0</v>
      </c>
      <c r="BC86" s="223">
        <v>0</v>
      </c>
      <c r="BD86" s="223">
        <f t="shared" si="28"/>
        <v>-992275.23186557682</v>
      </c>
      <c r="BE86" s="83">
        <f t="shared" si="23"/>
        <v>-992275.23186557682</v>
      </c>
      <c r="BF86" s="78">
        <f t="shared" si="31"/>
        <v>2889918.2875213409</v>
      </c>
      <c r="BG86" s="70">
        <f t="shared" si="20"/>
        <v>-635265.97204238223</v>
      </c>
      <c r="BH86" s="70">
        <f t="shared" si="24"/>
        <v>2254652.3154789587</v>
      </c>
      <c r="BI86" s="71">
        <f t="shared" si="25"/>
        <v>25765063.408909809</v>
      </c>
      <c r="BJ86" s="86"/>
    </row>
    <row r="87" spans="1:62" ht="15" customHeight="1">
      <c r="A87" s="35">
        <f t="shared" si="21"/>
        <v>30</v>
      </c>
      <c r="B87" s="87"/>
      <c r="C87" s="36">
        <v>44166</v>
      </c>
      <c r="D87" s="69">
        <v>1268342.8638095239</v>
      </c>
      <c r="E87" s="78">
        <v>2419594.4700000002</v>
      </c>
      <c r="F87" s="78">
        <v>0</v>
      </c>
      <c r="G87" s="37">
        <f t="shared" si="36"/>
        <v>0.05</v>
      </c>
      <c r="H87" s="70">
        <f t="shared" si="16"/>
        <v>-120979.72350000002</v>
      </c>
      <c r="I87" s="70">
        <f t="shared" si="29"/>
        <v>121621.8305</v>
      </c>
      <c r="J87" s="79">
        <f t="shared" si="34"/>
        <v>207984.29688926833</v>
      </c>
      <c r="K87" s="79">
        <f t="shared" si="35"/>
        <v>11</v>
      </c>
      <c r="L87" s="79">
        <f t="shared" si="17"/>
        <v>3896563.7376987925</v>
      </c>
      <c r="M87" s="70"/>
      <c r="N87" s="70"/>
      <c r="O87" s="481"/>
      <c r="P87" s="84">
        <v>0</v>
      </c>
      <c r="Q87" s="80">
        <v>0</v>
      </c>
      <c r="R87" s="81">
        <v>0</v>
      </c>
      <c r="S87" s="81">
        <v>0</v>
      </c>
      <c r="T87" s="81">
        <v>0</v>
      </c>
      <c r="U87" s="81">
        <v>0</v>
      </c>
      <c r="V87" s="81">
        <v>-40882.573224881242</v>
      </c>
      <c r="W87" s="80">
        <v>0</v>
      </c>
      <c r="X87" s="82">
        <v>-2000</v>
      </c>
      <c r="Y87" s="189">
        <v>-25833.036664285715</v>
      </c>
      <c r="Z87" s="189">
        <v>0</v>
      </c>
      <c r="AA87" s="85">
        <v>0</v>
      </c>
      <c r="AB87" s="85">
        <v>-29065.636383928573</v>
      </c>
      <c r="AC87" s="103">
        <v>-52155.25</v>
      </c>
      <c r="AD87" s="85">
        <v>0</v>
      </c>
      <c r="AE87" s="85">
        <v>0</v>
      </c>
      <c r="AF87" s="191">
        <v>0</v>
      </c>
      <c r="AG87" s="83">
        <v>0</v>
      </c>
      <c r="AH87" s="69">
        <f t="shared" si="30"/>
        <v>-232931.61116321504</v>
      </c>
      <c r="AI87" s="288">
        <v>-9209.81</v>
      </c>
      <c r="AJ87" s="288">
        <v>-7969</v>
      </c>
      <c r="AK87" s="288">
        <v>-18224.201462297544</v>
      </c>
      <c r="AL87" s="288">
        <v>-3107.39</v>
      </c>
      <c r="AM87" s="288">
        <f t="shared" si="26"/>
        <v>-46586.322232643011</v>
      </c>
      <c r="AN87" s="288">
        <f t="shared" si="27"/>
        <v>-155287.7407754767</v>
      </c>
      <c r="AO87" s="71">
        <v>0</v>
      </c>
      <c r="AP87" s="84">
        <v>0</v>
      </c>
      <c r="AQ87" s="125"/>
      <c r="AR87" s="133"/>
      <c r="AS87" s="78">
        <f t="shared" si="18"/>
        <v>3896563.7376987925</v>
      </c>
      <c r="AT87" s="70">
        <f t="shared" si="19"/>
        <v>-623252.57190672786</v>
      </c>
      <c r="AU87" s="288">
        <f t="shared" si="32"/>
        <v>3273311.1657920647</v>
      </c>
      <c r="AV87" s="71">
        <f t="shared" si="33"/>
        <v>10106782.740615983</v>
      </c>
      <c r="AW87" s="289"/>
      <c r="AX87" s="82">
        <v>0</v>
      </c>
      <c r="AY87" s="223">
        <v>-327451.14354842465</v>
      </c>
      <c r="AZ87" s="223">
        <v>-589412.05838716438</v>
      </c>
      <c r="BA87" s="223">
        <v>-68637.953257391026</v>
      </c>
      <c r="BB87" s="223">
        <v>0</v>
      </c>
      <c r="BC87" s="223">
        <v>0</v>
      </c>
      <c r="BD87" s="223">
        <f t="shared" si="28"/>
        <v>-985501.15519298008</v>
      </c>
      <c r="BE87" s="83">
        <f t="shared" si="23"/>
        <v>-985501.15519298008</v>
      </c>
      <c r="BF87" s="78">
        <f t="shared" si="31"/>
        <v>2911062.5825058119</v>
      </c>
      <c r="BG87" s="70">
        <f t="shared" si="20"/>
        <v>-623252.57190672786</v>
      </c>
      <c r="BH87" s="70">
        <f t="shared" si="24"/>
        <v>2287810.0105990842</v>
      </c>
      <c r="BI87" s="71">
        <f t="shared" si="25"/>
        <v>28052873.419508893</v>
      </c>
      <c r="BJ87" s="86"/>
    </row>
    <row r="88" spans="1:62" ht="15" customHeight="1">
      <c r="A88" s="35">
        <f t="shared" si="21"/>
        <v>31</v>
      </c>
      <c r="B88" s="87"/>
      <c r="C88" s="36">
        <v>44197</v>
      </c>
      <c r="D88" s="69">
        <v>1268342.8638095239</v>
      </c>
      <c r="E88" s="78">
        <v>2412143.9700000002</v>
      </c>
      <c r="F88" s="78">
        <v>0</v>
      </c>
      <c r="G88" s="37">
        <f t="shared" si="36"/>
        <v>0.05</v>
      </c>
      <c r="H88" s="70">
        <f t="shared" si="16"/>
        <v>-120607.19850000001</v>
      </c>
      <c r="I88" s="70">
        <f t="shared" si="29"/>
        <v>121390.53850000001</v>
      </c>
      <c r="J88" s="79">
        <f t="shared" si="34"/>
        <v>227004.37450546445</v>
      </c>
      <c r="K88" s="79">
        <f t="shared" si="35"/>
        <v>12</v>
      </c>
      <c r="L88" s="79">
        <f t="shared" si="17"/>
        <v>3908274.5483149886</v>
      </c>
      <c r="M88" s="70"/>
      <c r="N88" s="70"/>
      <c r="O88" s="481"/>
      <c r="P88" s="84">
        <v>0</v>
      </c>
      <c r="Q88" s="80">
        <v>0</v>
      </c>
      <c r="R88" s="81">
        <v>0</v>
      </c>
      <c r="S88" s="81">
        <v>0</v>
      </c>
      <c r="T88" s="81">
        <v>0</v>
      </c>
      <c r="U88" s="81">
        <v>0</v>
      </c>
      <c r="V88" s="81">
        <v>-40882.573224881242</v>
      </c>
      <c r="W88" s="80">
        <v>0</v>
      </c>
      <c r="X88" s="82">
        <v>-2000</v>
      </c>
      <c r="Y88" s="189">
        <v>-2229.0528857142858</v>
      </c>
      <c r="Z88" s="189">
        <v>0</v>
      </c>
      <c r="AA88" s="85">
        <v>0</v>
      </c>
      <c r="AB88" s="85">
        <v>-29065.636383928573</v>
      </c>
      <c r="AC88" s="103">
        <v>-51958.33</v>
      </c>
      <c r="AD88" s="85">
        <v>0</v>
      </c>
      <c r="AE88" s="85">
        <v>0</v>
      </c>
      <c r="AF88" s="191">
        <v>0</v>
      </c>
      <c r="AG88" s="83">
        <v>0</v>
      </c>
      <c r="AH88" s="69">
        <f t="shared" si="30"/>
        <v>-233793.82426192754</v>
      </c>
      <c r="AI88" s="288">
        <v>-9209.81</v>
      </c>
      <c r="AJ88" s="288">
        <v>-7969</v>
      </c>
      <c r="AK88" s="288">
        <v>-18202.194785576095</v>
      </c>
      <c r="AL88" s="288">
        <v>-2487.5300000000002</v>
      </c>
      <c r="AM88" s="288">
        <f t="shared" si="26"/>
        <v>-46758.76485238551</v>
      </c>
      <c r="AN88" s="288">
        <f t="shared" si="27"/>
        <v>-155862.54950795171</v>
      </c>
      <c r="AO88" s="71">
        <v>0</v>
      </c>
      <c r="AP88" s="84">
        <v>0</v>
      </c>
      <c r="AQ88" s="125"/>
      <c r="AR88" s="133"/>
      <c r="AS88" s="78">
        <f t="shared" si="18"/>
        <v>3908274.5483149886</v>
      </c>
      <c r="AT88" s="70">
        <f t="shared" si="19"/>
        <v>-600419.26590236498</v>
      </c>
      <c r="AU88" s="288">
        <f t="shared" si="32"/>
        <v>3307855.2824126235</v>
      </c>
      <c r="AV88" s="71">
        <f t="shared" si="33"/>
        <v>13414638.023028607</v>
      </c>
      <c r="AW88" s="289"/>
      <c r="AX88" s="82">
        <v>0</v>
      </c>
      <c r="AY88" s="223">
        <v>-325629.85478727118</v>
      </c>
      <c r="AZ88" s="223">
        <v>-586133.73861708818</v>
      </c>
      <c r="BA88" s="223">
        <v>-67010.961620808928</v>
      </c>
      <c r="BB88" s="223">
        <v>0</v>
      </c>
      <c r="BC88" s="223">
        <v>0</v>
      </c>
      <c r="BD88" s="223">
        <f t="shared" si="28"/>
        <v>-978774.55502516835</v>
      </c>
      <c r="BE88" s="83">
        <f t="shared" si="23"/>
        <v>-978774.55502516835</v>
      </c>
      <c r="BF88" s="78">
        <f t="shared" si="31"/>
        <v>2929499.9932898204</v>
      </c>
      <c r="BG88" s="70">
        <f t="shared" si="20"/>
        <v>-600419.26590236498</v>
      </c>
      <c r="BH88" s="70">
        <f t="shared" si="24"/>
        <v>2329080.7273874553</v>
      </c>
      <c r="BI88" s="71">
        <f t="shared" si="25"/>
        <v>30381954.146896347</v>
      </c>
      <c r="BJ88" s="86"/>
    </row>
    <row r="89" spans="1:62" ht="15" customHeight="1">
      <c r="A89" s="35">
        <f t="shared" si="21"/>
        <v>32</v>
      </c>
      <c r="B89" s="87"/>
      <c r="C89" s="36">
        <v>44228</v>
      </c>
      <c r="D89" s="69">
        <v>1268342.8638095239</v>
      </c>
      <c r="E89" s="78">
        <v>2399611.9700000002</v>
      </c>
      <c r="F89" s="78">
        <v>0</v>
      </c>
      <c r="G89" s="37">
        <f t="shared" si="36"/>
        <v>0.05</v>
      </c>
      <c r="H89" s="70">
        <f t="shared" ref="H89:H120" si="37">-E89*G89</f>
        <v>-119980.59850000002</v>
      </c>
      <c r="I89" s="70">
        <f t="shared" si="29"/>
        <v>121222.08000000002</v>
      </c>
      <c r="J89" s="79">
        <f t="shared" si="34"/>
        <v>245702.35947706178</v>
      </c>
      <c r="K89" s="79">
        <f t="shared" si="35"/>
        <v>13</v>
      </c>
      <c r="L89" s="79">
        <f t="shared" si="17"/>
        <v>3914898.6747865858</v>
      </c>
      <c r="M89" s="70"/>
      <c r="N89" s="70"/>
      <c r="O89" s="481"/>
      <c r="P89" s="84">
        <v>0</v>
      </c>
      <c r="Q89" s="80">
        <v>0</v>
      </c>
      <c r="R89" s="81">
        <v>0</v>
      </c>
      <c r="S89" s="81">
        <v>0</v>
      </c>
      <c r="T89" s="81">
        <v>0</v>
      </c>
      <c r="U89" s="81">
        <v>0</v>
      </c>
      <c r="V89" s="81">
        <v>-40882.573224881242</v>
      </c>
      <c r="W89" s="80">
        <v>0</v>
      </c>
      <c r="X89" s="82">
        <v>-2000</v>
      </c>
      <c r="Y89" s="189">
        <v>0</v>
      </c>
      <c r="Z89" s="189">
        <v>0</v>
      </c>
      <c r="AA89" s="85">
        <v>0</v>
      </c>
      <c r="AB89" s="85">
        <v>-29065.636383928573</v>
      </c>
      <c r="AC89" s="103">
        <v>-51700.55</v>
      </c>
      <c r="AD89" s="85">
        <v>0</v>
      </c>
      <c r="AE89" s="85">
        <v>0</v>
      </c>
      <c r="AF89" s="191">
        <v>0</v>
      </c>
      <c r="AG89" s="83">
        <v>0</v>
      </c>
      <c r="AH89" s="69">
        <f t="shared" si="30"/>
        <v>-234496.47289889932</v>
      </c>
      <c r="AI89" s="288">
        <v>-9209.81</v>
      </c>
      <c r="AJ89" s="288">
        <v>-7969</v>
      </c>
      <c r="AK89" s="288">
        <v>-18162.545021184687</v>
      </c>
      <c r="AL89" s="288">
        <v>-1672.17</v>
      </c>
      <c r="AM89" s="288">
        <f t="shared" si="26"/>
        <v>-46899.294579779867</v>
      </c>
      <c r="AN89" s="288">
        <f t="shared" si="27"/>
        <v>-156330.98193259953</v>
      </c>
      <c r="AO89" s="71">
        <v>0</v>
      </c>
      <c r="AP89" s="84">
        <v>0</v>
      </c>
      <c r="AQ89" s="125">
        <v>0</v>
      </c>
      <c r="AR89" s="133"/>
      <c r="AS89" s="78">
        <f t="shared" si="18"/>
        <v>3914898.6747865858</v>
      </c>
      <c r="AT89" s="70">
        <f t="shared" si="19"/>
        <v>-598389.03404127317</v>
      </c>
      <c r="AU89" s="288">
        <f t="shared" si="32"/>
        <v>3316509.6407453129</v>
      </c>
      <c r="AV89" s="71">
        <f t="shared" si="33"/>
        <v>16731147.66377392</v>
      </c>
      <c r="AW89" s="289"/>
      <c r="AX89" s="82">
        <v>0</v>
      </c>
      <c r="AY89" s="223">
        <v>-323808.56602611777</v>
      </c>
      <c r="AZ89" s="223">
        <v>-582855.41884701187</v>
      </c>
      <c r="BA89" s="223">
        <v>-65430.100378894298</v>
      </c>
      <c r="BB89" s="223">
        <v>0</v>
      </c>
      <c r="BC89" s="223">
        <v>0</v>
      </c>
      <c r="BD89" s="223">
        <f t="shared" si="28"/>
        <v>-972094.08525202388</v>
      </c>
      <c r="BE89" s="83">
        <f t="shared" si="23"/>
        <v>-972094.08525202388</v>
      </c>
      <c r="BF89" s="78">
        <f t="shared" si="31"/>
        <v>2942804.5895345621</v>
      </c>
      <c r="BG89" s="70">
        <f t="shared" si="20"/>
        <v>-598389.03404127317</v>
      </c>
      <c r="BH89" s="70">
        <f t="shared" si="24"/>
        <v>2344415.5554932887</v>
      </c>
      <c r="BI89" s="71">
        <f t="shared" si="25"/>
        <v>32726369.702389635</v>
      </c>
      <c r="BJ89" s="86"/>
    </row>
    <row r="90" spans="1:62" ht="15" customHeight="1">
      <c r="A90" s="35">
        <f t="shared" si="21"/>
        <v>33</v>
      </c>
      <c r="B90" s="87"/>
      <c r="C90" s="36">
        <v>44256</v>
      </c>
      <c r="D90" s="69">
        <v>1268342.8638095239</v>
      </c>
      <c r="E90" s="78">
        <v>2375385.1800000002</v>
      </c>
      <c r="F90" s="78">
        <v>0</v>
      </c>
      <c r="G90" s="37">
        <f t="shared" si="36"/>
        <v>0.05</v>
      </c>
      <c r="H90" s="70">
        <f t="shared" si="37"/>
        <v>-118769.25900000002</v>
      </c>
      <c r="I90" s="70">
        <f t="shared" si="29"/>
        <v>120979.72350000002</v>
      </c>
      <c r="J90" s="79">
        <f t="shared" si="34"/>
        <v>263518.53656770103</v>
      </c>
      <c r="K90" s="79">
        <f t="shared" si="35"/>
        <v>14</v>
      </c>
      <c r="L90" s="79">
        <f t="shared" si="17"/>
        <v>3909457.0448772251</v>
      </c>
      <c r="M90" s="70"/>
      <c r="N90" s="70"/>
      <c r="O90" s="481"/>
      <c r="P90" s="84">
        <v>0</v>
      </c>
      <c r="Q90" s="80">
        <v>0</v>
      </c>
      <c r="R90" s="81">
        <v>0</v>
      </c>
      <c r="S90" s="81">
        <v>0</v>
      </c>
      <c r="T90" s="81">
        <v>0</v>
      </c>
      <c r="U90" s="81">
        <v>0</v>
      </c>
      <c r="V90" s="81">
        <v>-40882.573224881242</v>
      </c>
      <c r="W90" s="80">
        <v>0</v>
      </c>
      <c r="X90" s="82">
        <v>-2000</v>
      </c>
      <c r="Y90" s="189">
        <v>0</v>
      </c>
      <c r="Z90" s="189">
        <v>0</v>
      </c>
      <c r="AA90" s="85">
        <v>0</v>
      </c>
      <c r="AB90" s="85">
        <v>-29065.636383928573</v>
      </c>
      <c r="AC90" s="103">
        <v>-51158.080000000002</v>
      </c>
      <c r="AD90" s="85">
        <v>0</v>
      </c>
      <c r="AE90" s="85">
        <v>0</v>
      </c>
      <c r="AF90" s="191">
        <v>0</v>
      </c>
      <c r="AG90" s="83">
        <v>0</v>
      </c>
      <c r="AH90" s="69">
        <f t="shared" si="30"/>
        <v>-234893.92048719514</v>
      </c>
      <c r="AI90" s="288">
        <v>-9209.81</v>
      </c>
      <c r="AJ90" s="288">
        <v>-7969</v>
      </c>
      <c r="AK90" s="288">
        <v>-18103.45817134493</v>
      </c>
      <c r="AL90" s="288">
        <v>-767.84</v>
      </c>
      <c r="AM90" s="288">
        <f t="shared" si="26"/>
        <v>-46978.784097439035</v>
      </c>
      <c r="AN90" s="288">
        <f t="shared" si="27"/>
        <v>-156595.94699146342</v>
      </c>
      <c r="AO90" s="71">
        <v>0</v>
      </c>
      <c r="AP90" s="84">
        <v>0</v>
      </c>
      <c r="AQ90" s="125">
        <v>0</v>
      </c>
      <c r="AR90" s="133"/>
      <c r="AS90" s="78">
        <f t="shared" si="18"/>
        <v>3909457.0448772251</v>
      </c>
      <c r="AT90" s="70">
        <f t="shared" si="19"/>
        <v>-597625.04935625242</v>
      </c>
      <c r="AU90" s="288">
        <f t="shared" si="32"/>
        <v>3311831.9955209726</v>
      </c>
      <c r="AV90" s="71">
        <f t="shared" si="33"/>
        <v>20042979.659294892</v>
      </c>
      <c r="AW90" s="289"/>
      <c r="AX90" s="82">
        <v>0</v>
      </c>
      <c r="AY90" s="223">
        <v>-321987.2772649643</v>
      </c>
      <c r="AZ90" s="223">
        <v>-579577.09907693567</v>
      </c>
      <c r="BA90" s="223">
        <v>-63894.06158803861</v>
      </c>
      <c r="BB90" s="223">
        <v>0</v>
      </c>
      <c r="BC90" s="223">
        <v>0</v>
      </c>
      <c r="BD90" s="223">
        <f t="shared" si="28"/>
        <v>-965458.43792993855</v>
      </c>
      <c r="BE90" s="83">
        <f t="shared" si="23"/>
        <v>-965458.43792993855</v>
      </c>
      <c r="BF90" s="78">
        <f t="shared" si="31"/>
        <v>2943998.6069472865</v>
      </c>
      <c r="BG90" s="70">
        <f t="shared" si="20"/>
        <v>-597625.04935625242</v>
      </c>
      <c r="BH90" s="70">
        <f t="shared" si="24"/>
        <v>2346373.5575910341</v>
      </c>
      <c r="BI90" s="71">
        <f t="shared" si="25"/>
        <v>35072743.259980671</v>
      </c>
      <c r="BJ90" s="86"/>
    </row>
    <row r="91" spans="1:62" ht="15" customHeight="1">
      <c r="A91" s="35">
        <f t="shared" si="21"/>
        <v>34</v>
      </c>
      <c r="B91" s="87"/>
      <c r="C91" s="36">
        <v>44287</v>
      </c>
      <c r="D91" s="69">
        <v>1268342.8638095239</v>
      </c>
      <c r="E91" s="78">
        <v>2369299.81</v>
      </c>
      <c r="F91" s="78">
        <v>0</v>
      </c>
      <c r="G91" s="37">
        <f t="shared" si="36"/>
        <v>0.05</v>
      </c>
      <c r="H91" s="70">
        <f t="shared" si="37"/>
        <v>-118464.99050000001</v>
      </c>
      <c r="I91" s="70">
        <f t="shared" si="29"/>
        <v>120607.19850000001</v>
      </c>
      <c r="J91" s="79">
        <f t="shared" si="34"/>
        <v>282582.04126875009</v>
      </c>
      <c r="K91" s="79">
        <f t="shared" si="35"/>
        <v>15</v>
      </c>
      <c r="L91" s="79">
        <f t="shared" si="17"/>
        <v>3922366.9230782739</v>
      </c>
      <c r="M91" s="70"/>
      <c r="N91" s="70"/>
      <c r="O91" s="481"/>
      <c r="P91" s="84">
        <v>0</v>
      </c>
      <c r="Q91" s="80">
        <v>0</v>
      </c>
      <c r="R91" s="81">
        <v>0</v>
      </c>
      <c r="S91" s="81">
        <v>0</v>
      </c>
      <c r="T91" s="81">
        <v>0</v>
      </c>
      <c r="U91" s="81">
        <v>0</v>
      </c>
      <c r="V91" s="81">
        <v>-40882.573224881242</v>
      </c>
      <c r="W91" s="80">
        <v>0</v>
      </c>
      <c r="X91" s="82">
        <v>-2000</v>
      </c>
      <c r="Y91" s="189">
        <v>0</v>
      </c>
      <c r="Z91" s="189">
        <v>0</v>
      </c>
      <c r="AA91" s="85">
        <v>0</v>
      </c>
      <c r="AB91" s="85">
        <v>-29065.636383928573</v>
      </c>
      <c r="AC91" s="103">
        <v>-50992.82</v>
      </c>
      <c r="AD91" s="85">
        <v>0</v>
      </c>
      <c r="AE91" s="85">
        <v>0</v>
      </c>
      <c r="AF91" s="191">
        <v>0</v>
      </c>
      <c r="AG91" s="83">
        <v>0</v>
      </c>
      <c r="AH91" s="69">
        <f t="shared" si="30"/>
        <v>-234567.4226926335</v>
      </c>
      <c r="AI91" s="288">
        <v>-9209.81</v>
      </c>
      <c r="AJ91" s="473">
        <v>-23969</v>
      </c>
      <c r="AK91" s="288">
        <v>-17980.729151271775</v>
      </c>
      <c r="AL91" s="288">
        <v>-767.84</v>
      </c>
      <c r="AM91" s="288">
        <f t="shared" si="26"/>
        <v>-46913.484538526704</v>
      </c>
      <c r="AN91" s="288">
        <f t="shared" si="27"/>
        <v>-156378.28179508902</v>
      </c>
      <c r="AO91" s="71">
        <v>-10000</v>
      </c>
      <c r="AP91" s="84">
        <v>0</v>
      </c>
      <c r="AQ91" s="125">
        <v>0</v>
      </c>
      <c r="AR91" s="133"/>
      <c r="AS91" s="78">
        <f t="shared" ref="AS91:AS122" si="38">+L91</f>
        <v>3922366.9230782739</v>
      </c>
      <c r="AT91" s="70">
        <f t="shared" ref="AT91:AT122" si="39">+SUM(P91:AQ91)</f>
        <v>-622727.59778633085</v>
      </c>
      <c r="AU91" s="288">
        <f t="shared" si="32"/>
        <v>3299639.3252919428</v>
      </c>
      <c r="AV91" s="71">
        <f t="shared" si="33"/>
        <v>23342618.984586835</v>
      </c>
      <c r="AW91" s="289"/>
      <c r="AX91" s="82">
        <v>0</v>
      </c>
      <c r="AY91" s="223">
        <v>-320165.98850381083</v>
      </c>
      <c r="AZ91" s="223">
        <v>-576298.77930685948</v>
      </c>
      <c r="BA91" s="223">
        <v>-62401.5743890003</v>
      </c>
      <c r="BB91" s="223">
        <v>0</v>
      </c>
      <c r="BC91" s="223">
        <v>0</v>
      </c>
      <c r="BD91" s="223">
        <f t="shared" si="28"/>
        <v>-958866.34219967062</v>
      </c>
      <c r="BE91" s="83">
        <f t="shared" si="23"/>
        <v>-958866.34219967062</v>
      </c>
      <c r="BF91" s="78">
        <f t="shared" si="31"/>
        <v>2963500.5808786033</v>
      </c>
      <c r="BG91" s="70">
        <f t="shared" ref="BG91:BG122" si="40">AT91</f>
        <v>-622727.59778633085</v>
      </c>
      <c r="BH91" s="70">
        <f t="shared" si="24"/>
        <v>2340772.9830922727</v>
      </c>
      <c r="BI91" s="71">
        <f t="shared" si="25"/>
        <v>37413516.243072942</v>
      </c>
      <c r="BJ91" s="86"/>
    </row>
    <row r="92" spans="1:62" ht="15" customHeight="1">
      <c r="A92" s="35">
        <f t="shared" si="21"/>
        <v>35</v>
      </c>
      <c r="B92" s="87"/>
      <c r="C92" s="36">
        <v>44317</v>
      </c>
      <c r="D92" s="69">
        <v>1268342.8638095239</v>
      </c>
      <c r="E92" s="78">
        <v>2365370.37</v>
      </c>
      <c r="F92" s="78">
        <v>0</v>
      </c>
      <c r="G92" s="37">
        <f t="shared" si="36"/>
        <v>0.05</v>
      </c>
      <c r="H92" s="70">
        <f t="shared" si="37"/>
        <v>-118268.51850000001</v>
      </c>
      <c r="I92" s="70">
        <f t="shared" si="29"/>
        <v>119980.59850000002</v>
      </c>
      <c r="J92" s="79">
        <f t="shared" si="34"/>
        <v>301856.74173947098</v>
      </c>
      <c r="K92" s="79">
        <f t="shared" si="35"/>
        <v>16</v>
      </c>
      <c r="L92" s="79">
        <f t="shared" si="17"/>
        <v>3937282.0555489948</v>
      </c>
      <c r="M92" s="70"/>
      <c r="N92" s="70"/>
      <c r="O92" s="481"/>
      <c r="P92" s="84">
        <v>0</v>
      </c>
      <c r="Q92" s="80">
        <v>0</v>
      </c>
      <c r="R92" s="81">
        <v>0</v>
      </c>
      <c r="S92" s="81">
        <v>0</v>
      </c>
      <c r="T92" s="81">
        <v>0</v>
      </c>
      <c r="U92" s="81">
        <v>0</v>
      </c>
      <c r="V92" s="81">
        <v>0</v>
      </c>
      <c r="W92" s="80">
        <v>0</v>
      </c>
      <c r="X92" s="82">
        <v>-2000</v>
      </c>
      <c r="Y92" s="189">
        <v>0</v>
      </c>
      <c r="Z92" s="189">
        <v>0</v>
      </c>
      <c r="AA92" s="85">
        <v>0</v>
      </c>
      <c r="AB92" s="85">
        <v>-29065.636383928573</v>
      </c>
      <c r="AC92" s="103">
        <v>-50968.94</v>
      </c>
      <c r="AD92" s="85">
        <v>0</v>
      </c>
      <c r="AE92" s="85">
        <v>0</v>
      </c>
      <c r="AF92" s="191">
        <v>0</v>
      </c>
      <c r="AG92" s="83">
        <v>0</v>
      </c>
      <c r="AH92" s="69">
        <f t="shared" si="30"/>
        <v>-235342.01538469642</v>
      </c>
      <c r="AI92" s="473">
        <v>-9209.81</v>
      </c>
      <c r="AJ92" s="288">
        <v>-23969</v>
      </c>
      <c r="AK92" s="473">
        <v>-17947.317671519188</v>
      </c>
      <c r="AL92" s="473">
        <v>-767.84</v>
      </c>
      <c r="AM92" s="288">
        <f t="shared" si="26"/>
        <v>-47068.403076939285</v>
      </c>
      <c r="AN92" s="288">
        <f t="shared" si="27"/>
        <v>-156894.67692313096</v>
      </c>
      <c r="AO92" s="474">
        <v>-10000</v>
      </c>
      <c r="AP92" s="84">
        <v>0</v>
      </c>
      <c r="AQ92" s="125">
        <v>0</v>
      </c>
      <c r="AR92" s="133"/>
      <c r="AS92" s="78">
        <f t="shared" si="38"/>
        <v>3937282.0555489948</v>
      </c>
      <c r="AT92" s="70">
        <f t="shared" si="39"/>
        <v>-583233.63944021449</v>
      </c>
      <c r="AU92" s="288">
        <f t="shared" si="32"/>
        <v>3354048.4161087805</v>
      </c>
      <c r="AV92" s="71">
        <f t="shared" si="33"/>
        <v>26696667.400695615</v>
      </c>
      <c r="AW92" s="289"/>
      <c r="AX92" s="82">
        <v>0</v>
      </c>
      <c r="AY92" s="223">
        <v>-318344.69974265742</v>
      </c>
      <c r="AZ92" s="223">
        <v>-573020.45953678328</v>
      </c>
      <c r="BA92" s="223">
        <v>-60951.403955444817</v>
      </c>
      <c r="BB92" s="223">
        <v>0</v>
      </c>
      <c r="BC92" s="223">
        <v>0</v>
      </c>
      <c r="BD92" s="223">
        <f t="shared" si="28"/>
        <v>-952316.56323488557</v>
      </c>
      <c r="BE92" s="83">
        <f t="shared" ref="BE92:BE123" si="41">SUM(AY92:BC92)</f>
        <v>-952316.56323488557</v>
      </c>
      <c r="BF92" s="78">
        <f t="shared" si="31"/>
        <v>2984965.4923141091</v>
      </c>
      <c r="BG92" s="70">
        <f t="shared" si="40"/>
        <v>-583233.63944021449</v>
      </c>
      <c r="BH92" s="70">
        <f t="shared" si="24"/>
        <v>2401731.8528738944</v>
      </c>
      <c r="BI92" s="71">
        <f t="shared" si="25"/>
        <v>39815248.095946833</v>
      </c>
      <c r="BJ92" s="86"/>
    </row>
    <row r="93" spans="1:62" ht="15" customHeight="1">
      <c r="A93" s="35">
        <f t="shared" si="21"/>
        <v>36</v>
      </c>
      <c r="B93" s="87"/>
      <c r="C93" s="36">
        <v>44348</v>
      </c>
      <c r="D93" s="69">
        <v>1268342.8638095239</v>
      </c>
      <c r="E93" s="78">
        <v>2357920.98</v>
      </c>
      <c r="F93" s="78">
        <v>0</v>
      </c>
      <c r="G93" s="37">
        <f t="shared" si="36"/>
        <v>0.05</v>
      </c>
      <c r="H93" s="70">
        <f t="shared" si="37"/>
        <v>-117896.049</v>
      </c>
      <c r="I93" s="70">
        <f t="shared" si="29"/>
        <v>118769.25900000002</v>
      </c>
      <c r="J93" s="79">
        <f t="shared" si="34"/>
        <v>320875.42111659376</v>
      </c>
      <c r="K93" s="79">
        <f t="shared" si="35"/>
        <v>17</v>
      </c>
      <c r="L93" s="79">
        <f t="shared" si="17"/>
        <v>3948012.4749261178</v>
      </c>
      <c r="M93" s="70"/>
      <c r="N93" s="70"/>
      <c r="O93" s="481"/>
      <c r="P93" s="84">
        <v>0</v>
      </c>
      <c r="Q93" s="80">
        <v>0</v>
      </c>
      <c r="R93" s="81">
        <v>0</v>
      </c>
      <c r="S93" s="81">
        <v>0</v>
      </c>
      <c r="T93" s="81">
        <v>0</v>
      </c>
      <c r="U93" s="81">
        <v>0</v>
      </c>
      <c r="V93" s="81">
        <v>0</v>
      </c>
      <c r="W93" s="80">
        <v>0</v>
      </c>
      <c r="X93" s="82">
        <v>-2000</v>
      </c>
      <c r="Y93" s="189">
        <v>0</v>
      </c>
      <c r="Z93" s="189">
        <v>0</v>
      </c>
      <c r="AA93" s="85">
        <v>0</v>
      </c>
      <c r="AB93" s="85">
        <v>-29065.636383928573</v>
      </c>
      <c r="AC93" s="103">
        <v>-50793.52</v>
      </c>
      <c r="AD93" s="85">
        <v>0</v>
      </c>
      <c r="AE93" s="85">
        <v>0</v>
      </c>
      <c r="AF93" s="191">
        <v>0</v>
      </c>
      <c r="AG93" s="83">
        <v>0</v>
      </c>
      <c r="AH93" s="69">
        <f t="shared" si="30"/>
        <v>-236236.92333293968</v>
      </c>
      <c r="AI93" s="288">
        <v>-9209.81</v>
      </c>
      <c r="AJ93" s="288">
        <v>-7969</v>
      </c>
      <c r="AK93" s="288">
        <v>-17924.75445762217</v>
      </c>
      <c r="AL93" s="288">
        <v>-767.84</v>
      </c>
      <c r="AM93" s="288">
        <f t="shared" si="26"/>
        <v>-47247.384666587939</v>
      </c>
      <c r="AN93" s="288">
        <f t="shared" si="27"/>
        <v>-157491.28222195979</v>
      </c>
      <c r="AO93" s="71"/>
      <c r="AP93" s="84">
        <v>0</v>
      </c>
      <c r="AQ93" s="125">
        <v>0</v>
      </c>
      <c r="AR93" s="133"/>
      <c r="AS93" s="78">
        <f t="shared" si="38"/>
        <v>3948012.4749261178</v>
      </c>
      <c r="AT93" s="70">
        <f t="shared" si="39"/>
        <v>-558706.15106303815</v>
      </c>
      <c r="AU93" s="288">
        <f t="shared" si="32"/>
        <v>3389306.3238630798</v>
      </c>
      <c r="AV93" s="71">
        <f t="shared" si="33"/>
        <v>30085973.724558696</v>
      </c>
      <c r="AW93" s="289"/>
      <c r="AX93" s="82">
        <v>0</v>
      </c>
      <c r="AY93" s="223">
        <v>-316523.4109815039</v>
      </c>
      <c r="AZ93" s="223">
        <v>-569742.13976670709</v>
      </c>
      <c r="BA93" s="223">
        <v>-59542.350472296981</v>
      </c>
      <c r="BB93" s="223">
        <v>0</v>
      </c>
      <c r="BC93" s="223">
        <v>0</v>
      </c>
      <c r="BD93" s="223">
        <f t="shared" ref="BD93:BD124" si="42">SUM(AX93:BB93)</f>
        <v>-945807.90122050792</v>
      </c>
      <c r="BE93" s="83">
        <f t="shared" si="41"/>
        <v>-945807.90122050792</v>
      </c>
      <c r="BF93" s="78">
        <f t="shared" si="31"/>
        <v>3002204.5737056099</v>
      </c>
      <c r="BG93" s="70">
        <f t="shared" si="40"/>
        <v>-558706.15106303815</v>
      </c>
      <c r="BH93" s="70">
        <f t="shared" si="24"/>
        <v>2443498.4226425719</v>
      </c>
      <c r="BI93" s="71">
        <f t="shared" si="25"/>
        <v>42258746.518589407</v>
      </c>
      <c r="BJ93" s="86"/>
    </row>
    <row r="94" spans="1:62" ht="15" customHeight="1">
      <c r="A94" s="35">
        <f t="shared" si="21"/>
        <v>37</v>
      </c>
      <c r="B94" s="87"/>
      <c r="C94" s="36">
        <v>44378</v>
      </c>
      <c r="D94" s="69">
        <v>1268342.8638095239</v>
      </c>
      <c r="E94" s="78">
        <v>2354054.9700000002</v>
      </c>
      <c r="F94" s="78">
        <v>0</v>
      </c>
      <c r="G94" s="37">
        <f t="shared" si="36"/>
        <v>0.05</v>
      </c>
      <c r="H94" s="70">
        <f t="shared" si="37"/>
        <v>-117702.74850000002</v>
      </c>
      <c r="I94" s="70">
        <f t="shared" si="29"/>
        <v>118464.99050000001</v>
      </c>
      <c r="J94" s="79">
        <f t="shared" si="34"/>
        <v>340247.98722156556</v>
      </c>
      <c r="K94" s="79">
        <f t="shared" si="35"/>
        <v>18</v>
      </c>
      <c r="L94" s="79">
        <f t="shared" si="17"/>
        <v>3963408.0630310895</v>
      </c>
      <c r="M94" s="70"/>
      <c r="N94" s="70"/>
      <c r="O94" s="481"/>
      <c r="P94" s="84">
        <v>0</v>
      </c>
      <c r="Q94" s="80">
        <v>0</v>
      </c>
      <c r="R94" s="81">
        <v>0</v>
      </c>
      <c r="S94" s="81">
        <v>0</v>
      </c>
      <c r="T94" s="81">
        <v>0</v>
      </c>
      <c r="U94" s="81">
        <v>0</v>
      </c>
      <c r="V94" s="81">
        <v>0</v>
      </c>
      <c r="W94" s="80">
        <v>0</v>
      </c>
      <c r="X94" s="82">
        <v>-2000</v>
      </c>
      <c r="Y94" s="189">
        <v>0</v>
      </c>
      <c r="Z94" s="189">
        <v>0</v>
      </c>
      <c r="AA94" s="85">
        <v>0</v>
      </c>
      <c r="AB94" s="85">
        <v>-29065.636383928573</v>
      </c>
      <c r="AC94" s="103">
        <v>-50721.33</v>
      </c>
      <c r="AD94" s="85">
        <v>0</v>
      </c>
      <c r="AE94" s="85">
        <v>0</v>
      </c>
      <c r="AF94" s="191">
        <v>0</v>
      </c>
      <c r="AG94" s="83">
        <v>0</v>
      </c>
      <c r="AH94" s="69">
        <f t="shared" si="30"/>
        <v>-236880.74849556707</v>
      </c>
      <c r="AI94" s="288">
        <v>-9209.81</v>
      </c>
      <c r="AJ94" s="288">
        <v>-7969</v>
      </c>
      <c r="AK94" s="288">
        <v>-17871.806950788156</v>
      </c>
      <c r="AL94" s="288">
        <v>-767.84</v>
      </c>
      <c r="AM94" s="288">
        <f t="shared" si="26"/>
        <v>-47376.149699113412</v>
      </c>
      <c r="AN94" s="288">
        <f t="shared" si="27"/>
        <v>-157920.49899704472</v>
      </c>
      <c r="AO94" s="71"/>
      <c r="AP94" s="84">
        <v>0</v>
      </c>
      <c r="AQ94" s="125">
        <v>0</v>
      </c>
      <c r="AR94" s="133"/>
      <c r="AS94" s="78">
        <f t="shared" si="38"/>
        <v>3963408.0630310895</v>
      </c>
      <c r="AT94" s="70">
        <f t="shared" si="39"/>
        <v>-559782.82052644191</v>
      </c>
      <c r="AU94" s="288">
        <f t="shared" si="32"/>
        <v>3403625.2425046475</v>
      </c>
      <c r="AV94" s="71">
        <f t="shared" si="33"/>
        <v>33489598.967063345</v>
      </c>
      <c r="AW94" s="289"/>
      <c r="AX94" s="82">
        <v>0</v>
      </c>
      <c r="AY94" s="223">
        <v>-314702.12222035043</v>
      </c>
      <c r="AZ94" s="223">
        <v>-566463.81999663089</v>
      </c>
      <c r="BA94" s="223">
        <v>-58173.248143060249</v>
      </c>
      <c r="BB94" s="223">
        <v>0</v>
      </c>
      <c r="BC94" s="223">
        <v>0</v>
      </c>
      <c r="BD94" s="223">
        <f t="shared" si="42"/>
        <v>-939339.19036004157</v>
      </c>
      <c r="BE94" s="83">
        <f t="shared" si="41"/>
        <v>-939339.19036004157</v>
      </c>
      <c r="BF94" s="78">
        <f t="shared" si="31"/>
        <v>3024068.8726710482</v>
      </c>
      <c r="BG94" s="70">
        <f t="shared" si="40"/>
        <v>-559782.82052644191</v>
      </c>
      <c r="BH94" s="70">
        <f t="shared" si="24"/>
        <v>2464286.0521446061</v>
      </c>
      <c r="BI94" s="71">
        <f t="shared" si="25"/>
        <v>44723032.570734017</v>
      </c>
      <c r="BJ94" s="86"/>
    </row>
    <row r="95" spans="1:62" ht="15" customHeight="1">
      <c r="A95" s="35">
        <f t="shared" si="21"/>
        <v>38</v>
      </c>
      <c r="B95" s="87"/>
      <c r="C95" s="36">
        <v>44409</v>
      </c>
      <c r="D95" s="69">
        <v>1268342.8638095239</v>
      </c>
      <c r="E95" s="78">
        <v>2324647.85</v>
      </c>
      <c r="F95" s="78">
        <v>0</v>
      </c>
      <c r="G95" s="37">
        <f t="shared" si="36"/>
        <v>0.05</v>
      </c>
      <c r="H95" s="70">
        <f t="shared" si="37"/>
        <v>-116232.39250000002</v>
      </c>
      <c r="I95" s="70">
        <f t="shared" si="29"/>
        <v>118268.51850000001</v>
      </c>
      <c r="J95" s="79">
        <f t="shared" si="34"/>
        <v>357138.19023139775</v>
      </c>
      <c r="K95" s="79">
        <f t="shared" si="35"/>
        <v>19</v>
      </c>
      <c r="L95" s="79">
        <f t="shared" si="17"/>
        <v>3952165.0300409216</v>
      </c>
      <c r="M95" s="70"/>
      <c r="N95" s="70"/>
      <c r="O95" s="481"/>
      <c r="P95" s="84">
        <v>0</v>
      </c>
      <c r="Q95" s="80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0">
        <v>0</v>
      </c>
      <c r="X95" s="82">
        <v>-2000</v>
      </c>
      <c r="Y95" s="189">
        <v>0</v>
      </c>
      <c r="Z95" s="189">
        <v>0</v>
      </c>
      <c r="AA95" s="85">
        <v>0</v>
      </c>
      <c r="AB95" s="85">
        <v>-29065.636383928573</v>
      </c>
      <c r="AC95" s="103">
        <v>-50001.59</v>
      </c>
      <c r="AD95" s="85">
        <v>0</v>
      </c>
      <c r="AE95" s="85">
        <v>0</v>
      </c>
      <c r="AF95" s="191">
        <v>0</v>
      </c>
      <c r="AG95" s="83">
        <v>0</v>
      </c>
      <c r="AH95" s="69">
        <f t="shared" si="30"/>
        <v>-237804.48378186536</v>
      </c>
      <c r="AI95" s="288">
        <v>-9209.81</v>
      </c>
      <c r="AJ95" s="288">
        <v>-7969</v>
      </c>
      <c r="AK95" s="288">
        <v>-17855.730728818544</v>
      </c>
      <c r="AL95" s="288">
        <v>0</v>
      </c>
      <c r="AM95" s="288">
        <f t="shared" si="26"/>
        <v>-47560.896756373077</v>
      </c>
      <c r="AN95" s="288">
        <f t="shared" si="27"/>
        <v>-158536.32252124359</v>
      </c>
      <c r="AO95" s="71"/>
      <c r="AP95" s="84">
        <v>0</v>
      </c>
      <c r="AQ95" s="125">
        <v>0</v>
      </c>
      <c r="AR95" s="133"/>
      <c r="AS95" s="78">
        <f t="shared" si="38"/>
        <v>3952165.0300409216</v>
      </c>
      <c r="AT95" s="70">
        <f t="shared" si="39"/>
        <v>-560003.47017222922</v>
      </c>
      <c r="AU95" s="288">
        <f t="shared" si="32"/>
        <v>3392161.5598686924</v>
      </c>
      <c r="AV95" s="71">
        <f t="shared" si="33"/>
        <v>36881760.526932038</v>
      </c>
      <c r="AW95" s="289"/>
      <c r="AX95" s="82">
        <v>0</v>
      </c>
      <c r="AY95" s="223">
        <v>-312880.83345919702</v>
      </c>
      <c r="AZ95" s="223">
        <v>-563185.50022655469</v>
      </c>
      <c r="BA95" s="223">
        <v>-56842.964225281685</v>
      </c>
      <c r="BB95" s="223">
        <v>0</v>
      </c>
      <c r="BC95" s="223">
        <v>0</v>
      </c>
      <c r="BD95" s="223">
        <f t="shared" si="42"/>
        <v>-932909.2979110335</v>
      </c>
      <c r="BE95" s="83">
        <f t="shared" si="41"/>
        <v>-932909.2979110335</v>
      </c>
      <c r="BF95" s="78">
        <f t="shared" si="31"/>
        <v>3019255.7321298886</v>
      </c>
      <c r="BG95" s="70">
        <f t="shared" si="40"/>
        <v>-560003.47017222922</v>
      </c>
      <c r="BH95" s="70">
        <f t="shared" si="24"/>
        <v>2459252.2619576594</v>
      </c>
      <c r="BI95" s="71">
        <f t="shared" si="25"/>
        <v>47182284.832691677</v>
      </c>
      <c r="BJ95" s="86"/>
    </row>
    <row r="96" spans="1:62" ht="15" customHeight="1">
      <c r="A96" s="35">
        <f t="shared" si="21"/>
        <v>39</v>
      </c>
      <c r="B96" s="87"/>
      <c r="C96" s="36">
        <v>44440</v>
      </c>
      <c r="D96" s="69">
        <v>1268342.8638095239</v>
      </c>
      <c r="E96" s="78">
        <v>2309123.7599999998</v>
      </c>
      <c r="F96" s="78">
        <v>0</v>
      </c>
      <c r="G96" s="37">
        <f t="shared" si="36"/>
        <v>0.05</v>
      </c>
      <c r="H96" s="70">
        <f t="shared" si="37"/>
        <v>-115456.18799999999</v>
      </c>
      <c r="I96" s="70">
        <f t="shared" si="29"/>
        <v>117896.049</v>
      </c>
      <c r="J96" s="79">
        <f t="shared" si="34"/>
        <v>375260.42637075344</v>
      </c>
      <c r="K96" s="79">
        <f t="shared" si="35"/>
        <v>20</v>
      </c>
      <c r="L96" s="79">
        <f t="shared" si="17"/>
        <v>3955166.9111802774</v>
      </c>
      <c r="M96" s="70"/>
      <c r="N96" s="70"/>
      <c r="O96" s="481"/>
      <c r="P96" s="84">
        <v>0</v>
      </c>
      <c r="Q96" s="80">
        <v>0</v>
      </c>
      <c r="R96" s="81">
        <v>0</v>
      </c>
      <c r="S96" s="81">
        <v>0</v>
      </c>
      <c r="T96" s="81">
        <v>0</v>
      </c>
      <c r="U96" s="81">
        <v>0</v>
      </c>
      <c r="V96" s="81">
        <v>0</v>
      </c>
      <c r="W96" s="80">
        <v>0</v>
      </c>
      <c r="X96" s="82">
        <v>-2000</v>
      </c>
      <c r="Y96" s="189">
        <v>0</v>
      </c>
      <c r="Z96" s="189">
        <v>0</v>
      </c>
      <c r="AA96" s="85">
        <v>0</v>
      </c>
      <c r="AB96" s="85">
        <v>-29065.636383928573</v>
      </c>
      <c r="AC96" s="103">
        <v>-49668.01</v>
      </c>
      <c r="AD96" s="85">
        <v>0</v>
      </c>
      <c r="AE96" s="85">
        <v>0</v>
      </c>
      <c r="AF96" s="191">
        <v>0</v>
      </c>
      <c r="AG96" s="83">
        <v>0</v>
      </c>
      <c r="AH96" s="69">
        <f t="shared" si="30"/>
        <v>-237129.90180245528</v>
      </c>
      <c r="AI96" s="288">
        <v>-9209.81</v>
      </c>
      <c r="AJ96" s="288">
        <v>-7969</v>
      </c>
      <c r="AK96" s="288">
        <v>-17709.677846398758</v>
      </c>
      <c r="AL96" s="288">
        <v>0</v>
      </c>
      <c r="AM96" s="288">
        <f t="shared" si="26"/>
        <v>-47425.980360491063</v>
      </c>
      <c r="AN96" s="288">
        <f t="shared" si="27"/>
        <v>-158086.60120163686</v>
      </c>
      <c r="AO96" s="71"/>
      <c r="AP96" s="84">
        <v>0</v>
      </c>
      <c r="AQ96" s="125">
        <v>0</v>
      </c>
      <c r="AR96" s="133"/>
      <c r="AS96" s="78">
        <f t="shared" si="38"/>
        <v>3955166.9111802774</v>
      </c>
      <c r="AT96" s="70">
        <f t="shared" si="39"/>
        <v>-558264.61759491055</v>
      </c>
      <c r="AU96" s="288">
        <f t="shared" si="32"/>
        <v>3396902.2935853666</v>
      </c>
      <c r="AV96" s="71">
        <f t="shared" si="33"/>
        <v>40278662.820517406</v>
      </c>
      <c r="AW96" s="289"/>
      <c r="AX96" s="82">
        <v>0</v>
      </c>
      <c r="AY96" s="223">
        <v>-311059.54469804355</v>
      </c>
      <c r="AZ96" s="223">
        <v>-559907.18045647838</v>
      </c>
      <c r="BA96" s="223">
        <v>-71112.151081412332</v>
      </c>
      <c r="BB96" s="223">
        <v>0</v>
      </c>
      <c r="BC96" s="223">
        <v>0</v>
      </c>
      <c r="BD96" s="223">
        <f t="shared" si="42"/>
        <v>-942078.87623593421</v>
      </c>
      <c r="BE96" s="83">
        <f t="shared" si="41"/>
        <v>-942078.87623593421</v>
      </c>
      <c r="BF96" s="78">
        <f t="shared" si="31"/>
        <v>3013088.0349443434</v>
      </c>
      <c r="BG96" s="70">
        <f t="shared" si="40"/>
        <v>-558264.61759491055</v>
      </c>
      <c r="BH96" s="70">
        <f t="shared" si="24"/>
        <v>2454823.4173494326</v>
      </c>
      <c r="BI96" s="71">
        <f t="shared" si="25"/>
        <v>49637108.250041112</v>
      </c>
      <c r="BJ96" s="86"/>
    </row>
    <row r="97" spans="1:62" ht="15" customHeight="1">
      <c r="A97" s="35">
        <f t="shared" si="21"/>
        <v>40</v>
      </c>
      <c r="B97" s="87"/>
      <c r="C97" s="36">
        <v>44470</v>
      </c>
      <c r="D97" s="69">
        <v>1268342.8638095239</v>
      </c>
      <c r="E97" s="78">
        <v>2252592.7400000002</v>
      </c>
      <c r="F97" s="78">
        <v>0</v>
      </c>
      <c r="G97" s="37">
        <f t="shared" si="36"/>
        <v>0.05</v>
      </c>
      <c r="H97" s="70">
        <f t="shared" si="37"/>
        <v>-112629.63700000002</v>
      </c>
      <c r="I97" s="70">
        <f t="shared" si="29"/>
        <v>117702.74850000002</v>
      </c>
      <c r="J97" s="79">
        <f t="shared" si="34"/>
        <v>388781.90327994013</v>
      </c>
      <c r="K97" s="79">
        <f t="shared" si="35"/>
        <v>21</v>
      </c>
      <c r="L97" s="79">
        <f t="shared" si="17"/>
        <v>3914790.6185894641</v>
      </c>
      <c r="M97" s="70"/>
      <c r="N97" s="70"/>
      <c r="O97" s="481"/>
      <c r="P97" s="84">
        <v>0</v>
      </c>
      <c r="Q97" s="80">
        <v>0</v>
      </c>
      <c r="R97" s="81">
        <v>0</v>
      </c>
      <c r="S97" s="81">
        <v>0</v>
      </c>
      <c r="T97" s="81">
        <v>0</v>
      </c>
      <c r="U97" s="81">
        <v>0</v>
      </c>
      <c r="V97" s="81">
        <v>0</v>
      </c>
      <c r="W97" s="80">
        <v>0</v>
      </c>
      <c r="X97" s="82">
        <v>-2000</v>
      </c>
      <c r="Y97" s="189">
        <v>0</v>
      </c>
      <c r="Z97" s="189">
        <v>0</v>
      </c>
      <c r="AA97" s="85">
        <v>0</v>
      </c>
      <c r="AB97" s="85">
        <v>-29065.636383928573</v>
      </c>
      <c r="AC97" s="103">
        <v>-48174.93</v>
      </c>
      <c r="AD97" s="85">
        <v>0</v>
      </c>
      <c r="AE97" s="85">
        <v>0</v>
      </c>
      <c r="AF97" s="191">
        <v>0</v>
      </c>
      <c r="AG97" s="83">
        <v>0</v>
      </c>
      <c r="AH97" s="69">
        <f t="shared" si="30"/>
        <v>-237310.01467081663</v>
      </c>
      <c r="AI97" s="288">
        <v>-9209.81</v>
      </c>
      <c r="AJ97" s="288">
        <v>-7969</v>
      </c>
      <c r="AK97" s="288">
        <v>-17629.963937709294</v>
      </c>
      <c r="AL97" s="288">
        <v>0</v>
      </c>
      <c r="AM97" s="288">
        <f t="shared" si="26"/>
        <v>-47462.002934163327</v>
      </c>
      <c r="AN97" s="288">
        <f t="shared" si="27"/>
        <v>-158206.6764472111</v>
      </c>
      <c r="AO97" s="71"/>
      <c r="AP97" s="84">
        <v>0</v>
      </c>
      <c r="AQ97" s="125">
        <v>0</v>
      </c>
      <c r="AR97" s="133"/>
      <c r="AS97" s="78">
        <f t="shared" si="38"/>
        <v>3914790.6185894641</v>
      </c>
      <c r="AT97" s="70">
        <f t="shared" si="39"/>
        <v>-557028.03437382891</v>
      </c>
      <c r="AU97" s="288">
        <f t="shared" si="32"/>
        <v>3357762.5842156354</v>
      </c>
      <c r="AV97" s="71">
        <f t="shared" si="33"/>
        <v>43636425.404733039</v>
      </c>
      <c r="AW97" s="289"/>
      <c r="AX97" s="82">
        <v>0</v>
      </c>
      <c r="AY97" s="223">
        <v>-309238.25593689008</v>
      </c>
      <c r="AZ97" s="223">
        <v>-556628.86068640219</v>
      </c>
      <c r="BA97" s="223">
        <v>-54294.480327953046</v>
      </c>
      <c r="BB97" s="223">
        <v>0</v>
      </c>
      <c r="BC97" s="223">
        <v>0</v>
      </c>
      <c r="BD97" s="223">
        <f t="shared" si="42"/>
        <v>-920161.59695124521</v>
      </c>
      <c r="BE97" s="83">
        <f t="shared" si="41"/>
        <v>-920161.59695124521</v>
      </c>
      <c r="BF97" s="78">
        <f t="shared" si="31"/>
        <v>2994629.0216382188</v>
      </c>
      <c r="BG97" s="70">
        <f t="shared" si="40"/>
        <v>-557028.03437382891</v>
      </c>
      <c r="BH97" s="70">
        <f t="shared" si="24"/>
        <v>2437600.9872643901</v>
      </c>
      <c r="BI97" s="71">
        <f t="shared" si="25"/>
        <v>52074709.2373055</v>
      </c>
      <c r="BJ97" s="86"/>
    </row>
    <row r="98" spans="1:62" ht="15" customHeight="1">
      <c r="A98" s="35">
        <f t="shared" si="21"/>
        <v>41</v>
      </c>
      <c r="B98" s="87"/>
      <c r="C98" s="36">
        <v>44501</v>
      </c>
      <c r="D98" s="69">
        <v>1268342.8638095239</v>
      </c>
      <c r="E98" s="78">
        <v>2232580.14</v>
      </c>
      <c r="F98" s="78">
        <v>0</v>
      </c>
      <c r="G98" s="37">
        <f t="shared" si="36"/>
        <v>0.05</v>
      </c>
      <c r="H98" s="70">
        <f t="shared" si="37"/>
        <v>-111629.00700000001</v>
      </c>
      <c r="I98" s="70">
        <f t="shared" si="29"/>
        <v>116232.39250000002</v>
      </c>
      <c r="J98" s="79">
        <f t="shared" si="34"/>
        <v>406009.58645926882</v>
      </c>
      <c r="K98" s="79">
        <f t="shared" si="35"/>
        <v>22</v>
      </c>
      <c r="L98" s="79">
        <f t="shared" si="17"/>
        <v>3911535.9757687929</v>
      </c>
      <c r="M98" s="70"/>
      <c r="N98" s="70"/>
      <c r="O98" s="481"/>
      <c r="P98" s="84">
        <v>0</v>
      </c>
      <c r="Q98" s="80">
        <v>0</v>
      </c>
      <c r="R98" s="81">
        <v>0</v>
      </c>
      <c r="S98" s="81">
        <v>0</v>
      </c>
      <c r="T98" s="81">
        <v>0</v>
      </c>
      <c r="U98" s="81">
        <v>0</v>
      </c>
      <c r="V98" s="81">
        <v>0</v>
      </c>
      <c r="W98" s="80">
        <v>0</v>
      </c>
      <c r="X98" s="82">
        <v>-2000</v>
      </c>
      <c r="Y98" s="189">
        <v>0</v>
      </c>
      <c r="Z98" s="189">
        <v>0</v>
      </c>
      <c r="AA98" s="85">
        <v>0</v>
      </c>
      <c r="AB98" s="85">
        <v>-29065.636383928573</v>
      </c>
      <c r="AC98" s="103">
        <v>-47644.89</v>
      </c>
      <c r="AD98" s="85">
        <v>0</v>
      </c>
      <c r="AE98" s="85">
        <v>0</v>
      </c>
      <c r="AF98" s="191">
        <v>0</v>
      </c>
      <c r="AG98" s="83">
        <v>0</v>
      </c>
      <c r="AH98" s="69">
        <f t="shared" si="30"/>
        <v>-234887.43711536785</v>
      </c>
      <c r="AI98" s="288">
        <v>-9209.81</v>
      </c>
      <c r="AJ98" s="288">
        <v>-7969</v>
      </c>
      <c r="AK98" s="288">
        <v>-17350.770621180702</v>
      </c>
      <c r="AL98" s="288">
        <v>0</v>
      </c>
      <c r="AM98" s="288">
        <f t="shared" si="26"/>
        <v>-46977.487423073573</v>
      </c>
      <c r="AN98" s="288">
        <f t="shared" si="27"/>
        <v>-156591.62474357858</v>
      </c>
      <c r="AO98" s="71"/>
      <c r="AP98" s="84">
        <v>0</v>
      </c>
      <c r="AQ98" s="125">
        <v>0</v>
      </c>
      <c r="AR98" s="133"/>
      <c r="AS98" s="78">
        <f t="shared" si="38"/>
        <v>3911535.9757687929</v>
      </c>
      <c r="AT98" s="70">
        <f t="shared" si="39"/>
        <v>-551696.65628712927</v>
      </c>
      <c r="AU98" s="288">
        <f t="shared" si="32"/>
        <v>3359839.3194816634</v>
      </c>
      <c r="AV98" s="71">
        <f t="shared" si="33"/>
        <v>46996264.724214703</v>
      </c>
      <c r="AW98" s="289"/>
      <c r="AX98" s="82">
        <v>0</v>
      </c>
      <c r="AY98" s="223">
        <v>-307416.96717573667</v>
      </c>
      <c r="AZ98" s="223">
        <v>-553350.54091632599</v>
      </c>
      <c r="BA98" s="223">
        <v>-53074.171831136213</v>
      </c>
      <c r="BB98" s="223">
        <v>0</v>
      </c>
      <c r="BC98" s="223">
        <v>0</v>
      </c>
      <c r="BD98" s="223">
        <f t="shared" si="42"/>
        <v>-913841.67992319888</v>
      </c>
      <c r="BE98" s="83">
        <f t="shared" si="41"/>
        <v>-913841.67992319888</v>
      </c>
      <c r="BF98" s="78">
        <f t="shared" si="31"/>
        <v>2997694.2958455943</v>
      </c>
      <c r="BG98" s="70">
        <f t="shared" si="40"/>
        <v>-551696.65628712927</v>
      </c>
      <c r="BH98" s="70">
        <f t="shared" si="24"/>
        <v>2445997.6395584652</v>
      </c>
      <c r="BI98" s="71">
        <f t="shared" si="25"/>
        <v>54520706.876863964</v>
      </c>
      <c r="BJ98" s="86"/>
    </row>
    <row r="99" spans="1:62" ht="15" customHeight="1">
      <c r="A99" s="35">
        <f t="shared" si="21"/>
        <v>42</v>
      </c>
      <c r="B99" s="87"/>
      <c r="C99" s="36">
        <v>44531</v>
      </c>
      <c r="D99" s="69">
        <v>1268342.8638095239</v>
      </c>
      <c r="E99" s="78">
        <v>2218788.25</v>
      </c>
      <c r="F99" s="78">
        <v>0</v>
      </c>
      <c r="G99" s="37">
        <f t="shared" si="36"/>
        <v>0.05</v>
      </c>
      <c r="H99" s="70">
        <f t="shared" si="37"/>
        <v>-110939.41250000001</v>
      </c>
      <c r="I99" s="70">
        <f t="shared" si="29"/>
        <v>115456.18799999999</v>
      </c>
      <c r="J99" s="79">
        <f t="shared" si="34"/>
        <v>423867.81737494096</v>
      </c>
      <c r="K99" s="79">
        <f t="shared" si="35"/>
        <v>23</v>
      </c>
      <c r="L99" s="79">
        <f t="shared" si="17"/>
        <v>3915515.7066844646</v>
      </c>
      <c r="M99" s="70"/>
      <c r="N99" s="70"/>
      <c r="O99" s="481"/>
      <c r="P99" s="84">
        <v>0</v>
      </c>
      <c r="Q99" s="80">
        <v>0</v>
      </c>
      <c r="R99" s="81">
        <v>0</v>
      </c>
      <c r="S99" s="81">
        <v>0</v>
      </c>
      <c r="T99" s="81">
        <v>0</v>
      </c>
      <c r="U99" s="81">
        <v>0</v>
      </c>
      <c r="V99" s="81">
        <v>0</v>
      </c>
      <c r="W99" s="80">
        <v>0</v>
      </c>
      <c r="X99" s="82">
        <v>-2000</v>
      </c>
      <c r="Y99" s="189">
        <v>0</v>
      </c>
      <c r="Z99" s="189">
        <v>0</v>
      </c>
      <c r="AA99" s="85">
        <v>0</v>
      </c>
      <c r="AB99" s="85">
        <v>-29065.636383928573</v>
      </c>
      <c r="AC99" s="103">
        <v>-47339.37</v>
      </c>
      <c r="AD99" s="85">
        <v>0</v>
      </c>
      <c r="AE99" s="85">
        <v>0</v>
      </c>
      <c r="AF99" s="191">
        <v>0</v>
      </c>
      <c r="AG99" s="83">
        <v>0</v>
      </c>
      <c r="AH99" s="69">
        <f t="shared" si="30"/>
        <v>-234692.15854612755</v>
      </c>
      <c r="AI99" s="288">
        <v>-9209.81</v>
      </c>
      <c r="AJ99" s="288">
        <v>-7969</v>
      </c>
      <c r="AK99" s="288">
        <v>-17235.540992127804</v>
      </c>
      <c r="AL99" s="288">
        <v>0</v>
      </c>
      <c r="AM99" s="288">
        <f t="shared" si="26"/>
        <v>-46938.431709225515</v>
      </c>
      <c r="AN99" s="288">
        <f t="shared" si="27"/>
        <v>-156461.43903075173</v>
      </c>
      <c r="AO99" s="71"/>
      <c r="AP99" s="84">
        <v>0</v>
      </c>
      <c r="AQ99" s="125">
        <v>0</v>
      </c>
      <c r="AR99" s="133"/>
      <c r="AS99" s="78">
        <f t="shared" si="38"/>
        <v>3915515.7066844646</v>
      </c>
      <c r="AT99" s="70">
        <f t="shared" si="39"/>
        <v>-550911.38666216121</v>
      </c>
      <c r="AU99" s="288">
        <f t="shared" si="32"/>
        <v>3364604.3200223036</v>
      </c>
      <c r="AV99" s="71">
        <f t="shared" si="33"/>
        <v>50360869.044237003</v>
      </c>
      <c r="AW99" s="289"/>
      <c r="AX99" s="82">
        <v>0</v>
      </c>
      <c r="AY99" s="223">
        <v>-305595.67841458321</v>
      </c>
      <c r="AZ99" s="223">
        <v>-550072.22114624979</v>
      </c>
      <c r="BA99" s="223">
        <v>-51888.462966738196</v>
      </c>
      <c r="BB99" s="223">
        <v>0</v>
      </c>
      <c r="BC99" s="223">
        <v>0</v>
      </c>
      <c r="BD99" s="223">
        <f t="shared" si="42"/>
        <v>-907556.36252757115</v>
      </c>
      <c r="BE99" s="83">
        <f t="shared" si="41"/>
        <v>-907556.36252757115</v>
      </c>
      <c r="BF99" s="78">
        <f t="shared" si="31"/>
        <v>3007959.3441568934</v>
      </c>
      <c r="BG99" s="70">
        <f t="shared" si="40"/>
        <v>-550911.38666216121</v>
      </c>
      <c r="BH99" s="70">
        <f t="shared" si="24"/>
        <v>2457047.957494732</v>
      </c>
      <c r="BI99" s="71">
        <f t="shared" si="25"/>
        <v>56977754.834358692</v>
      </c>
      <c r="BJ99" s="86"/>
    </row>
    <row r="100" spans="1:62" ht="15" customHeight="1">
      <c r="A100" s="35">
        <f t="shared" si="21"/>
        <v>43</v>
      </c>
      <c r="B100" s="87"/>
      <c r="C100" s="36">
        <v>44562</v>
      </c>
      <c r="D100" s="69">
        <v>1268342.8638095239</v>
      </c>
      <c r="E100" s="78">
        <v>2199203.9300000002</v>
      </c>
      <c r="F100" s="78">
        <v>0</v>
      </c>
      <c r="G100" s="37">
        <f t="shared" si="36"/>
        <v>0.05</v>
      </c>
      <c r="H100" s="70">
        <f t="shared" si="37"/>
        <v>-109960.19650000002</v>
      </c>
      <c r="I100" s="70">
        <f t="shared" si="29"/>
        <v>112629.63700000002</v>
      </c>
      <c r="J100" s="79">
        <f t="shared" si="34"/>
        <v>440932.47428252874</v>
      </c>
      <c r="K100" s="79">
        <f t="shared" si="35"/>
        <v>24</v>
      </c>
      <c r="L100" s="79">
        <f t="shared" si="17"/>
        <v>3911148.7085920526</v>
      </c>
      <c r="M100" s="70"/>
      <c r="N100" s="70"/>
      <c r="O100" s="481"/>
      <c r="P100" s="84">
        <v>0</v>
      </c>
      <c r="Q100" s="80">
        <v>0</v>
      </c>
      <c r="R100" s="81">
        <v>0</v>
      </c>
      <c r="S100" s="81">
        <v>0</v>
      </c>
      <c r="T100" s="81">
        <v>0</v>
      </c>
      <c r="U100" s="81">
        <v>0</v>
      </c>
      <c r="V100" s="81">
        <v>0</v>
      </c>
      <c r="W100" s="80">
        <v>0</v>
      </c>
      <c r="X100" s="82">
        <v>-2000</v>
      </c>
      <c r="Y100" s="189">
        <v>0</v>
      </c>
      <c r="Z100" s="189">
        <v>0</v>
      </c>
      <c r="AA100" s="85">
        <v>0</v>
      </c>
      <c r="AB100" s="85">
        <v>-29065.636383928573</v>
      </c>
      <c r="AC100" s="103">
        <v>-46928.62</v>
      </c>
      <c r="AD100" s="85">
        <v>0</v>
      </c>
      <c r="AE100" s="85">
        <v>0</v>
      </c>
      <c r="AF100" s="191">
        <v>0</v>
      </c>
      <c r="AG100" s="83">
        <v>0</v>
      </c>
      <c r="AH100" s="69">
        <f t="shared" si="30"/>
        <v>-234930.94240106788</v>
      </c>
      <c r="AI100" s="288">
        <v>-9209.81</v>
      </c>
      <c r="AJ100" s="288">
        <v>-7969</v>
      </c>
      <c r="AK100" s="288">
        <v>-17158.675989452378</v>
      </c>
      <c r="AL100" s="288">
        <v>0</v>
      </c>
      <c r="AM100" s="288">
        <f t="shared" si="26"/>
        <v>-46986.188480213576</v>
      </c>
      <c r="AN100" s="288">
        <f t="shared" si="27"/>
        <v>-156620.62826737858</v>
      </c>
      <c r="AO100" s="71"/>
      <c r="AP100" s="84">
        <v>0</v>
      </c>
      <c r="AQ100" s="125">
        <v>0</v>
      </c>
      <c r="AR100" s="133"/>
      <c r="AS100" s="78">
        <f t="shared" si="38"/>
        <v>3911148.7085920526</v>
      </c>
      <c r="AT100" s="70">
        <f t="shared" si="39"/>
        <v>-550869.50152204104</v>
      </c>
      <c r="AU100" s="288">
        <f t="shared" si="32"/>
        <v>3360279.2070700116</v>
      </c>
      <c r="AV100" s="71">
        <f t="shared" si="33"/>
        <v>53721148.251307011</v>
      </c>
      <c r="AW100" s="289"/>
      <c r="AX100" s="82">
        <v>0</v>
      </c>
      <c r="AY100" s="223">
        <v>-303774.38965342974</v>
      </c>
      <c r="AZ100" s="223">
        <v>-546793.9013761736</v>
      </c>
      <c r="BA100" s="223">
        <v>-50736.3727249843</v>
      </c>
      <c r="BB100" s="223">
        <v>0</v>
      </c>
      <c r="BC100" s="223">
        <v>0</v>
      </c>
      <c r="BD100" s="223">
        <f t="shared" si="42"/>
        <v>-901304.66375458764</v>
      </c>
      <c r="BE100" s="83">
        <f t="shared" si="41"/>
        <v>-901304.66375458764</v>
      </c>
      <c r="BF100" s="78">
        <f t="shared" si="31"/>
        <v>3009844.0448374646</v>
      </c>
      <c r="BG100" s="70">
        <f t="shared" si="40"/>
        <v>-550869.50152204104</v>
      </c>
      <c r="BH100" s="70">
        <f t="shared" si="24"/>
        <v>2458974.5433154237</v>
      </c>
      <c r="BI100" s="71">
        <f t="shared" si="25"/>
        <v>59436729.377674118</v>
      </c>
      <c r="BJ100" s="86"/>
    </row>
    <row r="101" spans="1:62" ht="15" customHeight="1">
      <c r="A101" s="35">
        <f t="shared" si="21"/>
        <v>44</v>
      </c>
      <c r="B101" s="87"/>
      <c r="C101" s="36">
        <v>44593</v>
      </c>
      <c r="D101" s="69">
        <v>1268342.8638095239</v>
      </c>
      <c r="E101" s="78">
        <v>2172515.61</v>
      </c>
      <c r="F101" s="78">
        <v>0</v>
      </c>
      <c r="G101" s="37">
        <f t="shared" si="36"/>
        <v>0.05</v>
      </c>
      <c r="H101" s="70">
        <f t="shared" si="37"/>
        <v>-108625.78049999999</v>
      </c>
      <c r="I101" s="70">
        <f t="shared" si="29"/>
        <v>111629.00700000001</v>
      </c>
      <c r="J101" s="79">
        <f t="shared" si="34"/>
        <v>456930.77982049808</v>
      </c>
      <c r="K101" s="79">
        <f t="shared" si="35"/>
        <v>25</v>
      </c>
      <c r="L101" s="79">
        <f t="shared" si="17"/>
        <v>3900792.4801300219</v>
      </c>
      <c r="M101" s="70"/>
      <c r="N101" s="70"/>
      <c r="O101" s="481"/>
      <c r="P101" s="84">
        <v>0</v>
      </c>
      <c r="Q101" s="80">
        <v>0</v>
      </c>
      <c r="R101" s="81">
        <v>0</v>
      </c>
      <c r="S101" s="81">
        <v>0</v>
      </c>
      <c r="T101" s="81">
        <v>0</v>
      </c>
      <c r="U101" s="81">
        <v>0</v>
      </c>
      <c r="V101" s="81">
        <v>0</v>
      </c>
      <c r="W101" s="80">
        <v>0</v>
      </c>
      <c r="X101" s="82">
        <v>-2000</v>
      </c>
      <c r="Y101" s="189">
        <v>0</v>
      </c>
      <c r="Z101" s="189">
        <v>0</v>
      </c>
      <c r="AA101" s="85">
        <v>0</v>
      </c>
      <c r="AB101" s="85">
        <v>-29065.636383928573</v>
      </c>
      <c r="AC101" s="103">
        <v>-46382.12</v>
      </c>
      <c r="AD101" s="85">
        <v>0</v>
      </c>
      <c r="AE101" s="85">
        <v>0</v>
      </c>
      <c r="AF101" s="191">
        <v>0</v>
      </c>
      <c r="AG101" s="83">
        <v>0</v>
      </c>
      <c r="AH101" s="69">
        <f t="shared" si="30"/>
        <v>-234668.92251552315</v>
      </c>
      <c r="AI101" s="288">
        <v>-9209.81</v>
      </c>
      <c r="AJ101" s="288">
        <v>-7969</v>
      </c>
      <c r="AK101" s="288">
        <v>-17028.434698447381</v>
      </c>
      <c r="AL101" s="288">
        <v>0</v>
      </c>
      <c r="AM101" s="288">
        <f t="shared" si="26"/>
        <v>-46933.784503104631</v>
      </c>
      <c r="AN101" s="288">
        <f t="shared" si="27"/>
        <v>-156445.9483436821</v>
      </c>
      <c r="AO101" s="71"/>
      <c r="AP101" s="84">
        <v>0</v>
      </c>
      <c r="AQ101" s="125">
        <v>0</v>
      </c>
      <c r="AR101" s="133"/>
      <c r="AS101" s="78">
        <f t="shared" si="38"/>
        <v>3900792.4801300219</v>
      </c>
      <c r="AT101" s="70">
        <f t="shared" si="39"/>
        <v>-549703.65644468588</v>
      </c>
      <c r="AU101" s="288">
        <f t="shared" si="32"/>
        <v>3351088.8236853359</v>
      </c>
      <c r="AV101" s="71">
        <f t="shared" si="33"/>
        <v>57072237.074992344</v>
      </c>
      <c r="AW101" s="289"/>
      <c r="AX101" s="82">
        <v>0</v>
      </c>
      <c r="AY101" s="223">
        <v>-301953.10089227627</v>
      </c>
      <c r="AZ101" s="223">
        <v>-543515.58160609729</v>
      </c>
      <c r="BA101" s="223">
        <v>-49616.947910851333</v>
      </c>
      <c r="BB101" s="223">
        <v>0</v>
      </c>
      <c r="BC101" s="223">
        <v>0</v>
      </c>
      <c r="BD101" s="223">
        <f t="shared" si="42"/>
        <v>-895085.63040922489</v>
      </c>
      <c r="BE101" s="83">
        <f t="shared" si="41"/>
        <v>-895085.63040922489</v>
      </c>
      <c r="BF101" s="78">
        <f t="shared" si="31"/>
        <v>3005706.8497207975</v>
      </c>
      <c r="BG101" s="70">
        <f t="shared" si="40"/>
        <v>-549703.65644468588</v>
      </c>
      <c r="BH101" s="70">
        <f t="shared" si="24"/>
        <v>2456003.1932761115</v>
      </c>
      <c r="BI101" s="71">
        <f t="shared" si="25"/>
        <v>61892732.570950232</v>
      </c>
      <c r="BJ101" s="86"/>
    </row>
    <row r="102" spans="1:62" ht="15" customHeight="1">
      <c r="A102" s="35">
        <f t="shared" si="21"/>
        <v>45</v>
      </c>
      <c r="B102" s="87"/>
      <c r="C102" s="36">
        <v>44621</v>
      </c>
      <c r="D102" s="69">
        <v>1268342.8638095239</v>
      </c>
      <c r="E102" s="78">
        <v>2140900.37</v>
      </c>
      <c r="F102" s="78">
        <v>0</v>
      </c>
      <c r="G102" s="37">
        <f t="shared" si="36"/>
        <v>0.05</v>
      </c>
      <c r="H102" s="70">
        <f t="shared" si="37"/>
        <v>-107045.01850000001</v>
      </c>
      <c r="I102" s="70">
        <f t="shared" si="29"/>
        <v>110939.41250000001</v>
      </c>
      <c r="J102" s="79">
        <f t="shared" si="34"/>
        <v>472042.29409146635</v>
      </c>
      <c r="K102" s="79">
        <f t="shared" si="35"/>
        <v>26</v>
      </c>
      <c r="L102" s="79">
        <f t="shared" si="17"/>
        <v>3885179.9219009904</v>
      </c>
      <c r="M102" s="70"/>
      <c r="N102" s="70"/>
      <c r="O102" s="481"/>
      <c r="P102" s="84">
        <v>0</v>
      </c>
      <c r="Q102" s="80">
        <v>0</v>
      </c>
      <c r="R102" s="81">
        <v>0</v>
      </c>
      <c r="S102" s="81">
        <v>0</v>
      </c>
      <c r="T102" s="81">
        <v>0</v>
      </c>
      <c r="U102" s="81">
        <v>0</v>
      </c>
      <c r="V102" s="81">
        <v>0</v>
      </c>
      <c r="W102" s="80">
        <v>0</v>
      </c>
      <c r="X102" s="82">
        <v>-2000</v>
      </c>
      <c r="Y102" s="189">
        <v>0</v>
      </c>
      <c r="Z102" s="189">
        <v>0</v>
      </c>
      <c r="AA102" s="85">
        <v>0</v>
      </c>
      <c r="AB102" s="85">
        <v>-29065.636383928573</v>
      </c>
      <c r="AC102" s="103">
        <v>-45683.07</v>
      </c>
      <c r="AD102" s="85">
        <v>0</v>
      </c>
      <c r="AE102" s="85">
        <v>0</v>
      </c>
      <c r="AF102" s="191">
        <v>0</v>
      </c>
      <c r="AG102" s="83">
        <v>0</v>
      </c>
      <c r="AH102" s="69">
        <f t="shared" si="30"/>
        <v>-234047.5488078013</v>
      </c>
      <c r="AI102" s="288">
        <v>-9209.81</v>
      </c>
      <c r="AJ102" s="288">
        <v>-7969</v>
      </c>
      <c r="AK102" s="288">
        <v>-16885.622488736419</v>
      </c>
      <c r="AL102" s="288">
        <v>0</v>
      </c>
      <c r="AM102" s="288">
        <f t="shared" si="26"/>
        <v>-46809.509761560264</v>
      </c>
      <c r="AN102" s="288">
        <f t="shared" si="27"/>
        <v>-156031.69920520089</v>
      </c>
      <c r="AO102" s="71"/>
      <c r="AP102" s="84">
        <v>0</v>
      </c>
      <c r="AQ102" s="125">
        <v>0</v>
      </c>
      <c r="AR102" s="133"/>
      <c r="AS102" s="78">
        <f t="shared" si="38"/>
        <v>3885179.9219009904</v>
      </c>
      <c r="AT102" s="70">
        <f t="shared" si="39"/>
        <v>-547701.89664722746</v>
      </c>
      <c r="AU102" s="288">
        <f t="shared" si="32"/>
        <v>3337478.025253763</v>
      </c>
      <c r="AV102" s="71">
        <f t="shared" si="33"/>
        <v>60409715.100246109</v>
      </c>
      <c r="AW102" s="289"/>
      <c r="AX102" s="82">
        <v>0</v>
      </c>
      <c r="AY102" s="223">
        <v>-300131.81213112286</v>
      </c>
      <c r="AZ102" s="223">
        <v>-540237.26183602109</v>
      </c>
      <c r="BA102" s="223">
        <v>-48529.262355430845</v>
      </c>
      <c r="BB102" s="223">
        <v>0</v>
      </c>
      <c r="BC102" s="223">
        <v>0</v>
      </c>
      <c r="BD102" s="223">
        <f t="shared" si="42"/>
        <v>-888898.33632257476</v>
      </c>
      <c r="BE102" s="83">
        <f t="shared" si="41"/>
        <v>-888898.33632257476</v>
      </c>
      <c r="BF102" s="78">
        <f t="shared" si="31"/>
        <v>2996281.5855784155</v>
      </c>
      <c r="BG102" s="70">
        <f t="shared" si="40"/>
        <v>-547701.89664722746</v>
      </c>
      <c r="BH102" s="70">
        <f t="shared" si="24"/>
        <v>2448579.6889311881</v>
      </c>
      <c r="BI102" s="71">
        <f t="shared" si="25"/>
        <v>64341312.259881422</v>
      </c>
      <c r="BJ102" s="86"/>
    </row>
    <row r="103" spans="1:62" ht="15" customHeight="1">
      <c r="A103" s="35">
        <f t="shared" si="21"/>
        <v>46</v>
      </c>
      <c r="B103" s="87"/>
      <c r="C103" s="36">
        <v>44652</v>
      </c>
      <c r="D103" s="69">
        <v>1268342.8638095239</v>
      </c>
      <c r="E103" s="78">
        <v>2101476.58</v>
      </c>
      <c r="F103" s="78">
        <v>0</v>
      </c>
      <c r="G103" s="37">
        <f t="shared" si="36"/>
        <v>0.05</v>
      </c>
      <c r="H103" s="70">
        <f t="shared" si="37"/>
        <v>-105073.82900000001</v>
      </c>
      <c r="I103" s="70">
        <f t="shared" si="29"/>
        <v>109960.19650000002</v>
      </c>
      <c r="J103" s="79">
        <f t="shared" si="34"/>
        <v>485765.70943981176</v>
      </c>
      <c r="K103" s="79">
        <f t="shared" si="35"/>
        <v>27</v>
      </c>
      <c r="L103" s="79">
        <f t="shared" si="17"/>
        <v>3860471.5207493356</v>
      </c>
      <c r="M103" s="70"/>
      <c r="N103" s="70"/>
      <c r="O103" s="481"/>
      <c r="P103" s="84">
        <v>0</v>
      </c>
      <c r="Q103" s="80">
        <v>0</v>
      </c>
      <c r="R103" s="81">
        <v>0</v>
      </c>
      <c r="S103" s="81">
        <v>0</v>
      </c>
      <c r="T103" s="81">
        <v>0</v>
      </c>
      <c r="U103" s="81">
        <v>0</v>
      </c>
      <c r="V103" s="81">
        <v>0</v>
      </c>
      <c r="W103" s="80">
        <v>0</v>
      </c>
      <c r="X103" s="82">
        <v>-2000</v>
      </c>
      <c r="Y103" s="189">
        <v>0</v>
      </c>
      <c r="Z103" s="189">
        <v>0</v>
      </c>
      <c r="AA103" s="85">
        <v>0</v>
      </c>
      <c r="AB103" s="85">
        <v>-29065.636383928573</v>
      </c>
      <c r="AC103" s="103">
        <v>-44913.2</v>
      </c>
      <c r="AD103" s="85">
        <v>0</v>
      </c>
      <c r="AE103" s="85">
        <v>0</v>
      </c>
      <c r="AF103" s="191">
        <v>0</v>
      </c>
      <c r="AG103" s="83">
        <v>0</v>
      </c>
      <c r="AH103" s="69">
        <f t="shared" si="30"/>
        <v>-233110.79531405942</v>
      </c>
      <c r="AI103" s="288">
        <v>-9209.81</v>
      </c>
      <c r="AJ103" s="288">
        <v>-23969</v>
      </c>
      <c r="AK103" s="288">
        <v>-16715.903670908789</v>
      </c>
      <c r="AL103" s="288">
        <v>0</v>
      </c>
      <c r="AM103" s="288">
        <f t="shared" si="26"/>
        <v>-46622.159062811887</v>
      </c>
      <c r="AN103" s="288">
        <f t="shared" si="27"/>
        <v>-155407.19687603961</v>
      </c>
      <c r="AO103" s="71"/>
      <c r="AP103" s="84">
        <v>0</v>
      </c>
      <c r="AQ103" s="125">
        <v>0</v>
      </c>
      <c r="AR103" s="133"/>
      <c r="AS103" s="78">
        <f t="shared" si="38"/>
        <v>3860471.5207493356</v>
      </c>
      <c r="AT103" s="70">
        <f t="shared" si="39"/>
        <v>-561013.70130774821</v>
      </c>
      <c r="AU103" s="288">
        <f t="shared" si="32"/>
        <v>3299457.8194415877</v>
      </c>
      <c r="AV103" s="71">
        <f t="shared" si="33"/>
        <v>63709172.919687696</v>
      </c>
      <c r="AW103" s="289"/>
      <c r="AX103" s="82">
        <v>0</v>
      </c>
      <c r="AY103" s="223">
        <v>-298310.52336996939</v>
      </c>
      <c r="AZ103" s="223">
        <v>-536958.9420659449</v>
      </c>
      <c r="BA103" s="223">
        <v>-47472.416149652643</v>
      </c>
      <c r="BB103" s="223">
        <v>0</v>
      </c>
      <c r="BC103" s="223">
        <v>0</v>
      </c>
      <c r="BD103" s="223">
        <f t="shared" si="42"/>
        <v>-882741.88158556691</v>
      </c>
      <c r="BE103" s="83">
        <f t="shared" si="41"/>
        <v>-882741.88158556691</v>
      </c>
      <c r="BF103" s="78">
        <f t="shared" si="31"/>
        <v>2977729.6391637689</v>
      </c>
      <c r="BG103" s="70">
        <f t="shared" si="40"/>
        <v>-561013.70130774821</v>
      </c>
      <c r="BH103" s="70">
        <f t="shared" si="24"/>
        <v>2416715.9378560204</v>
      </c>
      <c r="BI103" s="71">
        <f t="shared" si="25"/>
        <v>66758028.19773744</v>
      </c>
      <c r="BJ103" s="86"/>
    </row>
    <row r="104" spans="1:62" ht="15" customHeight="1">
      <c r="A104" s="35">
        <f t="shared" si="21"/>
        <v>47</v>
      </c>
      <c r="B104" s="87"/>
      <c r="C104" s="36">
        <v>44682</v>
      </c>
      <c r="D104" s="69">
        <v>1268342.8638095239</v>
      </c>
      <c r="E104" s="78">
        <v>2078889.67</v>
      </c>
      <c r="F104" s="78">
        <v>0</v>
      </c>
      <c r="G104" s="37">
        <f t="shared" si="36"/>
        <v>0.05</v>
      </c>
      <c r="H104" s="70">
        <f t="shared" si="37"/>
        <v>-103944.4835</v>
      </c>
      <c r="I104" s="70">
        <f t="shared" si="29"/>
        <v>108625.78049999999</v>
      </c>
      <c r="J104" s="79">
        <f t="shared" si="34"/>
        <v>501658.47605296783</v>
      </c>
      <c r="K104" s="79">
        <f t="shared" si="35"/>
        <v>28</v>
      </c>
      <c r="L104" s="79">
        <f t="shared" si="17"/>
        <v>3853572.3068624916</v>
      </c>
      <c r="M104" s="70"/>
      <c r="N104" s="70"/>
      <c r="O104" s="481"/>
      <c r="P104" s="84">
        <v>0</v>
      </c>
      <c r="Q104" s="80">
        <v>0</v>
      </c>
      <c r="R104" s="81">
        <v>0</v>
      </c>
      <c r="S104" s="81">
        <v>0</v>
      </c>
      <c r="T104" s="81">
        <v>0</v>
      </c>
      <c r="U104" s="81">
        <v>0</v>
      </c>
      <c r="V104" s="81">
        <v>0</v>
      </c>
      <c r="W104" s="80">
        <v>0</v>
      </c>
      <c r="X104" s="82">
        <v>-2000</v>
      </c>
      <c r="Y104" s="189">
        <v>0</v>
      </c>
      <c r="Z104" s="189">
        <v>0</v>
      </c>
      <c r="AA104" s="85">
        <v>0</v>
      </c>
      <c r="AB104" s="85">
        <v>-29065.636383928573</v>
      </c>
      <c r="AC104" s="103">
        <v>-44425.99</v>
      </c>
      <c r="AD104" s="85">
        <v>0</v>
      </c>
      <c r="AE104" s="85">
        <v>0</v>
      </c>
      <c r="AF104" s="191">
        <v>0</v>
      </c>
      <c r="AG104" s="83">
        <v>0</v>
      </c>
      <c r="AH104" s="69">
        <f t="shared" si="30"/>
        <v>-231628.29124496013</v>
      </c>
      <c r="AI104" s="288">
        <v>-9209.81</v>
      </c>
      <c r="AJ104" s="288">
        <v>-23969</v>
      </c>
      <c r="AK104" s="288">
        <v>-16504.898492126264</v>
      </c>
      <c r="AL104" s="288">
        <v>0</v>
      </c>
      <c r="AM104" s="288">
        <f t="shared" si="26"/>
        <v>-46325.658248992026</v>
      </c>
      <c r="AN104" s="288">
        <f t="shared" si="27"/>
        <v>-154418.86082997342</v>
      </c>
      <c r="AO104" s="71"/>
      <c r="AP104" s="84">
        <v>0</v>
      </c>
      <c r="AQ104" s="125">
        <v>0</v>
      </c>
      <c r="AR104" s="133"/>
      <c r="AS104" s="78">
        <f t="shared" si="38"/>
        <v>3853572.3068624916</v>
      </c>
      <c r="AT104" s="70">
        <f t="shared" si="39"/>
        <v>-557548.14519998035</v>
      </c>
      <c r="AU104" s="288">
        <f t="shared" si="32"/>
        <v>3296024.1616625115</v>
      </c>
      <c r="AV104" s="71">
        <f t="shared" si="33"/>
        <v>67005197.081350207</v>
      </c>
      <c r="AW104" s="289"/>
      <c r="AX104" s="82">
        <v>0</v>
      </c>
      <c r="AY104" s="223">
        <v>-296489.23460881592</v>
      </c>
      <c r="AZ104" s="223">
        <v>-533680.6222958687</v>
      </c>
      <c r="BA104" s="223">
        <v>-46445.534899734805</v>
      </c>
      <c r="BB104" s="223">
        <v>0</v>
      </c>
      <c r="BC104" s="223">
        <v>0</v>
      </c>
      <c r="BD104" s="223">
        <f t="shared" si="42"/>
        <v>-876615.39180441934</v>
      </c>
      <c r="BE104" s="83">
        <f t="shared" si="41"/>
        <v>-876615.39180441934</v>
      </c>
      <c r="BF104" s="78">
        <f t="shared" si="31"/>
        <v>2976956.9150580722</v>
      </c>
      <c r="BG104" s="70">
        <f t="shared" si="40"/>
        <v>-557548.14519998035</v>
      </c>
      <c r="BH104" s="70">
        <f t="shared" si="24"/>
        <v>2419408.7698580921</v>
      </c>
      <c r="BI104" s="71">
        <f t="shared" si="25"/>
        <v>69177436.967595533</v>
      </c>
      <c r="BJ104" s="86"/>
    </row>
    <row r="105" spans="1:62" ht="15" customHeight="1">
      <c r="A105" s="35">
        <f t="shared" si="21"/>
        <v>48</v>
      </c>
      <c r="B105" s="87"/>
      <c r="C105" s="36">
        <v>44713</v>
      </c>
      <c r="D105" s="69">
        <v>1268342.8638095239</v>
      </c>
      <c r="E105" s="78">
        <v>2069833.65</v>
      </c>
      <c r="F105" s="78">
        <v>0</v>
      </c>
      <c r="G105" s="37">
        <f t="shared" si="36"/>
        <v>0.05</v>
      </c>
      <c r="H105" s="70">
        <f t="shared" si="37"/>
        <v>-103491.6825</v>
      </c>
      <c r="I105" s="70">
        <f t="shared" si="29"/>
        <v>107045.01850000001</v>
      </c>
      <c r="J105" s="79">
        <f t="shared" si="34"/>
        <v>519493.61540207872</v>
      </c>
      <c r="K105" s="79">
        <f t="shared" si="35"/>
        <v>29</v>
      </c>
      <c r="L105" s="79">
        <f t="shared" si="17"/>
        <v>3861223.4652116024</v>
      </c>
      <c r="M105" s="70"/>
      <c r="N105" s="70"/>
      <c r="O105" s="481"/>
      <c r="P105" s="84">
        <v>0</v>
      </c>
      <c r="Q105" s="80">
        <v>0</v>
      </c>
      <c r="R105" s="81">
        <v>0</v>
      </c>
      <c r="S105" s="81">
        <v>0</v>
      </c>
      <c r="T105" s="81">
        <v>0</v>
      </c>
      <c r="U105" s="81">
        <v>0</v>
      </c>
      <c r="V105" s="81">
        <v>0</v>
      </c>
      <c r="W105" s="80">
        <v>0</v>
      </c>
      <c r="X105" s="82">
        <v>0</v>
      </c>
      <c r="Y105" s="189">
        <v>0</v>
      </c>
      <c r="Z105" s="189">
        <v>0</v>
      </c>
      <c r="AA105" s="85">
        <v>0</v>
      </c>
      <c r="AB105" s="85">
        <v>-29065.636383928573</v>
      </c>
      <c r="AC105" s="103">
        <v>-44209.31</v>
      </c>
      <c r="AD105" s="85">
        <v>0</v>
      </c>
      <c r="AE105" s="85">
        <v>0</v>
      </c>
      <c r="AF105" s="191">
        <v>0</v>
      </c>
      <c r="AG105" s="83">
        <v>0</v>
      </c>
      <c r="AH105" s="69">
        <f t="shared" si="30"/>
        <v>-231214.33841174949</v>
      </c>
      <c r="AI105" s="288">
        <v>-9209.81</v>
      </c>
      <c r="AJ105" s="288">
        <v>-7969</v>
      </c>
      <c r="AK105" s="288">
        <v>-16373.315978429007</v>
      </c>
      <c r="AL105" s="288">
        <v>0</v>
      </c>
      <c r="AM105" s="288">
        <f t="shared" si="26"/>
        <v>-46242.867682349897</v>
      </c>
      <c r="AN105" s="288">
        <f t="shared" si="27"/>
        <v>-154142.89227449967</v>
      </c>
      <c r="AO105" s="71"/>
      <c r="AP105" s="84">
        <v>0</v>
      </c>
      <c r="AQ105" s="125">
        <v>0</v>
      </c>
      <c r="AR105" s="133"/>
      <c r="AS105" s="78">
        <f t="shared" si="38"/>
        <v>3861223.4652116024</v>
      </c>
      <c r="AT105" s="70">
        <f t="shared" si="39"/>
        <v>-538427.1707309566</v>
      </c>
      <c r="AU105" s="288">
        <f t="shared" si="32"/>
        <v>3322796.294480646</v>
      </c>
      <c r="AV105" s="71">
        <f t="shared" si="33"/>
        <v>70327993.375830859</v>
      </c>
      <c r="AW105" s="289"/>
      <c r="AX105" s="82">
        <v>0</v>
      </c>
      <c r="AY105" s="223">
        <v>-294667.94584766252</v>
      </c>
      <c r="AZ105" s="223">
        <v>-530402.30252579239</v>
      </c>
      <c r="BA105" s="223">
        <v>-45447.769003743946</v>
      </c>
      <c r="BB105" s="223">
        <v>0</v>
      </c>
      <c r="BC105" s="223">
        <v>0</v>
      </c>
      <c r="BD105" s="223">
        <f t="shared" si="42"/>
        <v>-870518.01737719891</v>
      </c>
      <c r="BE105" s="83">
        <f t="shared" si="41"/>
        <v>-870518.01737719891</v>
      </c>
      <c r="BF105" s="78">
        <f t="shared" si="31"/>
        <v>2990705.4478344037</v>
      </c>
      <c r="BG105" s="70">
        <f t="shared" si="40"/>
        <v>-538427.1707309566</v>
      </c>
      <c r="BH105" s="70">
        <f t="shared" si="24"/>
        <v>2452278.2771034474</v>
      </c>
      <c r="BI105" s="71">
        <f t="shared" si="25"/>
        <v>71629715.244698986</v>
      </c>
      <c r="BJ105" s="86"/>
    </row>
    <row r="106" spans="1:62" ht="15" customHeight="1">
      <c r="A106" s="35">
        <f t="shared" si="21"/>
        <v>49</v>
      </c>
      <c r="B106" s="87"/>
      <c r="C106" s="36">
        <v>44743</v>
      </c>
      <c r="D106" s="69">
        <v>1268342.8638095239</v>
      </c>
      <c r="E106" s="78">
        <v>2054894.02</v>
      </c>
      <c r="F106" s="78">
        <v>0</v>
      </c>
      <c r="G106" s="37">
        <f t="shared" si="36"/>
        <v>0.05</v>
      </c>
      <c r="H106" s="70">
        <f t="shared" si="37"/>
        <v>-102744.701</v>
      </c>
      <c r="I106" s="70">
        <f t="shared" si="29"/>
        <v>105073.82900000001</v>
      </c>
      <c r="J106" s="79">
        <f t="shared" si="34"/>
        <v>536370.70852771029</v>
      </c>
      <c r="K106" s="79">
        <f t="shared" si="35"/>
        <v>30</v>
      </c>
      <c r="L106" s="79">
        <f t="shared" si="17"/>
        <v>3861936.7203372344</v>
      </c>
      <c r="M106" s="70"/>
      <c r="N106" s="70"/>
      <c r="O106" s="481"/>
      <c r="P106" s="84">
        <v>0</v>
      </c>
      <c r="Q106" s="80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0">
        <v>0</v>
      </c>
      <c r="X106" s="82">
        <v>0</v>
      </c>
      <c r="Y106" s="189">
        <v>0</v>
      </c>
      <c r="Z106" s="189">
        <v>0</v>
      </c>
      <c r="AA106" s="85">
        <v>0</v>
      </c>
      <c r="AB106" s="85">
        <v>-29065.636383928573</v>
      </c>
      <c r="AC106" s="103">
        <v>-43784.99</v>
      </c>
      <c r="AD106" s="85">
        <v>0</v>
      </c>
      <c r="AE106" s="85">
        <v>0</v>
      </c>
      <c r="AF106" s="191">
        <v>0</v>
      </c>
      <c r="AG106" s="83">
        <v>0</v>
      </c>
      <c r="AH106" s="69">
        <f t="shared" si="30"/>
        <v>-231673.40791269613</v>
      </c>
      <c r="AI106" s="288">
        <v>-9209.81</v>
      </c>
      <c r="AJ106" s="288">
        <v>-7969</v>
      </c>
      <c r="AK106" s="288">
        <v>-16303.79832403691</v>
      </c>
      <c r="AL106" s="288">
        <v>0</v>
      </c>
      <c r="AM106" s="288">
        <f t="shared" si="26"/>
        <v>-46334.681582539233</v>
      </c>
      <c r="AN106" s="288">
        <f t="shared" si="27"/>
        <v>-154448.93860846409</v>
      </c>
      <c r="AO106" s="71"/>
      <c r="AP106" s="84">
        <v>0</v>
      </c>
      <c r="AQ106" s="125">
        <v>0</v>
      </c>
      <c r="AR106" s="133"/>
      <c r="AS106" s="78">
        <f t="shared" si="38"/>
        <v>3861936.7203372344</v>
      </c>
      <c r="AT106" s="70">
        <f t="shared" si="39"/>
        <v>-538790.26281166496</v>
      </c>
      <c r="AU106" s="288">
        <f t="shared" si="32"/>
        <v>3323146.4575255695</v>
      </c>
      <c r="AV106" s="71">
        <f t="shared" si="33"/>
        <v>73651139.833356425</v>
      </c>
      <c r="AW106" s="289"/>
      <c r="AX106" s="82">
        <v>0</v>
      </c>
      <c r="AY106" s="223">
        <v>-292846.65708650905</v>
      </c>
      <c r="AZ106" s="223">
        <v>-527123.98275571631</v>
      </c>
      <c r="BA106" s="223">
        <v>-44478.292948667382</v>
      </c>
      <c r="BB106" s="223">
        <v>0</v>
      </c>
      <c r="BC106" s="223">
        <v>0</v>
      </c>
      <c r="BD106" s="223">
        <f t="shared" si="42"/>
        <v>-864448.93279089278</v>
      </c>
      <c r="BE106" s="83">
        <f t="shared" si="41"/>
        <v>-864448.93279089278</v>
      </c>
      <c r="BF106" s="78">
        <f t="shared" si="31"/>
        <v>2997487.7875463413</v>
      </c>
      <c r="BG106" s="70">
        <f t="shared" si="40"/>
        <v>-538790.26281166496</v>
      </c>
      <c r="BH106" s="70">
        <f t="shared" si="24"/>
        <v>2458697.5247346763</v>
      </c>
      <c r="BI106" s="71">
        <f t="shared" si="25"/>
        <v>74088412.769433662</v>
      </c>
      <c r="BJ106" s="86"/>
    </row>
    <row r="107" spans="1:62" ht="15" customHeight="1">
      <c r="A107" s="35">
        <f t="shared" si="21"/>
        <v>50</v>
      </c>
      <c r="B107" s="87"/>
      <c r="C107" s="36">
        <v>44774</v>
      </c>
      <c r="D107" s="69">
        <v>1268342.8638095239</v>
      </c>
      <c r="E107" s="78">
        <v>2027564.92</v>
      </c>
      <c r="F107" s="78">
        <v>0</v>
      </c>
      <c r="G107" s="37">
        <f t="shared" si="36"/>
        <v>0.05</v>
      </c>
      <c r="H107" s="70">
        <f t="shared" si="37"/>
        <v>-101378.246</v>
      </c>
      <c r="I107" s="70">
        <f t="shared" si="29"/>
        <v>103944.4835</v>
      </c>
      <c r="J107" s="79">
        <f t="shared" si="34"/>
        <v>551099.12738891318</v>
      </c>
      <c r="K107" s="79">
        <f t="shared" si="35"/>
        <v>31</v>
      </c>
      <c r="L107" s="79">
        <f t="shared" si="17"/>
        <v>3849573.148698437</v>
      </c>
      <c r="M107" s="70"/>
      <c r="N107" s="70"/>
      <c r="O107" s="481"/>
      <c r="P107" s="84">
        <v>0</v>
      </c>
      <c r="Q107" s="80">
        <v>0</v>
      </c>
      <c r="R107" s="81">
        <v>0</v>
      </c>
      <c r="S107" s="81">
        <v>0</v>
      </c>
      <c r="T107" s="81">
        <v>0</v>
      </c>
      <c r="U107" s="81">
        <v>0</v>
      </c>
      <c r="V107" s="81">
        <v>0</v>
      </c>
      <c r="W107" s="80">
        <v>0</v>
      </c>
      <c r="X107" s="82">
        <v>0</v>
      </c>
      <c r="Y107" s="189">
        <v>0</v>
      </c>
      <c r="Z107" s="189">
        <v>0</v>
      </c>
      <c r="AA107" s="85">
        <v>0</v>
      </c>
      <c r="AB107" s="85">
        <v>-29065.636383928573</v>
      </c>
      <c r="AC107" s="103">
        <v>-43028.34</v>
      </c>
      <c r="AD107" s="85">
        <v>0</v>
      </c>
      <c r="AE107" s="85">
        <v>0</v>
      </c>
      <c r="AF107" s="191">
        <v>0</v>
      </c>
      <c r="AG107" s="83">
        <v>0</v>
      </c>
      <c r="AH107" s="69">
        <f t="shared" si="30"/>
        <v>-231716.20322023405</v>
      </c>
      <c r="AI107" s="288">
        <v>-9209.81</v>
      </c>
      <c r="AJ107" s="288">
        <v>-7969</v>
      </c>
      <c r="AK107" s="288">
        <v>-16212.43688304575</v>
      </c>
      <c r="AL107" s="288">
        <v>0</v>
      </c>
      <c r="AM107" s="288">
        <f t="shared" si="26"/>
        <v>-46343.240644046811</v>
      </c>
      <c r="AN107" s="288">
        <f t="shared" si="27"/>
        <v>-154477.46881348939</v>
      </c>
      <c r="AO107" s="71"/>
      <c r="AP107" s="84">
        <v>0</v>
      </c>
      <c r="AQ107" s="125">
        <v>0</v>
      </c>
      <c r="AR107" s="133"/>
      <c r="AS107" s="78">
        <f t="shared" si="38"/>
        <v>3849573.148698437</v>
      </c>
      <c r="AT107" s="70">
        <f t="shared" si="39"/>
        <v>-538022.13594474457</v>
      </c>
      <c r="AU107" s="288">
        <f t="shared" si="32"/>
        <v>3311551.0127536925</v>
      </c>
      <c r="AV107" s="71">
        <f t="shared" si="33"/>
        <v>76962690.84611012</v>
      </c>
      <c r="AW107" s="289"/>
      <c r="AX107" s="82">
        <v>0</v>
      </c>
      <c r="AY107" s="223">
        <v>-291025.36832535558</v>
      </c>
      <c r="AZ107" s="223">
        <v>-523845.66298564005</v>
      </c>
      <c r="BA107" s="223">
        <v>-43536.304627415499</v>
      </c>
      <c r="BB107" s="223">
        <v>0</v>
      </c>
      <c r="BC107" s="223">
        <v>0</v>
      </c>
      <c r="BD107" s="223">
        <f t="shared" si="42"/>
        <v>-858407.33593841107</v>
      </c>
      <c r="BE107" s="83">
        <f t="shared" si="41"/>
        <v>-858407.33593841107</v>
      </c>
      <c r="BF107" s="78">
        <f t="shared" si="31"/>
        <v>2991165.8127600257</v>
      </c>
      <c r="BG107" s="70">
        <f t="shared" si="40"/>
        <v>-538022.13594474457</v>
      </c>
      <c r="BH107" s="70">
        <f t="shared" si="24"/>
        <v>2453143.6768152812</v>
      </c>
      <c r="BI107" s="71">
        <f t="shared" si="25"/>
        <v>76541556.446248949</v>
      </c>
      <c r="BJ107" s="86"/>
    </row>
    <row r="108" spans="1:62" ht="15" customHeight="1">
      <c r="A108" s="35">
        <f t="shared" si="21"/>
        <v>51</v>
      </c>
      <c r="B108" s="87"/>
      <c r="C108" s="36">
        <v>44805</v>
      </c>
      <c r="D108" s="69">
        <v>1268342.8638095239</v>
      </c>
      <c r="E108" s="78">
        <v>2011308.42</v>
      </c>
      <c r="F108" s="78">
        <v>0</v>
      </c>
      <c r="G108" s="37">
        <f t="shared" si="36"/>
        <v>0.05</v>
      </c>
      <c r="H108" s="70">
        <f t="shared" si="37"/>
        <v>-100565.421</v>
      </c>
      <c r="I108" s="70">
        <f t="shared" si="29"/>
        <v>103491.6825</v>
      </c>
      <c r="J108" s="79">
        <f t="shared" si="34"/>
        <v>567521.08648533002</v>
      </c>
      <c r="K108" s="79">
        <f t="shared" si="35"/>
        <v>32</v>
      </c>
      <c r="L108" s="79">
        <f t="shared" si="17"/>
        <v>3850098.6317948541</v>
      </c>
      <c r="M108" s="70"/>
      <c r="N108" s="70"/>
      <c r="O108" s="481"/>
      <c r="P108" s="84">
        <v>0</v>
      </c>
      <c r="Q108" s="80">
        <v>0</v>
      </c>
      <c r="R108" s="81">
        <v>0</v>
      </c>
      <c r="S108" s="81">
        <v>0</v>
      </c>
      <c r="T108" s="81">
        <v>0</v>
      </c>
      <c r="U108" s="81">
        <v>0</v>
      </c>
      <c r="V108" s="81">
        <v>0</v>
      </c>
      <c r="W108" s="80">
        <v>0</v>
      </c>
      <c r="X108" s="82">
        <v>0</v>
      </c>
      <c r="Y108" s="189">
        <v>0</v>
      </c>
      <c r="Z108" s="189">
        <v>0</v>
      </c>
      <c r="AA108" s="85">
        <v>0</v>
      </c>
      <c r="AB108" s="85">
        <v>-29065.636383928573</v>
      </c>
      <c r="AC108" s="103">
        <v>-42658.16</v>
      </c>
      <c r="AD108" s="85">
        <v>0</v>
      </c>
      <c r="AE108" s="85">
        <v>0</v>
      </c>
      <c r="AF108" s="191">
        <v>0</v>
      </c>
      <c r="AG108" s="83">
        <v>0</v>
      </c>
      <c r="AH108" s="69">
        <f t="shared" si="30"/>
        <v>-230974.38892190621</v>
      </c>
      <c r="AI108" s="288">
        <v>-9209.81</v>
      </c>
      <c r="AJ108" s="288">
        <v>-7969</v>
      </c>
      <c r="AK108" s="288">
        <v>-16076.071367986075</v>
      </c>
      <c r="AL108" s="288">
        <v>0</v>
      </c>
      <c r="AM108" s="288">
        <f t="shared" si="26"/>
        <v>-46194.877784381242</v>
      </c>
      <c r="AN108" s="288">
        <f t="shared" si="27"/>
        <v>-153982.92594793747</v>
      </c>
      <c r="AO108" s="71"/>
      <c r="AP108" s="84">
        <v>0</v>
      </c>
      <c r="AQ108" s="125">
        <v>0</v>
      </c>
      <c r="AR108" s="133"/>
      <c r="AS108" s="78">
        <f t="shared" si="38"/>
        <v>3850098.6317948541</v>
      </c>
      <c r="AT108" s="70">
        <f t="shared" si="39"/>
        <v>-536130.87040613964</v>
      </c>
      <c r="AU108" s="288">
        <f t="shared" si="32"/>
        <v>3313967.7613887144</v>
      </c>
      <c r="AV108" s="71">
        <f t="shared" si="33"/>
        <v>80276658.607498839</v>
      </c>
      <c r="AW108" s="289"/>
      <c r="AX108" s="82">
        <v>0</v>
      </c>
      <c r="AY108" s="223">
        <v>-289204.07956420211</v>
      </c>
      <c r="AZ108" s="223">
        <v>-520567.34321556386</v>
      </c>
      <c r="BA108" s="223">
        <v>-58182.777663237066</v>
      </c>
      <c r="BB108" s="223">
        <v>0</v>
      </c>
      <c r="BC108" s="223">
        <v>0</v>
      </c>
      <c r="BD108" s="223">
        <f t="shared" si="42"/>
        <v>-867954.20044300298</v>
      </c>
      <c r="BE108" s="83">
        <f t="shared" si="41"/>
        <v>-867954.20044300298</v>
      </c>
      <c r="BF108" s="78">
        <f t="shared" si="31"/>
        <v>2982144.4313518512</v>
      </c>
      <c r="BG108" s="70">
        <f t="shared" si="40"/>
        <v>-536130.87040613964</v>
      </c>
      <c r="BH108" s="70">
        <f t="shared" si="24"/>
        <v>2446013.5609457116</v>
      </c>
      <c r="BI108" s="71">
        <f t="shared" si="25"/>
        <v>78987570.007194653</v>
      </c>
      <c r="BJ108" s="86"/>
    </row>
    <row r="109" spans="1:62" ht="15" customHeight="1">
      <c r="A109" s="35">
        <f t="shared" si="21"/>
        <v>52</v>
      </c>
      <c r="B109" s="87"/>
      <c r="C109" s="36">
        <v>44835</v>
      </c>
      <c r="D109" s="69">
        <v>1268342.8638095239</v>
      </c>
      <c r="E109" s="78">
        <v>1960857.81</v>
      </c>
      <c r="F109" s="78">
        <v>0</v>
      </c>
      <c r="G109" s="37">
        <f t="shared" si="36"/>
        <v>0.05</v>
      </c>
      <c r="H109" s="70">
        <f t="shared" si="37"/>
        <v>-98042.890500000009</v>
      </c>
      <c r="I109" s="70">
        <f t="shared" si="29"/>
        <v>102744.701</v>
      </c>
      <c r="J109" s="79">
        <f t="shared" si="34"/>
        <v>577730.9137362754</v>
      </c>
      <c r="K109" s="79">
        <f t="shared" si="35"/>
        <v>33</v>
      </c>
      <c r="L109" s="79">
        <f t="shared" si="17"/>
        <v>3811633.3980457992</v>
      </c>
      <c r="M109" s="70"/>
      <c r="N109" s="70"/>
      <c r="O109" s="481"/>
      <c r="P109" s="84">
        <v>0</v>
      </c>
      <c r="Q109" s="80">
        <v>0</v>
      </c>
      <c r="R109" s="81">
        <v>0</v>
      </c>
      <c r="S109" s="81">
        <v>0</v>
      </c>
      <c r="T109" s="81">
        <v>0</v>
      </c>
      <c r="U109" s="81">
        <v>0</v>
      </c>
      <c r="V109" s="81">
        <v>0</v>
      </c>
      <c r="W109" s="80">
        <v>0</v>
      </c>
      <c r="X109" s="82">
        <v>0</v>
      </c>
      <c r="Y109" s="189">
        <v>0</v>
      </c>
      <c r="Z109" s="189">
        <v>0</v>
      </c>
      <c r="AA109" s="85">
        <v>0</v>
      </c>
      <c r="AB109" s="85">
        <v>-29065.636383928573</v>
      </c>
      <c r="AC109" s="103">
        <v>-41450.97</v>
      </c>
      <c r="AD109" s="85">
        <v>0</v>
      </c>
      <c r="AE109" s="85">
        <v>0</v>
      </c>
      <c r="AF109" s="191">
        <v>0</v>
      </c>
      <c r="AG109" s="83">
        <v>0</v>
      </c>
      <c r="AH109" s="69">
        <f t="shared" si="30"/>
        <v>-231005.91790769124</v>
      </c>
      <c r="AI109" s="288">
        <v>-9209.81</v>
      </c>
      <c r="AJ109" s="288">
        <v>-7969</v>
      </c>
      <c r="AK109" s="288">
        <v>-15992.628507509064</v>
      </c>
      <c r="AL109" s="288">
        <v>0</v>
      </c>
      <c r="AM109" s="288">
        <f t="shared" si="26"/>
        <v>-46201.183581538251</v>
      </c>
      <c r="AN109" s="288">
        <f t="shared" si="27"/>
        <v>-154003.94527179416</v>
      </c>
      <c r="AO109" s="71"/>
      <c r="AP109" s="84">
        <v>0</v>
      </c>
      <c r="AQ109" s="125">
        <v>0</v>
      </c>
      <c r="AR109" s="133"/>
      <c r="AS109" s="78">
        <f t="shared" si="38"/>
        <v>3811633.3980457992</v>
      </c>
      <c r="AT109" s="70">
        <f t="shared" si="39"/>
        <v>-534899.09165246133</v>
      </c>
      <c r="AU109" s="288">
        <f t="shared" si="32"/>
        <v>3276734.3063933379</v>
      </c>
      <c r="AV109" s="71">
        <f t="shared" si="33"/>
        <v>83553392.91389218</v>
      </c>
      <c r="AW109" s="289"/>
      <c r="AX109" s="82">
        <v>0</v>
      </c>
      <c r="AY109" s="223">
        <v>-287382.79080304864</v>
      </c>
      <c r="AZ109" s="223">
        <v>-517289.0234454876</v>
      </c>
      <c r="BA109" s="223">
        <v>-41731.695824663897</v>
      </c>
      <c r="BB109" s="223">
        <v>0</v>
      </c>
      <c r="BC109" s="223">
        <v>0</v>
      </c>
      <c r="BD109" s="223">
        <f t="shared" si="42"/>
        <v>-846403.5100732001</v>
      </c>
      <c r="BE109" s="83">
        <f t="shared" si="41"/>
        <v>-846403.5100732001</v>
      </c>
      <c r="BF109" s="78">
        <f t="shared" si="31"/>
        <v>2965229.8879725989</v>
      </c>
      <c r="BG109" s="70">
        <f t="shared" si="40"/>
        <v>-534899.09165246133</v>
      </c>
      <c r="BH109" s="70">
        <f t="shared" si="24"/>
        <v>2430330.7963201376</v>
      </c>
      <c r="BI109" s="71">
        <f t="shared" si="25"/>
        <v>81417900.803514794</v>
      </c>
      <c r="BJ109" s="86"/>
    </row>
    <row r="110" spans="1:62" ht="15" customHeight="1">
      <c r="A110" s="35">
        <f t="shared" si="21"/>
        <v>53</v>
      </c>
      <c r="B110" s="87"/>
      <c r="C110" s="36">
        <v>44866</v>
      </c>
      <c r="D110" s="69">
        <v>1268342.8638095239</v>
      </c>
      <c r="E110" s="78">
        <v>1932758.36</v>
      </c>
      <c r="F110" s="78">
        <v>0</v>
      </c>
      <c r="G110" s="37">
        <f t="shared" si="36"/>
        <v>0.05</v>
      </c>
      <c r="H110" s="70">
        <f t="shared" si="37"/>
        <v>-96637.918000000005</v>
      </c>
      <c r="I110" s="70">
        <f t="shared" si="29"/>
        <v>101378.246</v>
      </c>
      <c r="J110" s="79">
        <f t="shared" si="34"/>
        <v>591572.71250022203</v>
      </c>
      <c r="K110" s="79">
        <f t="shared" si="35"/>
        <v>34</v>
      </c>
      <c r="L110" s="79">
        <f t="shared" si="17"/>
        <v>3797414.2643097462</v>
      </c>
      <c r="M110" s="70"/>
      <c r="N110" s="70"/>
      <c r="O110" s="481"/>
      <c r="P110" s="84">
        <v>0</v>
      </c>
      <c r="Q110" s="80">
        <v>0</v>
      </c>
      <c r="R110" s="81">
        <v>0</v>
      </c>
      <c r="S110" s="81">
        <v>0</v>
      </c>
      <c r="T110" s="81">
        <v>0</v>
      </c>
      <c r="U110" s="81">
        <v>0</v>
      </c>
      <c r="V110" s="81">
        <v>0</v>
      </c>
      <c r="W110" s="80">
        <v>0</v>
      </c>
      <c r="X110" s="82">
        <v>0</v>
      </c>
      <c r="Y110" s="189">
        <v>0</v>
      </c>
      <c r="Z110" s="189">
        <v>0</v>
      </c>
      <c r="AA110" s="85">
        <v>0</v>
      </c>
      <c r="AB110" s="85">
        <v>-29065.636383928573</v>
      </c>
      <c r="AC110" s="103">
        <v>-40849.449999999997</v>
      </c>
      <c r="AD110" s="85">
        <v>0</v>
      </c>
      <c r="AE110" s="85">
        <v>0</v>
      </c>
      <c r="AF110" s="191">
        <v>0</v>
      </c>
      <c r="AG110" s="83">
        <v>0</v>
      </c>
      <c r="AH110" s="69">
        <f t="shared" si="30"/>
        <v>-228698.00388274796</v>
      </c>
      <c r="AI110" s="288">
        <v>-9209.81</v>
      </c>
      <c r="AJ110" s="288">
        <v>-7969</v>
      </c>
      <c r="AK110" s="288">
        <v>-15722.566955909651</v>
      </c>
      <c r="AL110" s="288">
        <v>0</v>
      </c>
      <c r="AM110" s="288">
        <f t="shared" si="26"/>
        <v>-45739.600776549589</v>
      </c>
      <c r="AN110" s="288">
        <f t="shared" si="27"/>
        <v>-152465.33592183198</v>
      </c>
      <c r="AO110" s="71"/>
      <c r="AP110" s="84">
        <v>0</v>
      </c>
      <c r="AQ110" s="125">
        <v>0</v>
      </c>
      <c r="AR110" s="133"/>
      <c r="AS110" s="78">
        <f t="shared" si="38"/>
        <v>3797414.2643097462</v>
      </c>
      <c r="AT110" s="70">
        <f t="shared" si="39"/>
        <v>-529719.40392096771</v>
      </c>
      <c r="AU110" s="288">
        <f t="shared" si="32"/>
        <v>3267694.8603887786</v>
      </c>
      <c r="AV110" s="71">
        <f t="shared" si="33"/>
        <v>86821087.774280965</v>
      </c>
      <c r="AW110" s="289"/>
      <c r="AX110" s="82">
        <v>0</v>
      </c>
      <c r="AY110" s="223">
        <v>-285561.50204189518</v>
      </c>
      <c r="AZ110" s="223">
        <v>-514010.70367541135</v>
      </c>
      <c r="BA110" s="223">
        <v>-40867.582279455091</v>
      </c>
      <c r="BB110" s="223">
        <v>0</v>
      </c>
      <c r="BC110" s="223">
        <v>0</v>
      </c>
      <c r="BD110" s="223">
        <f t="shared" si="42"/>
        <v>-840439.78799676173</v>
      </c>
      <c r="BE110" s="83">
        <f t="shared" si="41"/>
        <v>-840439.78799676173</v>
      </c>
      <c r="BF110" s="78">
        <f t="shared" si="31"/>
        <v>2956974.4763129852</v>
      </c>
      <c r="BG110" s="70">
        <f t="shared" si="40"/>
        <v>-529719.40392096771</v>
      </c>
      <c r="BH110" s="70">
        <f t="shared" si="24"/>
        <v>2427255.0723920176</v>
      </c>
      <c r="BI110" s="71">
        <f t="shared" si="25"/>
        <v>83845155.87590681</v>
      </c>
      <c r="BJ110" s="86"/>
    </row>
    <row r="111" spans="1:62" ht="15" customHeight="1">
      <c r="A111" s="35">
        <f t="shared" si="21"/>
        <v>54</v>
      </c>
      <c r="B111" s="87"/>
      <c r="C111" s="36">
        <v>44896</v>
      </c>
      <c r="D111" s="69">
        <v>1268342.8638095239</v>
      </c>
      <c r="E111" s="78">
        <v>1896834.87</v>
      </c>
      <c r="F111" s="78">
        <v>0</v>
      </c>
      <c r="G111" s="37">
        <f t="shared" ref="G111:G174" si="43">+G110</f>
        <v>0.05</v>
      </c>
      <c r="H111" s="70">
        <f t="shared" si="37"/>
        <v>-94841.743500000011</v>
      </c>
      <c r="I111" s="70">
        <f t="shared" si="29"/>
        <v>100565.421</v>
      </c>
      <c r="J111" s="79">
        <f t="shared" si="34"/>
        <v>603684.50664277701</v>
      </c>
      <c r="K111" s="79">
        <f t="shared" si="35"/>
        <v>35</v>
      </c>
      <c r="L111" s="79">
        <f t="shared" si="17"/>
        <v>3774585.917952301</v>
      </c>
      <c r="M111" s="70"/>
      <c r="N111" s="70"/>
      <c r="O111" s="481"/>
      <c r="P111" s="84">
        <v>0</v>
      </c>
      <c r="Q111" s="80">
        <v>0</v>
      </c>
      <c r="R111" s="81">
        <v>0</v>
      </c>
      <c r="S111" s="81">
        <v>0</v>
      </c>
      <c r="T111" s="81">
        <v>0</v>
      </c>
      <c r="U111" s="81">
        <v>0</v>
      </c>
      <c r="V111" s="81">
        <v>0</v>
      </c>
      <c r="W111" s="80">
        <v>0</v>
      </c>
      <c r="X111" s="82">
        <v>0</v>
      </c>
      <c r="Y111" s="189">
        <v>0</v>
      </c>
      <c r="Z111" s="189">
        <v>0</v>
      </c>
      <c r="AA111" s="85">
        <v>0</v>
      </c>
      <c r="AB111" s="85">
        <v>-29065.636383928573</v>
      </c>
      <c r="AC111" s="103">
        <v>-40056.57</v>
      </c>
      <c r="AD111" s="85">
        <v>0</v>
      </c>
      <c r="AE111" s="85">
        <v>0</v>
      </c>
      <c r="AF111" s="191">
        <v>0</v>
      </c>
      <c r="AG111" s="83">
        <v>0</v>
      </c>
      <c r="AH111" s="69">
        <f t="shared" si="30"/>
        <v>-227844.85585858478</v>
      </c>
      <c r="AI111" s="288">
        <v>-9209.81</v>
      </c>
      <c r="AJ111" s="288">
        <v>-7969</v>
      </c>
      <c r="AK111" s="288">
        <v>-15573.441377653322</v>
      </c>
      <c r="AL111" s="288">
        <v>0</v>
      </c>
      <c r="AM111" s="288">
        <f t="shared" si="26"/>
        <v>-45568.971171716956</v>
      </c>
      <c r="AN111" s="288">
        <f t="shared" si="27"/>
        <v>-151896.57057238984</v>
      </c>
      <c r="AO111" s="71"/>
      <c r="AP111" s="84">
        <v>0</v>
      </c>
      <c r="AQ111" s="125">
        <v>0</v>
      </c>
      <c r="AR111" s="133"/>
      <c r="AS111" s="78">
        <f t="shared" si="38"/>
        <v>3774585.917952301</v>
      </c>
      <c r="AT111" s="70">
        <f t="shared" si="39"/>
        <v>-527184.85536427354</v>
      </c>
      <c r="AU111" s="288">
        <f t="shared" si="32"/>
        <v>3247401.0625880277</v>
      </c>
      <c r="AV111" s="71">
        <f t="shared" si="33"/>
        <v>90068488.836868986</v>
      </c>
      <c r="AW111" s="289"/>
      <c r="AX111" s="82">
        <v>0</v>
      </c>
      <c r="AY111" s="223">
        <v>-283740.21328074171</v>
      </c>
      <c r="AZ111" s="223">
        <v>-510732.38390533515</v>
      </c>
      <c r="BA111" s="223">
        <v>-40027.969105349432</v>
      </c>
      <c r="BB111" s="223">
        <v>0</v>
      </c>
      <c r="BC111" s="223">
        <v>0</v>
      </c>
      <c r="BD111" s="223">
        <f t="shared" si="42"/>
        <v>-834500.56629142631</v>
      </c>
      <c r="BE111" s="83">
        <f t="shared" si="41"/>
        <v>-834500.56629142631</v>
      </c>
      <c r="BF111" s="78">
        <f t="shared" si="31"/>
        <v>2940085.3516608747</v>
      </c>
      <c r="BG111" s="70">
        <f t="shared" si="40"/>
        <v>-527184.85536427354</v>
      </c>
      <c r="BH111" s="70">
        <f t="shared" si="24"/>
        <v>2412900.4962966014</v>
      </c>
      <c r="BI111" s="71">
        <f t="shared" si="25"/>
        <v>86258056.37220341</v>
      </c>
      <c r="BJ111" s="86"/>
    </row>
    <row r="112" spans="1:62" ht="15" customHeight="1">
      <c r="A112" s="35">
        <f t="shared" si="21"/>
        <v>55</v>
      </c>
      <c r="B112" s="87"/>
      <c r="C112" s="36">
        <v>44927</v>
      </c>
      <c r="D112" s="69">
        <v>1268342.8638095239</v>
      </c>
      <c r="E112" s="78">
        <v>1866989.28</v>
      </c>
      <c r="F112" s="78">
        <v>0</v>
      </c>
      <c r="G112" s="37">
        <f t="shared" si="43"/>
        <v>0.05</v>
      </c>
      <c r="H112" s="70">
        <f t="shared" si="37"/>
        <v>-93349.464000000007</v>
      </c>
      <c r="I112" s="70">
        <f t="shared" si="29"/>
        <v>98042.890500000009</v>
      </c>
      <c r="J112" s="79">
        <f t="shared" si="34"/>
        <v>616658.77154017286</v>
      </c>
      <c r="K112" s="79">
        <f t="shared" si="35"/>
        <v>36</v>
      </c>
      <c r="L112" s="79">
        <f t="shared" si="17"/>
        <v>3756684.3418496968</v>
      </c>
      <c r="M112" s="70"/>
      <c r="N112" s="70"/>
      <c r="O112" s="481"/>
      <c r="P112" s="84">
        <v>0</v>
      </c>
      <c r="Q112" s="80">
        <v>0</v>
      </c>
      <c r="R112" s="81">
        <v>0</v>
      </c>
      <c r="S112" s="81">
        <v>0</v>
      </c>
      <c r="T112" s="81">
        <v>0</v>
      </c>
      <c r="U112" s="81">
        <v>0</v>
      </c>
      <c r="V112" s="81">
        <v>0</v>
      </c>
      <c r="W112" s="80">
        <v>0</v>
      </c>
      <c r="X112" s="82">
        <v>0</v>
      </c>
      <c r="Y112" s="189">
        <v>0</v>
      </c>
      <c r="Z112" s="189">
        <v>0</v>
      </c>
      <c r="AA112" s="85">
        <v>0</v>
      </c>
      <c r="AB112" s="85">
        <v>-29065.636383928573</v>
      </c>
      <c r="AC112" s="103">
        <v>-39326.58</v>
      </c>
      <c r="AD112" s="85">
        <v>0</v>
      </c>
      <c r="AE112" s="85">
        <v>0</v>
      </c>
      <c r="AF112" s="191">
        <v>0</v>
      </c>
      <c r="AG112" s="83">
        <v>0</v>
      </c>
      <c r="AH112" s="69">
        <f t="shared" si="30"/>
        <v>-226475.15507713804</v>
      </c>
      <c r="AI112" s="288">
        <v>-9209.81</v>
      </c>
      <c r="AJ112" s="288">
        <v>-7969</v>
      </c>
      <c r="AK112" s="288">
        <v>-15382.073917473608</v>
      </c>
      <c r="AL112" s="288">
        <v>0</v>
      </c>
      <c r="AM112" s="288">
        <f t="shared" si="26"/>
        <v>-45295.031015427616</v>
      </c>
      <c r="AN112" s="288">
        <f t="shared" si="27"/>
        <v>-150983.43671809204</v>
      </c>
      <c r="AO112" s="71"/>
      <c r="AP112" s="84">
        <v>0</v>
      </c>
      <c r="AQ112" s="125">
        <v>0</v>
      </c>
      <c r="AR112" s="133"/>
      <c r="AS112" s="78">
        <f t="shared" si="38"/>
        <v>3756684.3418496968</v>
      </c>
      <c r="AT112" s="70">
        <f t="shared" si="39"/>
        <v>-523706.72311205987</v>
      </c>
      <c r="AU112" s="288">
        <f t="shared" si="32"/>
        <v>3232977.6187376371</v>
      </c>
      <c r="AV112" s="71">
        <f t="shared" si="33"/>
        <v>93301466.455606624</v>
      </c>
      <c r="AW112" s="289"/>
      <c r="AX112" s="82">
        <v>0</v>
      </c>
      <c r="AY112" s="223">
        <v>-281918.9245195883</v>
      </c>
      <c r="AZ112" s="223">
        <v>-507454.06413525902</v>
      </c>
      <c r="BA112" s="223">
        <v>-39212.161638795442</v>
      </c>
      <c r="BB112" s="223">
        <v>0</v>
      </c>
      <c r="BC112" s="223">
        <v>0</v>
      </c>
      <c r="BD112" s="223">
        <f t="shared" si="42"/>
        <v>-828585.15029364266</v>
      </c>
      <c r="BE112" s="83">
        <f t="shared" si="41"/>
        <v>-828585.15029364266</v>
      </c>
      <c r="BF112" s="78">
        <f t="shared" si="31"/>
        <v>2928099.1915560542</v>
      </c>
      <c r="BG112" s="70">
        <f t="shared" si="40"/>
        <v>-523706.72311205987</v>
      </c>
      <c r="BH112" s="70">
        <f t="shared" si="24"/>
        <v>2404392.4684439944</v>
      </c>
      <c r="BI112" s="71">
        <f t="shared" si="25"/>
        <v>88662448.840647399</v>
      </c>
      <c r="BJ112" s="86"/>
    </row>
    <row r="113" spans="1:62" ht="15" customHeight="1">
      <c r="A113" s="35">
        <f t="shared" si="21"/>
        <v>56</v>
      </c>
      <c r="B113" s="87"/>
      <c r="C113" s="36">
        <v>44958</v>
      </c>
      <c r="D113" s="69">
        <v>1268342.8638095239</v>
      </c>
      <c r="E113" s="78">
        <v>1834331.08</v>
      </c>
      <c r="F113" s="78">
        <v>0</v>
      </c>
      <c r="G113" s="37">
        <f t="shared" si="43"/>
        <v>0.05</v>
      </c>
      <c r="H113" s="70">
        <f t="shared" si="37"/>
        <v>-91716.554000000004</v>
      </c>
      <c r="I113" s="70">
        <f t="shared" si="29"/>
        <v>96637.918000000005</v>
      </c>
      <c r="J113" s="79">
        <f t="shared" si="34"/>
        <v>628800.08704155358</v>
      </c>
      <c r="K113" s="79">
        <f t="shared" si="35"/>
        <v>37</v>
      </c>
      <c r="L113" s="79">
        <f t="shared" si="17"/>
        <v>3736395.3948510773</v>
      </c>
      <c r="M113" s="70"/>
      <c r="N113" s="70"/>
      <c r="O113" s="481"/>
      <c r="P113" s="84">
        <v>0</v>
      </c>
      <c r="Q113" s="80">
        <v>0</v>
      </c>
      <c r="R113" s="81">
        <v>0</v>
      </c>
      <c r="S113" s="81">
        <v>0</v>
      </c>
      <c r="T113" s="81">
        <v>0</v>
      </c>
      <c r="U113" s="81">
        <v>0</v>
      </c>
      <c r="V113" s="81">
        <v>0</v>
      </c>
      <c r="W113" s="80">
        <v>0</v>
      </c>
      <c r="X113" s="82">
        <v>0</v>
      </c>
      <c r="Y113" s="189">
        <v>0</v>
      </c>
      <c r="Z113" s="189">
        <v>0</v>
      </c>
      <c r="AA113" s="85">
        <v>0</v>
      </c>
      <c r="AB113" s="85">
        <v>-29065.636383928573</v>
      </c>
      <c r="AC113" s="103">
        <v>-38635.82</v>
      </c>
      <c r="AD113" s="85">
        <v>0</v>
      </c>
      <c r="AE113" s="85">
        <v>0</v>
      </c>
      <c r="AF113" s="191">
        <v>0</v>
      </c>
      <c r="AG113" s="83">
        <v>0</v>
      </c>
      <c r="AH113" s="69">
        <f t="shared" si="30"/>
        <v>-225401.0605109818</v>
      </c>
      <c r="AI113" s="288">
        <v>-9209.81</v>
      </c>
      <c r="AJ113" s="288">
        <v>-7969</v>
      </c>
      <c r="AK113" s="288">
        <v>-15197.482584215521</v>
      </c>
      <c r="AL113" s="288">
        <v>0</v>
      </c>
      <c r="AM113" s="288">
        <f t="shared" si="26"/>
        <v>-45080.212102196361</v>
      </c>
      <c r="AN113" s="288">
        <f t="shared" si="27"/>
        <v>-150267.37367398787</v>
      </c>
      <c r="AO113" s="71"/>
      <c r="AP113" s="84">
        <v>0</v>
      </c>
      <c r="AQ113" s="125">
        <v>0</v>
      </c>
      <c r="AR113" s="133"/>
      <c r="AS113" s="78">
        <f t="shared" si="38"/>
        <v>3736395.3948510773</v>
      </c>
      <c r="AT113" s="70">
        <f t="shared" si="39"/>
        <v>-520826.39525531011</v>
      </c>
      <c r="AU113" s="288">
        <f t="shared" si="32"/>
        <v>3215568.9995957674</v>
      </c>
      <c r="AV113" s="71">
        <f t="shared" si="33"/>
        <v>96517035.455202386</v>
      </c>
      <c r="AW113" s="289"/>
      <c r="AX113" s="82">
        <v>0</v>
      </c>
      <c r="AY113" s="223">
        <v>-280097.63575843483</v>
      </c>
      <c r="AZ113" s="223">
        <v>-504175.74436518271</v>
      </c>
      <c r="BA113" s="223">
        <v>-38419.484912165768</v>
      </c>
      <c r="BB113" s="223">
        <v>0</v>
      </c>
      <c r="BC113" s="223">
        <v>0</v>
      </c>
      <c r="BD113" s="223">
        <f t="shared" si="42"/>
        <v>-822692.86503578338</v>
      </c>
      <c r="BE113" s="83">
        <f t="shared" si="41"/>
        <v>-822692.86503578338</v>
      </c>
      <c r="BF113" s="78">
        <f t="shared" si="31"/>
        <v>2913702.5298152938</v>
      </c>
      <c r="BG113" s="70">
        <f t="shared" si="40"/>
        <v>-520826.39525531011</v>
      </c>
      <c r="BH113" s="70">
        <f t="shared" si="24"/>
        <v>2392876.1345599839</v>
      </c>
      <c r="BI113" s="71">
        <f t="shared" si="25"/>
        <v>91055324.975207388</v>
      </c>
      <c r="BJ113" s="86"/>
    </row>
    <row r="114" spans="1:62" ht="15" customHeight="1">
      <c r="A114" s="35">
        <f t="shared" si="21"/>
        <v>57</v>
      </c>
      <c r="B114" s="87"/>
      <c r="C114" s="36">
        <v>44986</v>
      </c>
      <c r="D114" s="69">
        <v>1268342.8638095239</v>
      </c>
      <c r="E114" s="78">
        <v>1795762.68</v>
      </c>
      <c r="F114" s="78">
        <v>0</v>
      </c>
      <c r="G114" s="37">
        <f t="shared" si="43"/>
        <v>0.05</v>
      </c>
      <c r="H114" s="70">
        <f t="shared" si="37"/>
        <v>-89788.134000000005</v>
      </c>
      <c r="I114" s="70">
        <f t="shared" si="29"/>
        <v>94841.743500000011</v>
      </c>
      <c r="J114" s="79">
        <f t="shared" si="34"/>
        <v>639409.10965934442</v>
      </c>
      <c r="K114" s="79">
        <f t="shared" si="35"/>
        <v>38</v>
      </c>
      <c r="L114" s="79">
        <f t="shared" si="17"/>
        <v>3708568.262968868</v>
      </c>
      <c r="M114" s="70"/>
      <c r="N114" s="70"/>
      <c r="O114" s="481"/>
      <c r="P114" s="84">
        <v>0</v>
      </c>
      <c r="Q114" s="80">
        <v>0</v>
      </c>
      <c r="R114" s="81">
        <v>0</v>
      </c>
      <c r="S114" s="81">
        <v>0</v>
      </c>
      <c r="T114" s="81">
        <v>0</v>
      </c>
      <c r="U114" s="81">
        <v>0</v>
      </c>
      <c r="V114" s="81">
        <v>0</v>
      </c>
      <c r="W114" s="80">
        <v>0</v>
      </c>
      <c r="X114" s="82">
        <v>0</v>
      </c>
      <c r="Y114" s="189">
        <v>0</v>
      </c>
      <c r="Z114" s="189">
        <v>0</v>
      </c>
      <c r="AA114" s="85">
        <v>0</v>
      </c>
      <c r="AB114" s="85">
        <v>-29065.636383928573</v>
      </c>
      <c r="AC114" s="103">
        <v>-37802.04</v>
      </c>
      <c r="AD114" s="85">
        <v>0</v>
      </c>
      <c r="AE114" s="85">
        <v>0</v>
      </c>
      <c r="AF114" s="191">
        <v>0</v>
      </c>
      <c r="AG114" s="83">
        <v>0</v>
      </c>
      <c r="AH114" s="69">
        <f t="shared" si="30"/>
        <v>-224183.72369106463</v>
      </c>
      <c r="AI114" s="288">
        <v>-9209.81</v>
      </c>
      <c r="AJ114" s="288">
        <v>-7969</v>
      </c>
      <c r="AK114" s="288">
        <v>-15017.796339751856</v>
      </c>
      <c r="AL114" s="288">
        <v>0</v>
      </c>
      <c r="AM114" s="288">
        <f t="shared" si="26"/>
        <v>-44836.744738212932</v>
      </c>
      <c r="AN114" s="288">
        <f t="shared" si="27"/>
        <v>-149455.8157940431</v>
      </c>
      <c r="AO114" s="71"/>
      <c r="AP114" s="84">
        <v>0</v>
      </c>
      <c r="AQ114" s="125">
        <v>0</v>
      </c>
      <c r="AR114" s="133"/>
      <c r="AS114" s="78">
        <f t="shared" si="38"/>
        <v>3708568.262968868</v>
      </c>
      <c r="AT114" s="70">
        <f t="shared" si="39"/>
        <v>-517540.56694700115</v>
      </c>
      <c r="AU114" s="288">
        <f t="shared" si="32"/>
        <v>3191027.696021867</v>
      </c>
      <c r="AV114" s="71">
        <f t="shared" si="33"/>
        <v>99708063.151224256</v>
      </c>
      <c r="AW114" s="289"/>
      <c r="AX114" s="82">
        <v>0</v>
      </c>
      <c r="AY114" s="223">
        <v>-278276.34699728136</v>
      </c>
      <c r="AZ114" s="223">
        <v>-500897.42459510651</v>
      </c>
      <c r="BA114" s="223">
        <v>-37649.283095314946</v>
      </c>
      <c r="BB114" s="223">
        <v>0</v>
      </c>
      <c r="BC114" s="223">
        <v>0</v>
      </c>
      <c r="BD114" s="223">
        <f t="shared" si="42"/>
        <v>-816823.05468770291</v>
      </c>
      <c r="BE114" s="83">
        <f t="shared" si="41"/>
        <v>-816823.05468770291</v>
      </c>
      <c r="BF114" s="78">
        <f t="shared" si="31"/>
        <v>2891745.208281165</v>
      </c>
      <c r="BG114" s="70">
        <f t="shared" si="40"/>
        <v>-517540.56694700115</v>
      </c>
      <c r="BH114" s="70">
        <f t="shared" si="24"/>
        <v>2374204.641334164</v>
      </c>
      <c r="BI114" s="71">
        <f t="shared" si="25"/>
        <v>93429529.61654155</v>
      </c>
      <c r="BJ114" s="86"/>
    </row>
    <row r="115" spans="1:62" ht="15" customHeight="1">
      <c r="A115" s="35">
        <f t="shared" si="21"/>
        <v>58</v>
      </c>
      <c r="B115" s="87"/>
      <c r="C115" s="36">
        <v>45017</v>
      </c>
      <c r="D115" s="69">
        <v>1268342.8638095239</v>
      </c>
      <c r="E115" s="78">
        <v>1765367.16</v>
      </c>
      <c r="F115" s="78">
        <v>0</v>
      </c>
      <c r="G115" s="37">
        <f t="shared" si="43"/>
        <v>0.05</v>
      </c>
      <c r="H115" s="70">
        <f t="shared" si="37"/>
        <v>-88268.358000000007</v>
      </c>
      <c r="I115" s="70">
        <f t="shared" si="29"/>
        <v>93349.464000000007</v>
      </c>
      <c r="J115" s="79">
        <f t="shared" si="34"/>
        <v>651400.13762219204</v>
      </c>
      <c r="K115" s="79">
        <f t="shared" si="35"/>
        <v>39</v>
      </c>
      <c r="L115" s="79">
        <f t="shared" si="17"/>
        <v>3690191.2674317155</v>
      </c>
      <c r="M115" s="70"/>
      <c r="N115" s="70"/>
      <c r="O115" s="481"/>
      <c r="P115" s="84">
        <v>0</v>
      </c>
      <c r="Q115" s="80">
        <v>0</v>
      </c>
      <c r="R115" s="81">
        <v>0</v>
      </c>
      <c r="S115" s="81">
        <v>0</v>
      </c>
      <c r="T115" s="81">
        <v>0</v>
      </c>
      <c r="U115" s="81">
        <v>0</v>
      </c>
      <c r="V115" s="81">
        <v>0</v>
      </c>
      <c r="W115" s="80">
        <v>0</v>
      </c>
      <c r="X115" s="82">
        <v>0</v>
      </c>
      <c r="Y115" s="189">
        <v>0</v>
      </c>
      <c r="Z115" s="189">
        <v>0</v>
      </c>
      <c r="AA115" s="85">
        <v>0</v>
      </c>
      <c r="AB115" s="85">
        <v>-29065.636383928573</v>
      </c>
      <c r="AC115" s="103">
        <v>-37249.96</v>
      </c>
      <c r="AD115" s="85">
        <v>0</v>
      </c>
      <c r="AE115" s="85">
        <v>0</v>
      </c>
      <c r="AF115" s="191">
        <v>0</v>
      </c>
      <c r="AG115" s="83">
        <v>0</v>
      </c>
      <c r="AH115" s="69">
        <f t="shared" si="30"/>
        <v>-222514.09577813206</v>
      </c>
      <c r="AI115" s="288">
        <v>-9209.81</v>
      </c>
      <c r="AJ115" s="288">
        <v>-23969</v>
      </c>
      <c r="AK115" s="288">
        <v>-14812.577257454705</v>
      </c>
      <c r="AL115" s="288">
        <v>0</v>
      </c>
      <c r="AM115" s="288">
        <f t="shared" si="26"/>
        <v>-44502.819155626414</v>
      </c>
      <c r="AN115" s="288">
        <f t="shared" si="27"/>
        <v>-148342.73051875472</v>
      </c>
      <c r="AO115" s="71"/>
      <c r="AP115" s="84">
        <v>0</v>
      </c>
      <c r="AQ115" s="125">
        <v>0</v>
      </c>
      <c r="AR115" s="133"/>
      <c r="AS115" s="78">
        <f t="shared" si="38"/>
        <v>3690191.2674317155</v>
      </c>
      <c r="AT115" s="70">
        <f t="shared" si="39"/>
        <v>-529666.62909389648</v>
      </c>
      <c r="AU115" s="288">
        <f t="shared" si="32"/>
        <v>3160524.6383378189</v>
      </c>
      <c r="AV115" s="71">
        <f t="shared" si="33"/>
        <v>102868587.78956208</v>
      </c>
      <c r="AW115" s="289"/>
      <c r="AX115" s="82">
        <v>0</v>
      </c>
      <c r="AY115" s="223">
        <v>-276455.05823612795</v>
      </c>
      <c r="AZ115" s="223">
        <v>-497619.10482503031</v>
      </c>
      <c r="BA115" s="223">
        <v>-36900.918952970896</v>
      </c>
      <c r="BB115" s="223">
        <v>0</v>
      </c>
      <c r="BC115" s="223">
        <v>0</v>
      </c>
      <c r="BD115" s="223">
        <f t="shared" si="42"/>
        <v>-810975.08201412915</v>
      </c>
      <c r="BE115" s="83">
        <f t="shared" si="41"/>
        <v>-810975.08201412915</v>
      </c>
      <c r="BF115" s="78">
        <f t="shared" si="31"/>
        <v>2879216.1854175869</v>
      </c>
      <c r="BG115" s="70">
        <f t="shared" si="40"/>
        <v>-529666.62909389648</v>
      </c>
      <c r="BH115" s="70">
        <f t="shared" si="24"/>
        <v>2349549.5563236903</v>
      </c>
      <c r="BI115" s="71">
        <f t="shared" si="25"/>
        <v>95779079.172865242</v>
      </c>
      <c r="BJ115" s="86"/>
    </row>
    <row r="116" spans="1:62" ht="15" customHeight="1">
      <c r="A116" s="35">
        <f t="shared" si="21"/>
        <v>59</v>
      </c>
      <c r="B116" s="87"/>
      <c r="C116" s="36">
        <v>45047</v>
      </c>
      <c r="D116" s="69">
        <v>1268342.8638095239</v>
      </c>
      <c r="E116" s="78">
        <v>1752148.13</v>
      </c>
      <c r="F116" s="78">
        <v>0</v>
      </c>
      <c r="G116" s="37">
        <f t="shared" si="43"/>
        <v>0.05</v>
      </c>
      <c r="H116" s="70">
        <f t="shared" si="37"/>
        <v>-87607.406499999997</v>
      </c>
      <c r="I116" s="70">
        <f t="shared" si="29"/>
        <v>91716.554000000004</v>
      </c>
      <c r="J116" s="79">
        <f t="shared" si="34"/>
        <v>666907.00279340427</v>
      </c>
      <c r="K116" s="79">
        <f t="shared" si="35"/>
        <v>40</v>
      </c>
      <c r="L116" s="79">
        <f t="shared" si="17"/>
        <v>3691507.1441029282</v>
      </c>
      <c r="M116" s="70"/>
      <c r="N116" s="70"/>
      <c r="O116" s="481"/>
      <c r="P116" s="84">
        <v>0</v>
      </c>
      <c r="Q116" s="80">
        <v>0</v>
      </c>
      <c r="R116" s="81">
        <v>0</v>
      </c>
      <c r="S116" s="81">
        <v>0</v>
      </c>
      <c r="T116" s="81">
        <v>0</v>
      </c>
      <c r="U116" s="81">
        <v>0</v>
      </c>
      <c r="V116" s="81">
        <v>0</v>
      </c>
      <c r="W116" s="80">
        <v>0</v>
      </c>
      <c r="X116" s="82">
        <v>0</v>
      </c>
      <c r="Y116" s="189">
        <v>0</v>
      </c>
      <c r="Z116" s="189">
        <v>0</v>
      </c>
      <c r="AA116" s="85">
        <v>0</v>
      </c>
      <c r="AB116" s="85">
        <v>-29065.636383928573</v>
      </c>
      <c r="AC116" s="103">
        <v>-36975.870000000003</v>
      </c>
      <c r="AD116" s="85">
        <v>0</v>
      </c>
      <c r="AE116" s="85">
        <v>0</v>
      </c>
      <c r="AF116" s="191">
        <v>0</v>
      </c>
      <c r="AG116" s="83">
        <v>0</v>
      </c>
      <c r="AH116" s="69">
        <f t="shared" si="30"/>
        <v>-221411.47604590293</v>
      </c>
      <c r="AI116" s="288">
        <v>-9209.81</v>
      </c>
      <c r="AJ116" s="288">
        <v>-23969</v>
      </c>
      <c r="AK116" s="288">
        <v>-14649.083132426706</v>
      </c>
      <c r="AL116" s="288">
        <v>0</v>
      </c>
      <c r="AM116" s="288">
        <f t="shared" si="26"/>
        <v>-44282.295209180586</v>
      </c>
      <c r="AN116" s="288">
        <f t="shared" si="27"/>
        <v>-147607.65069726863</v>
      </c>
      <c r="AO116" s="71"/>
      <c r="AP116" s="84">
        <v>0</v>
      </c>
      <c r="AQ116" s="125">
        <v>0</v>
      </c>
      <c r="AR116" s="133"/>
      <c r="AS116" s="78">
        <f t="shared" si="38"/>
        <v>3691507.1441029282</v>
      </c>
      <c r="AT116" s="70">
        <f t="shared" si="39"/>
        <v>-527170.82146870741</v>
      </c>
      <c r="AU116" s="288">
        <f t="shared" si="32"/>
        <v>3164336.3226342211</v>
      </c>
      <c r="AV116" s="71">
        <f t="shared" si="33"/>
        <v>106032924.1121963</v>
      </c>
      <c r="AW116" s="289"/>
      <c r="AX116" s="82">
        <v>0</v>
      </c>
      <c r="AY116" s="223">
        <v>-274633.76947497448</v>
      </c>
      <c r="AZ116" s="223">
        <v>-494340.78505495406</v>
      </c>
      <c r="BA116" s="223">
        <v>-36173.773317511019</v>
      </c>
      <c r="BB116" s="223">
        <v>0</v>
      </c>
      <c r="BC116" s="223">
        <v>0</v>
      </c>
      <c r="BD116" s="223">
        <f t="shared" si="42"/>
        <v>-805148.32784743956</v>
      </c>
      <c r="BE116" s="83">
        <f t="shared" si="41"/>
        <v>-805148.32784743956</v>
      </c>
      <c r="BF116" s="78">
        <f t="shared" si="31"/>
        <v>2886358.8162554884</v>
      </c>
      <c r="BG116" s="70">
        <f t="shared" si="40"/>
        <v>-527170.82146870741</v>
      </c>
      <c r="BH116" s="70">
        <f t="shared" si="24"/>
        <v>2359187.9947867813</v>
      </c>
      <c r="BI116" s="71">
        <f t="shared" si="25"/>
        <v>98138267.167652026</v>
      </c>
      <c r="BJ116" s="86"/>
    </row>
    <row r="117" spans="1:62" ht="15" customHeight="1">
      <c r="A117" s="35">
        <f t="shared" si="21"/>
        <v>60</v>
      </c>
      <c r="B117" s="87"/>
      <c r="C117" s="36">
        <v>45078</v>
      </c>
      <c r="D117" s="69">
        <v>1268342.8638095239</v>
      </c>
      <c r="E117" s="78">
        <v>1741125.84</v>
      </c>
      <c r="F117" s="78">
        <v>0</v>
      </c>
      <c r="G117" s="37">
        <f t="shared" si="43"/>
        <v>0.05</v>
      </c>
      <c r="H117" s="70">
        <f t="shared" si="37"/>
        <v>-87056.292000000016</v>
      </c>
      <c r="I117" s="70">
        <f t="shared" si="29"/>
        <v>89788.134000000005</v>
      </c>
      <c r="J117" s="79">
        <f t="shared" si="34"/>
        <v>682843.05493100779</v>
      </c>
      <c r="K117" s="79">
        <f t="shared" si="35"/>
        <v>41</v>
      </c>
      <c r="L117" s="79">
        <f t="shared" si="17"/>
        <v>3695043.6007405315</v>
      </c>
      <c r="M117" s="70"/>
      <c r="N117" s="70"/>
      <c r="O117" s="481"/>
      <c r="P117" s="84">
        <v>0</v>
      </c>
      <c r="Q117" s="80">
        <v>0</v>
      </c>
      <c r="R117" s="81">
        <v>0</v>
      </c>
      <c r="S117" s="81">
        <v>0</v>
      </c>
      <c r="T117" s="81">
        <v>0</v>
      </c>
      <c r="U117" s="81">
        <v>0</v>
      </c>
      <c r="V117" s="81">
        <v>0</v>
      </c>
      <c r="W117" s="80">
        <v>0</v>
      </c>
      <c r="X117" s="82">
        <v>0</v>
      </c>
      <c r="Y117" s="189">
        <v>0</v>
      </c>
      <c r="Z117" s="189">
        <v>0</v>
      </c>
      <c r="AA117" s="85">
        <v>0</v>
      </c>
      <c r="AB117" s="85">
        <v>-29065.636383928573</v>
      </c>
      <c r="AC117" s="103">
        <v>-36711.81</v>
      </c>
      <c r="AD117" s="85">
        <v>0</v>
      </c>
      <c r="AE117" s="85">
        <v>0</v>
      </c>
      <c r="AF117" s="191">
        <v>0</v>
      </c>
      <c r="AG117" s="83">
        <v>0</v>
      </c>
      <c r="AH117" s="69">
        <f t="shared" si="30"/>
        <v>-221490.42864617569</v>
      </c>
      <c r="AI117" s="288">
        <v>-9209.81</v>
      </c>
      <c r="AJ117" s="288">
        <v>-7969</v>
      </c>
      <c r="AK117" s="288">
        <v>-14570.323179551922</v>
      </c>
      <c r="AL117" s="288">
        <v>0</v>
      </c>
      <c r="AM117" s="288">
        <f t="shared" si="26"/>
        <v>-44298.085729235143</v>
      </c>
      <c r="AN117" s="288">
        <f t="shared" si="27"/>
        <v>-147660.28576411714</v>
      </c>
      <c r="AO117" s="71"/>
      <c r="AP117" s="84">
        <v>0</v>
      </c>
      <c r="AQ117" s="125">
        <v>0</v>
      </c>
      <c r="AR117" s="133"/>
      <c r="AS117" s="78">
        <f t="shared" si="38"/>
        <v>3695043.6007405315</v>
      </c>
      <c r="AT117" s="70">
        <f t="shared" si="39"/>
        <v>-510975.37970300845</v>
      </c>
      <c r="AU117" s="288">
        <f t="shared" si="32"/>
        <v>3184068.2210375229</v>
      </c>
      <c r="AV117" s="71">
        <f t="shared" si="33"/>
        <v>109216992.33323382</v>
      </c>
      <c r="AW117" s="289"/>
      <c r="AX117" s="82">
        <v>0</v>
      </c>
      <c r="AY117" s="223">
        <v>-272812.48071382102</v>
      </c>
      <c r="AZ117" s="223">
        <v>-491062.46528487781</v>
      </c>
      <c r="BA117" s="223">
        <v>-35467.24457668679</v>
      </c>
      <c r="BB117" s="223">
        <v>0</v>
      </c>
      <c r="BC117" s="223">
        <v>0</v>
      </c>
      <c r="BD117" s="223">
        <f t="shared" si="42"/>
        <v>-799342.19057538558</v>
      </c>
      <c r="BE117" s="83">
        <f t="shared" si="41"/>
        <v>-799342.19057538558</v>
      </c>
      <c r="BF117" s="78">
        <f t="shared" si="31"/>
        <v>2895701.4101651455</v>
      </c>
      <c r="BG117" s="70">
        <f t="shared" si="40"/>
        <v>-510975.37970300845</v>
      </c>
      <c r="BH117" s="70">
        <f t="shared" si="24"/>
        <v>2384726.030462137</v>
      </c>
      <c r="BI117" s="71">
        <f t="shared" si="25"/>
        <v>100522993.19811416</v>
      </c>
      <c r="BJ117" s="86"/>
    </row>
    <row r="118" spans="1:62" ht="15" customHeight="1">
      <c r="A118" s="35">
        <f t="shared" si="21"/>
        <v>61</v>
      </c>
      <c r="B118" s="87"/>
      <c r="C118" s="36">
        <v>45108</v>
      </c>
      <c r="D118" s="69">
        <v>1268342.8638095239</v>
      </c>
      <c r="E118" s="78">
        <v>1733098.04</v>
      </c>
      <c r="F118" s="78">
        <v>0</v>
      </c>
      <c r="G118" s="37">
        <f t="shared" si="43"/>
        <v>0.05</v>
      </c>
      <c r="H118" s="70">
        <f t="shared" si="37"/>
        <v>-86654.902000000002</v>
      </c>
      <c r="I118" s="70">
        <f t="shared" si="29"/>
        <v>88268.358000000007</v>
      </c>
      <c r="J118" s="79">
        <f t="shared" si="34"/>
        <v>699433.87382602505</v>
      </c>
      <c r="K118" s="79">
        <f t="shared" si="35"/>
        <v>42</v>
      </c>
      <c r="L118" s="79">
        <f t="shared" si="17"/>
        <v>3702488.233635549</v>
      </c>
      <c r="M118" s="70"/>
      <c r="N118" s="70"/>
      <c r="O118" s="481"/>
      <c r="P118" s="84">
        <v>0</v>
      </c>
      <c r="Q118" s="80">
        <v>0</v>
      </c>
      <c r="R118" s="81">
        <v>0</v>
      </c>
      <c r="S118" s="81">
        <v>0</v>
      </c>
      <c r="T118" s="81">
        <v>0</v>
      </c>
      <c r="U118" s="81">
        <v>0</v>
      </c>
      <c r="V118" s="81">
        <v>0</v>
      </c>
      <c r="W118" s="80">
        <v>0</v>
      </c>
      <c r="X118" s="82">
        <v>0</v>
      </c>
      <c r="Y118" s="189">
        <v>0</v>
      </c>
      <c r="Z118" s="189">
        <v>0</v>
      </c>
      <c r="AA118" s="85">
        <v>0</v>
      </c>
      <c r="AB118" s="85">
        <v>-29065.636383928573</v>
      </c>
      <c r="AC118" s="103">
        <v>-36522.47</v>
      </c>
      <c r="AD118" s="85">
        <v>0</v>
      </c>
      <c r="AE118" s="85">
        <v>0</v>
      </c>
      <c r="AF118" s="191">
        <v>0</v>
      </c>
      <c r="AG118" s="83">
        <v>0</v>
      </c>
      <c r="AH118" s="69">
        <f t="shared" si="30"/>
        <v>-221702.61604443187</v>
      </c>
      <c r="AI118" s="288">
        <v>-9209.81</v>
      </c>
      <c r="AJ118" s="288">
        <v>-7969</v>
      </c>
      <c r="AK118" s="288">
        <v>-14493.09687090089</v>
      </c>
      <c r="AL118" s="288">
        <v>0</v>
      </c>
      <c r="AM118" s="288">
        <f t="shared" si="26"/>
        <v>-44340.523208886378</v>
      </c>
      <c r="AN118" s="288">
        <f t="shared" si="27"/>
        <v>-147801.74402962127</v>
      </c>
      <c r="AO118" s="71"/>
      <c r="AP118" s="84">
        <v>0</v>
      </c>
      <c r="AQ118" s="125">
        <v>0</v>
      </c>
      <c r="AR118" s="133"/>
      <c r="AS118" s="78">
        <f t="shared" si="38"/>
        <v>3702488.233635549</v>
      </c>
      <c r="AT118" s="70">
        <f t="shared" si="39"/>
        <v>-511104.896537769</v>
      </c>
      <c r="AU118" s="288">
        <f t="shared" si="32"/>
        <v>3191383.3370977798</v>
      </c>
      <c r="AV118" s="71">
        <f t="shared" si="33"/>
        <v>112408375.6703316</v>
      </c>
      <c r="AW118" s="289"/>
      <c r="AX118" s="82">
        <v>0</v>
      </c>
      <c r="AY118" s="223">
        <v>-270991.19195266755</v>
      </c>
      <c r="AZ118" s="223">
        <v>-487784.14551480161</v>
      </c>
      <c r="BA118" s="223">
        <v>-34780.748175872985</v>
      </c>
      <c r="BB118" s="223">
        <v>0</v>
      </c>
      <c r="BC118" s="223">
        <v>0</v>
      </c>
      <c r="BD118" s="223">
        <f t="shared" si="42"/>
        <v>-793556.08564334211</v>
      </c>
      <c r="BE118" s="83">
        <f t="shared" si="41"/>
        <v>-793556.08564334211</v>
      </c>
      <c r="BF118" s="78">
        <f t="shared" si="31"/>
        <v>2908932.1479922067</v>
      </c>
      <c r="BG118" s="70">
        <f t="shared" si="40"/>
        <v>-511104.896537769</v>
      </c>
      <c r="BH118" s="70">
        <f t="shared" si="24"/>
        <v>2397827.2514544376</v>
      </c>
      <c r="BI118" s="71">
        <f t="shared" si="25"/>
        <v>102920820.4495686</v>
      </c>
      <c r="BJ118" s="86"/>
    </row>
    <row r="119" spans="1:62" ht="15" customHeight="1">
      <c r="A119" s="35">
        <f t="shared" si="21"/>
        <v>62</v>
      </c>
      <c r="B119" s="87"/>
      <c r="C119" s="36">
        <v>45139</v>
      </c>
      <c r="D119" s="69">
        <v>1268342.8638095239</v>
      </c>
      <c r="E119" s="78">
        <v>1716612.49</v>
      </c>
      <c r="F119" s="78">
        <v>0</v>
      </c>
      <c r="G119" s="37">
        <f t="shared" si="43"/>
        <v>0.05</v>
      </c>
      <c r="H119" s="70">
        <f t="shared" si="37"/>
        <v>-85830.624500000005</v>
      </c>
      <c r="I119" s="70">
        <f t="shared" si="29"/>
        <v>87607.406499999997</v>
      </c>
      <c r="J119" s="79">
        <f t="shared" si="34"/>
        <v>713994.93939699326</v>
      </c>
      <c r="K119" s="79">
        <f t="shared" si="35"/>
        <v>43</v>
      </c>
      <c r="L119" s="79">
        <f t="shared" si="17"/>
        <v>3700727.0752065172</v>
      </c>
      <c r="M119" s="70"/>
      <c r="N119" s="70"/>
      <c r="O119" s="481"/>
      <c r="P119" s="84">
        <v>0</v>
      </c>
      <c r="Q119" s="80">
        <v>0</v>
      </c>
      <c r="R119" s="81">
        <v>0</v>
      </c>
      <c r="S119" s="81">
        <v>0</v>
      </c>
      <c r="T119" s="81">
        <v>0</v>
      </c>
      <c r="U119" s="81">
        <v>0</v>
      </c>
      <c r="V119" s="81">
        <v>0</v>
      </c>
      <c r="W119" s="80">
        <v>0</v>
      </c>
      <c r="X119" s="82">
        <v>0</v>
      </c>
      <c r="Y119" s="189">
        <v>0</v>
      </c>
      <c r="Z119" s="189">
        <v>0</v>
      </c>
      <c r="AA119" s="85">
        <v>0</v>
      </c>
      <c r="AB119" s="85">
        <v>-29065.636383928573</v>
      </c>
      <c r="AC119" s="103">
        <v>-36198.870000000003</v>
      </c>
      <c r="AD119" s="85">
        <v>0</v>
      </c>
      <c r="AE119" s="85">
        <v>0</v>
      </c>
      <c r="AF119" s="191">
        <v>0</v>
      </c>
      <c r="AG119" s="83">
        <v>0</v>
      </c>
      <c r="AH119" s="69">
        <f t="shared" si="30"/>
        <v>-222149.29401813293</v>
      </c>
      <c r="AI119" s="288">
        <v>-9209.81</v>
      </c>
      <c r="AJ119" s="288">
        <v>-7969</v>
      </c>
      <c r="AK119" s="288">
        <v>-14430.710823555723</v>
      </c>
      <c r="AL119" s="288">
        <v>0</v>
      </c>
      <c r="AM119" s="288">
        <f t="shared" si="26"/>
        <v>-44429.858803626586</v>
      </c>
      <c r="AN119" s="288">
        <f t="shared" si="27"/>
        <v>-148099.52934542196</v>
      </c>
      <c r="AO119" s="71"/>
      <c r="AP119" s="84">
        <v>0</v>
      </c>
      <c r="AQ119" s="125">
        <v>0</v>
      </c>
      <c r="AR119" s="133"/>
      <c r="AS119" s="78">
        <f t="shared" si="38"/>
        <v>3700727.0752065172</v>
      </c>
      <c r="AT119" s="70">
        <f t="shared" si="39"/>
        <v>-511552.70937466575</v>
      </c>
      <c r="AU119" s="288">
        <f t="shared" si="32"/>
        <v>3189174.3658318515</v>
      </c>
      <c r="AV119" s="71">
        <f t="shared" si="33"/>
        <v>115597550.03616345</v>
      </c>
      <c r="AW119" s="289"/>
      <c r="AX119" s="82">
        <v>0</v>
      </c>
      <c r="AY119" s="223">
        <v>-269169.90319151414</v>
      </c>
      <c r="AZ119" s="223">
        <v>-484505.82574472541</v>
      </c>
      <c r="BA119" s="223">
        <v>-34113.716134429742</v>
      </c>
      <c r="BB119" s="223">
        <v>0</v>
      </c>
      <c r="BC119" s="223">
        <v>0</v>
      </c>
      <c r="BD119" s="223">
        <f t="shared" si="42"/>
        <v>-787789.4450706694</v>
      </c>
      <c r="BE119" s="83">
        <f t="shared" si="41"/>
        <v>-787789.4450706694</v>
      </c>
      <c r="BF119" s="78">
        <f t="shared" si="31"/>
        <v>2912937.6301358477</v>
      </c>
      <c r="BG119" s="70">
        <f t="shared" si="40"/>
        <v>-511552.70937466575</v>
      </c>
      <c r="BH119" s="70">
        <f t="shared" si="24"/>
        <v>2401384.920761182</v>
      </c>
      <c r="BI119" s="71">
        <f t="shared" si="25"/>
        <v>105322205.37032978</v>
      </c>
      <c r="BJ119" s="86"/>
    </row>
    <row r="120" spans="1:62" ht="15" customHeight="1">
      <c r="A120" s="35">
        <f t="shared" si="21"/>
        <v>63</v>
      </c>
      <c r="B120" s="87"/>
      <c r="C120" s="36">
        <v>45170</v>
      </c>
      <c r="D120" s="69">
        <v>1268342.8638095239</v>
      </c>
      <c r="E120" s="78">
        <v>1697519.66</v>
      </c>
      <c r="F120" s="78">
        <v>0</v>
      </c>
      <c r="G120" s="37">
        <f t="shared" si="43"/>
        <v>0.05</v>
      </c>
      <c r="H120" s="70">
        <f t="shared" si="37"/>
        <v>-84875.983000000007</v>
      </c>
      <c r="I120" s="70">
        <f t="shared" si="29"/>
        <v>87056.292000000016</v>
      </c>
      <c r="J120" s="79">
        <f t="shared" si="34"/>
        <v>727804.42777305888</v>
      </c>
      <c r="K120" s="79">
        <f t="shared" si="35"/>
        <v>44</v>
      </c>
      <c r="L120" s="79">
        <f t="shared" si="17"/>
        <v>3695847.260582583</v>
      </c>
      <c r="M120" s="70"/>
      <c r="N120" s="70"/>
      <c r="O120" s="481"/>
      <c r="P120" s="84">
        <v>0</v>
      </c>
      <c r="Q120" s="80">
        <v>0</v>
      </c>
      <c r="R120" s="81">
        <v>0</v>
      </c>
      <c r="S120" s="81">
        <v>0</v>
      </c>
      <c r="T120" s="81">
        <v>0</v>
      </c>
      <c r="U120" s="81">
        <v>0</v>
      </c>
      <c r="V120" s="81">
        <v>0</v>
      </c>
      <c r="W120" s="80">
        <v>0</v>
      </c>
      <c r="X120" s="82">
        <v>0</v>
      </c>
      <c r="Y120" s="189">
        <v>0</v>
      </c>
      <c r="Z120" s="189">
        <v>0</v>
      </c>
      <c r="AA120" s="85">
        <v>0</v>
      </c>
      <c r="AB120" s="85">
        <v>-29065.636383928573</v>
      </c>
      <c r="AC120" s="103">
        <v>-35776.06</v>
      </c>
      <c r="AD120" s="85">
        <v>0</v>
      </c>
      <c r="AE120" s="85">
        <v>0</v>
      </c>
      <c r="AF120" s="191">
        <v>0</v>
      </c>
      <c r="AG120" s="83">
        <v>0</v>
      </c>
      <c r="AH120" s="69">
        <f t="shared" si="30"/>
        <v>-222043.62451239102</v>
      </c>
      <c r="AI120" s="288">
        <v>-9209.81</v>
      </c>
      <c r="AJ120" s="288">
        <v>-7969</v>
      </c>
      <c r="AK120" s="288">
        <v>-14352.446290773925</v>
      </c>
      <c r="AL120" s="288">
        <v>0</v>
      </c>
      <c r="AM120" s="288">
        <f t="shared" si="26"/>
        <v>-44408.724902478207</v>
      </c>
      <c r="AN120" s="288">
        <f t="shared" si="27"/>
        <v>-148029.0830082607</v>
      </c>
      <c r="AO120" s="71"/>
      <c r="AP120" s="84">
        <v>0</v>
      </c>
      <c r="AQ120" s="125">
        <v>0</v>
      </c>
      <c r="AR120" s="133"/>
      <c r="AS120" s="78">
        <f t="shared" si="38"/>
        <v>3695847.260582583</v>
      </c>
      <c r="AT120" s="70">
        <f t="shared" si="39"/>
        <v>-510854.38509783242</v>
      </c>
      <c r="AU120" s="294">
        <f t="shared" si="32"/>
        <v>3184992.8754847506</v>
      </c>
      <c r="AV120" s="71">
        <f t="shared" si="33"/>
        <v>118782542.9116482</v>
      </c>
      <c r="AW120" s="289"/>
      <c r="AX120" s="82">
        <v>0</v>
      </c>
      <c r="AY120" s="223">
        <v>-267348.61443036067</v>
      </c>
      <c r="AZ120" s="223">
        <v>-481227.50597464922</v>
      </c>
      <c r="BA120" s="223">
        <v>-49027.34956382509</v>
      </c>
      <c r="BB120" s="223">
        <v>0</v>
      </c>
      <c r="BC120" s="223">
        <v>0</v>
      </c>
      <c r="BD120" s="223">
        <f t="shared" si="42"/>
        <v>-797603.46996883501</v>
      </c>
      <c r="BE120" s="83">
        <f t="shared" si="41"/>
        <v>-797603.46996883501</v>
      </c>
      <c r="BF120" s="78">
        <f t="shared" si="31"/>
        <v>2898243.7906137481</v>
      </c>
      <c r="BG120" s="70">
        <f t="shared" si="40"/>
        <v>-510854.38509783242</v>
      </c>
      <c r="BH120" s="70">
        <f t="shared" si="24"/>
        <v>2387389.4055159157</v>
      </c>
      <c r="BI120" s="71">
        <f t="shared" si="25"/>
        <v>107709594.77584569</v>
      </c>
      <c r="BJ120" s="86"/>
    </row>
    <row r="121" spans="1:62" ht="15" customHeight="1">
      <c r="A121" s="35">
        <f t="shared" ref="A121:A184" si="44">A120+1</f>
        <v>64</v>
      </c>
      <c r="B121" s="87"/>
      <c r="C121" s="36">
        <v>45200</v>
      </c>
      <c r="D121" s="69">
        <v>1268342.8638095239</v>
      </c>
      <c r="E121" s="78">
        <v>1664717.3</v>
      </c>
      <c r="F121" s="78">
        <v>0</v>
      </c>
      <c r="G121" s="37">
        <f t="shared" si="43"/>
        <v>0.05</v>
      </c>
      <c r="H121" s="70">
        <f t="shared" ref="H121:H152" si="45">-E121*G121</f>
        <v>-83235.865000000005</v>
      </c>
      <c r="I121" s="70">
        <f t="shared" si="29"/>
        <v>86654.902000000002</v>
      </c>
      <c r="J121" s="79">
        <f t="shared" si="34"/>
        <v>738019.00578458887</v>
      </c>
      <c r="K121" s="79">
        <f t="shared" si="35"/>
        <v>45</v>
      </c>
      <c r="L121" s="79">
        <f t="shared" si="17"/>
        <v>3674498.2065941128</v>
      </c>
      <c r="M121" s="70"/>
      <c r="N121" s="70"/>
      <c r="O121" s="481"/>
      <c r="P121" s="84">
        <v>0</v>
      </c>
      <c r="Q121" s="80">
        <v>0</v>
      </c>
      <c r="R121" s="81">
        <v>0</v>
      </c>
      <c r="S121" s="81">
        <v>0</v>
      </c>
      <c r="T121" s="81">
        <v>0</v>
      </c>
      <c r="U121" s="81">
        <v>0</v>
      </c>
      <c r="V121" s="81">
        <v>0</v>
      </c>
      <c r="W121" s="80">
        <v>0</v>
      </c>
      <c r="X121" s="82">
        <v>0</v>
      </c>
      <c r="Y121" s="189">
        <v>0</v>
      </c>
      <c r="Z121" s="189">
        <v>0</v>
      </c>
      <c r="AA121" s="85">
        <v>0</v>
      </c>
      <c r="AB121" s="85">
        <v>-29065.636383928573</v>
      </c>
      <c r="AC121" s="103">
        <v>-35183.51</v>
      </c>
      <c r="AD121" s="85">
        <v>0</v>
      </c>
      <c r="AE121" s="85">
        <v>0</v>
      </c>
      <c r="AF121" s="191">
        <v>0</v>
      </c>
      <c r="AG121" s="83">
        <v>0</v>
      </c>
      <c r="AH121" s="69">
        <f t="shared" si="30"/>
        <v>-221750.83563495497</v>
      </c>
      <c r="AI121" s="288">
        <v>-9209.81</v>
      </c>
      <c r="AJ121" s="288">
        <v>-7969</v>
      </c>
      <c r="AK121" s="288">
        <v>-14251.555052108984</v>
      </c>
      <c r="AL121" s="288">
        <v>0</v>
      </c>
      <c r="AM121" s="288">
        <f t="shared" si="26"/>
        <v>-44350.167126991</v>
      </c>
      <c r="AN121" s="288">
        <f t="shared" si="27"/>
        <v>-147833.89042330332</v>
      </c>
      <c r="AO121" s="71"/>
      <c r="AP121" s="84">
        <v>0</v>
      </c>
      <c r="AQ121" s="125">
        <v>0</v>
      </c>
      <c r="AR121" s="133"/>
      <c r="AS121" s="78">
        <f t="shared" si="38"/>
        <v>3674498.2065941128</v>
      </c>
      <c r="AT121" s="70">
        <f t="shared" si="39"/>
        <v>-509614.4046212869</v>
      </c>
      <c r="AU121" s="288">
        <f t="shared" si="32"/>
        <v>3164883.801972826</v>
      </c>
      <c r="AV121" s="71">
        <f t="shared" si="33"/>
        <v>121947426.71362102</v>
      </c>
      <c r="AW121" s="289"/>
      <c r="AX121" s="82">
        <v>0</v>
      </c>
      <c r="AY121" s="223">
        <v>-265527.3256692072</v>
      </c>
      <c r="AZ121" s="223">
        <v>-477949.18620457302</v>
      </c>
      <c r="BA121" s="223">
        <v>-32835.853270794549</v>
      </c>
      <c r="BB121" s="223">
        <v>0</v>
      </c>
      <c r="BC121" s="223">
        <v>0</v>
      </c>
      <c r="BD121" s="223">
        <f t="shared" si="42"/>
        <v>-776312.36514457478</v>
      </c>
      <c r="BE121" s="83">
        <f t="shared" si="41"/>
        <v>-776312.36514457478</v>
      </c>
      <c r="BF121" s="78">
        <f t="shared" si="31"/>
        <v>2898185.8414495378</v>
      </c>
      <c r="BG121" s="70">
        <f t="shared" si="40"/>
        <v>-509614.4046212869</v>
      </c>
      <c r="BH121" s="70">
        <f t="shared" si="24"/>
        <v>2388571.436828251</v>
      </c>
      <c r="BI121" s="71">
        <f t="shared" si="25"/>
        <v>110098166.21267395</v>
      </c>
      <c r="BJ121" s="86"/>
    </row>
    <row r="122" spans="1:62" ht="15" customHeight="1">
      <c r="A122" s="35">
        <f t="shared" si="44"/>
        <v>65</v>
      </c>
      <c r="B122" s="87"/>
      <c r="C122" s="36">
        <v>45231</v>
      </c>
      <c r="D122" s="69">
        <v>1268342.8638095239</v>
      </c>
      <c r="E122" s="78">
        <v>1653917.44</v>
      </c>
      <c r="F122" s="78">
        <v>0</v>
      </c>
      <c r="G122" s="37">
        <f t="shared" si="43"/>
        <v>0.05</v>
      </c>
      <c r="H122" s="70">
        <f t="shared" si="45"/>
        <v>-82695.872000000003</v>
      </c>
      <c r="I122" s="70">
        <f t="shared" si="29"/>
        <v>85830.624500000005</v>
      </c>
      <c r="J122" s="79">
        <f t="shared" si="34"/>
        <v>753589.34534697421</v>
      </c>
      <c r="K122" s="79">
        <f t="shared" si="35"/>
        <v>46</v>
      </c>
      <c r="L122" s="79">
        <f t="shared" si="17"/>
        <v>3678984.4016564982</v>
      </c>
      <c r="M122" s="70"/>
      <c r="N122" s="70"/>
      <c r="O122" s="481"/>
      <c r="P122" s="84">
        <v>0</v>
      </c>
      <c r="Q122" s="80">
        <v>0</v>
      </c>
      <c r="R122" s="81">
        <v>0</v>
      </c>
      <c r="S122" s="81">
        <v>0</v>
      </c>
      <c r="T122" s="81">
        <v>0</v>
      </c>
      <c r="U122" s="81">
        <v>0</v>
      </c>
      <c r="V122" s="81">
        <v>0</v>
      </c>
      <c r="W122" s="80">
        <v>0</v>
      </c>
      <c r="X122" s="82">
        <v>0</v>
      </c>
      <c r="Y122" s="189">
        <v>0</v>
      </c>
      <c r="Z122" s="189">
        <v>0</v>
      </c>
      <c r="AA122" s="85">
        <v>0</v>
      </c>
      <c r="AB122" s="85">
        <v>-29065.636383928573</v>
      </c>
      <c r="AC122" s="103">
        <v>-34971.49</v>
      </c>
      <c r="AD122" s="85">
        <v>0</v>
      </c>
      <c r="AE122" s="85">
        <v>0</v>
      </c>
      <c r="AF122" s="191">
        <v>0</v>
      </c>
      <c r="AG122" s="83">
        <v>0</v>
      </c>
      <c r="AH122" s="69">
        <f t="shared" si="30"/>
        <v>-220469.89239564675</v>
      </c>
      <c r="AI122" s="288">
        <v>-9209.81</v>
      </c>
      <c r="AJ122" s="288">
        <v>-7969</v>
      </c>
      <c r="AK122" s="288">
        <v>-14091.823334031285</v>
      </c>
      <c r="AL122" s="288">
        <v>0</v>
      </c>
      <c r="AM122" s="288">
        <f t="shared" si="26"/>
        <v>-44093.978479129357</v>
      </c>
      <c r="AN122" s="288">
        <f t="shared" si="27"/>
        <v>-146979.92826376451</v>
      </c>
      <c r="AO122" s="71"/>
      <c r="AP122" s="84">
        <v>0</v>
      </c>
      <c r="AQ122" s="125">
        <v>0</v>
      </c>
      <c r="AR122" s="133"/>
      <c r="AS122" s="78">
        <f t="shared" si="38"/>
        <v>3678984.4016564982</v>
      </c>
      <c r="AT122" s="70">
        <f t="shared" si="39"/>
        <v>-506851.55885650043</v>
      </c>
      <c r="AU122" s="288">
        <f t="shared" si="32"/>
        <v>3172132.8427999979</v>
      </c>
      <c r="AV122" s="71">
        <f t="shared" si="33"/>
        <v>125119559.55642101</v>
      </c>
      <c r="AW122" s="289"/>
      <c r="AX122" s="82">
        <v>0</v>
      </c>
      <c r="AY122" s="223">
        <v>-263706.03690805379</v>
      </c>
      <c r="AZ122" s="223">
        <v>-474670.86643449671</v>
      </c>
      <c r="BA122" s="223">
        <v>-32223.965194163859</v>
      </c>
      <c r="BB122" s="223">
        <v>0</v>
      </c>
      <c r="BC122" s="223">
        <v>0</v>
      </c>
      <c r="BD122" s="223">
        <f t="shared" si="42"/>
        <v>-770600.86853671435</v>
      </c>
      <c r="BE122" s="83">
        <f t="shared" si="41"/>
        <v>-770600.86853671435</v>
      </c>
      <c r="BF122" s="78">
        <f t="shared" si="31"/>
        <v>2908383.5331197837</v>
      </c>
      <c r="BG122" s="70">
        <f t="shared" si="40"/>
        <v>-506851.55885650043</v>
      </c>
      <c r="BH122" s="70">
        <f t="shared" si="24"/>
        <v>2401531.9742632834</v>
      </c>
      <c r="BI122" s="71">
        <f t="shared" si="25"/>
        <v>112499698.18693723</v>
      </c>
      <c r="BJ122" s="86"/>
    </row>
    <row r="123" spans="1:62" ht="15" customHeight="1">
      <c r="A123" s="35">
        <f t="shared" si="44"/>
        <v>66</v>
      </c>
      <c r="B123" s="87"/>
      <c r="C123" s="36">
        <v>45261</v>
      </c>
      <c r="D123" s="69">
        <v>1268342.8638095239</v>
      </c>
      <c r="E123" s="78">
        <v>1642668.83</v>
      </c>
      <c r="F123" s="78">
        <v>0</v>
      </c>
      <c r="G123" s="37">
        <f t="shared" si="43"/>
        <v>0.05</v>
      </c>
      <c r="H123" s="70">
        <f t="shared" si="45"/>
        <v>-82133.441500000015</v>
      </c>
      <c r="I123" s="70">
        <f t="shared" si="29"/>
        <v>84875.983000000007</v>
      </c>
      <c r="J123" s="79">
        <f t="shared" si="34"/>
        <v>768997.06719236868</v>
      </c>
      <c r="K123" s="79">
        <f t="shared" si="35"/>
        <v>47</v>
      </c>
      <c r="L123" s="79">
        <f t="shared" ref="L123:L185" si="46">SUM(H123:J123,D123:F123)</f>
        <v>3682751.3025018927</v>
      </c>
      <c r="M123" s="70"/>
      <c r="N123" s="70"/>
      <c r="O123" s="481"/>
      <c r="P123" s="84">
        <v>0</v>
      </c>
      <c r="Q123" s="80">
        <v>0</v>
      </c>
      <c r="R123" s="81">
        <v>0</v>
      </c>
      <c r="S123" s="81">
        <v>0</v>
      </c>
      <c r="T123" s="81">
        <v>0</v>
      </c>
      <c r="U123" s="81">
        <v>0</v>
      </c>
      <c r="V123" s="81">
        <v>0</v>
      </c>
      <c r="W123" s="80">
        <v>0</v>
      </c>
      <c r="X123" s="82">
        <v>0</v>
      </c>
      <c r="Y123" s="189">
        <v>0</v>
      </c>
      <c r="Z123" s="189">
        <v>0</v>
      </c>
      <c r="AA123" s="85">
        <v>0</v>
      </c>
      <c r="AB123" s="85">
        <v>-29065.636383928573</v>
      </c>
      <c r="AC123" s="103">
        <v>-34752.559999999998</v>
      </c>
      <c r="AD123" s="85">
        <v>0</v>
      </c>
      <c r="AE123" s="85">
        <v>0</v>
      </c>
      <c r="AF123" s="191">
        <v>0</v>
      </c>
      <c r="AG123" s="83">
        <v>0</v>
      </c>
      <c r="AH123" s="69">
        <f t="shared" si="30"/>
        <v>-220739.06409938989</v>
      </c>
      <c r="AI123" s="288">
        <v>-9209.81</v>
      </c>
      <c r="AJ123" s="288">
        <v>-7969</v>
      </c>
      <c r="AK123" s="288">
        <v>-14033.644126670109</v>
      </c>
      <c r="AL123" s="288">
        <v>0</v>
      </c>
      <c r="AM123" s="288">
        <f t="shared" si="26"/>
        <v>-44147.812819877981</v>
      </c>
      <c r="AN123" s="288">
        <f t="shared" si="27"/>
        <v>-147159.37606625992</v>
      </c>
      <c r="AO123" s="71"/>
      <c r="AP123" s="84">
        <v>0</v>
      </c>
      <c r="AQ123" s="125">
        <v>0</v>
      </c>
      <c r="AR123" s="133"/>
      <c r="AS123" s="78">
        <f t="shared" ref="AS123:AS154" si="47">+L123</f>
        <v>3682751.3025018927</v>
      </c>
      <c r="AT123" s="70">
        <f t="shared" ref="AT123:AT154" si="48">+SUM(P123:AQ123)</f>
        <v>-507076.90349612647</v>
      </c>
      <c r="AU123" s="288">
        <f t="shared" si="32"/>
        <v>3175674.399005766</v>
      </c>
      <c r="AV123" s="71">
        <f t="shared" si="33"/>
        <v>128295233.95542678</v>
      </c>
      <c r="AW123" s="289"/>
      <c r="AX123" s="82">
        <v>0</v>
      </c>
      <c r="AY123" s="223">
        <v>-261884.7481469003</v>
      </c>
      <c r="AZ123" s="223">
        <v>-471392.54666442052</v>
      </c>
      <c r="BA123" s="223">
        <v>-31629.426093294707</v>
      </c>
      <c r="BB123" s="223">
        <v>0</v>
      </c>
      <c r="BC123" s="223">
        <v>0</v>
      </c>
      <c r="BD123" s="223">
        <f t="shared" si="42"/>
        <v>-764906.72090461559</v>
      </c>
      <c r="BE123" s="83">
        <f t="shared" si="41"/>
        <v>-764906.72090461559</v>
      </c>
      <c r="BF123" s="78">
        <f t="shared" si="31"/>
        <v>2917844.581597277</v>
      </c>
      <c r="BG123" s="70">
        <f t="shared" ref="BG123:BG154" si="49">AT123</f>
        <v>-507076.90349612647</v>
      </c>
      <c r="BH123" s="70">
        <f t="shared" si="24"/>
        <v>2410767.6781011503</v>
      </c>
      <c r="BI123" s="71">
        <f t="shared" si="25"/>
        <v>114910465.86503838</v>
      </c>
      <c r="BJ123" s="86"/>
    </row>
    <row r="124" spans="1:62" ht="15" customHeight="1">
      <c r="A124" s="35">
        <f t="shared" si="44"/>
        <v>67</v>
      </c>
      <c r="B124" s="87"/>
      <c r="C124" s="36">
        <v>45292</v>
      </c>
      <c r="D124" s="69">
        <v>1268342.8638095239</v>
      </c>
      <c r="E124" s="78">
        <v>1612768.42</v>
      </c>
      <c r="F124" s="78">
        <v>0</v>
      </c>
      <c r="G124" s="37">
        <f t="shared" si="43"/>
        <v>0.05</v>
      </c>
      <c r="H124" s="70">
        <f t="shared" si="45"/>
        <v>-80638.421000000002</v>
      </c>
      <c r="I124" s="70">
        <f t="shared" si="29"/>
        <v>83235.865000000005</v>
      </c>
      <c r="J124" s="79">
        <f t="shared" si="34"/>
        <v>779309.37418006966</v>
      </c>
      <c r="K124" s="79">
        <f t="shared" si="35"/>
        <v>48</v>
      </c>
      <c r="L124" s="79">
        <f t="shared" si="46"/>
        <v>3663018.1019895934</v>
      </c>
      <c r="M124" s="70"/>
      <c r="N124" s="70"/>
      <c r="O124" s="481"/>
      <c r="P124" s="84">
        <v>0</v>
      </c>
      <c r="Q124" s="80">
        <v>0</v>
      </c>
      <c r="R124" s="81">
        <v>0</v>
      </c>
      <c r="S124" s="81">
        <v>0</v>
      </c>
      <c r="T124" s="81">
        <v>0</v>
      </c>
      <c r="U124" s="81">
        <v>0</v>
      </c>
      <c r="V124" s="81">
        <v>0</v>
      </c>
      <c r="W124" s="80">
        <v>0</v>
      </c>
      <c r="X124" s="82">
        <v>0</v>
      </c>
      <c r="Y124" s="189">
        <v>0</v>
      </c>
      <c r="Z124" s="189">
        <v>0</v>
      </c>
      <c r="AA124" s="85">
        <v>0</v>
      </c>
      <c r="AB124" s="85">
        <v>-29065.636383928573</v>
      </c>
      <c r="AC124" s="103">
        <v>-34201.57</v>
      </c>
      <c r="AD124" s="85">
        <v>0</v>
      </c>
      <c r="AE124" s="85">
        <v>0</v>
      </c>
      <c r="AF124" s="191">
        <v>0</v>
      </c>
      <c r="AG124" s="83">
        <v>0</v>
      </c>
      <c r="AH124" s="69">
        <f t="shared" si="30"/>
        <v>-220965.07815011355</v>
      </c>
      <c r="AI124" s="288">
        <v>-9209.81</v>
      </c>
      <c r="AJ124" s="288">
        <v>-7969</v>
      </c>
      <c r="AK124" s="288">
        <v>-13969.828566740827</v>
      </c>
      <c r="AL124" s="288">
        <v>0</v>
      </c>
      <c r="AM124" s="288">
        <f t="shared" si="26"/>
        <v>-44193.01563002271</v>
      </c>
      <c r="AN124" s="288">
        <f t="shared" si="27"/>
        <v>-147310.0521000757</v>
      </c>
      <c r="AO124" s="71"/>
      <c r="AP124" s="84">
        <v>0</v>
      </c>
      <c r="AQ124" s="125">
        <v>0</v>
      </c>
      <c r="AR124" s="133"/>
      <c r="AS124" s="78">
        <f t="shared" si="47"/>
        <v>3663018.1019895934</v>
      </c>
      <c r="AT124" s="70">
        <f t="shared" si="48"/>
        <v>-506883.99083088135</v>
      </c>
      <c r="AU124" s="288">
        <f t="shared" si="32"/>
        <v>3156134.1111587118</v>
      </c>
      <c r="AV124" s="71">
        <f t="shared" si="33"/>
        <v>131451368.0665855</v>
      </c>
      <c r="AW124" s="289"/>
      <c r="AX124" s="82">
        <v>0</v>
      </c>
      <c r="AY124" s="223">
        <v>-260063.45938574686</v>
      </c>
      <c r="AZ124" s="223">
        <v>-468114.22689434432</v>
      </c>
      <c r="BA124" s="223">
        <v>-31051.744069469874</v>
      </c>
      <c r="BB124" s="223">
        <v>0</v>
      </c>
      <c r="BC124" s="223">
        <v>0</v>
      </c>
      <c r="BD124" s="223">
        <f t="shared" si="42"/>
        <v>-759229.43034956104</v>
      </c>
      <c r="BE124" s="83">
        <f t="shared" ref="BE124:BE155" si="50">SUM(AY124:BC124)</f>
        <v>-759229.43034956104</v>
      </c>
      <c r="BF124" s="78">
        <f t="shared" si="31"/>
        <v>2903788.671640032</v>
      </c>
      <c r="BG124" s="70">
        <f t="shared" si="49"/>
        <v>-506883.99083088135</v>
      </c>
      <c r="BH124" s="70">
        <f t="shared" ref="BH124:BH186" si="51">SUM(BF124:BG124)</f>
        <v>2396904.6808091504</v>
      </c>
      <c r="BI124" s="71">
        <f t="shared" ref="BI124:BI180" si="52">BH124+BI123</f>
        <v>117307370.54584754</v>
      </c>
      <c r="BJ124" s="86"/>
    </row>
    <row r="125" spans="1:62" ht="15" customHeight="1">
      <c r="A125" s="35">
        <f t="shared" si="44"/>
        <v>68</v>
      </c>
      <c r="B125" s="87"/>
      <c r="C125" s="36">
        <v>45323</v>
      </c>
      <c r="D125" s="69">
        <v>1268342.8638095239</v>
      </c>
      <c r="E125" s="78">
        <v>1579437.38</v>
      </c>
      <c r="F125" s="78">
        <v>0</v>
      </c>
      <c r="G125" s="37">
        <f t="shared" si="43"/>
        <v>0.05</v>
      </c>
      <c r="H125" s="70">
        <f t="shared" si="45"/>
        <v>-78971.869000000006</v>
      </c>
      <c r="I125" s="70">
        <f t="shared" si="29"/>
        <v>82695.872000000003</v>
      </c>
      <c r="J125" s="79">
        <f t="shared" si="34"/>
        <v>788384.05879674107</v>
      </c>
      <c r="K125" s="79">
        <f t="shared" si="35"/>
        <v>49</v>
      </c>
      <c r="L125" s="79">
        <f t="shared" si="46"/>
        <v>3639888.3056062646</v>
      </c>
      <c r="M125" s="70"/>
      <c r="N125" s="70"/>
      <c r="O125" s="481"/>
      <c r="P125" s="84">
        <v>0</v>
      </c>
      <c r="Q125" s="80">
        <v>0</v>
      </c>
      <c r="R125" s="81">
        <v>0</v>
      </c>
      <c r="S125" s="81">
        <v>0</v>
      </c>
      <c r="T125" s="81">
        <v>0</v>
      </c>
      <c r="U125" s="81">
        <v>0</v>
      </c>
      <c r="V125" s="81">
        <v>0</v>
      </c>
      <c r="W125" s="80">
        <v>0</v>
      </c>
      <c r="X125" s="82">
        <v>0</v>
      </c>
      <c r="Y125" s="189">
        <v>0</v>
      </c>
      <c r="Z125" s="189">
        <v>0</v>
      </c>
      <c r="AA125" s="85">
        <v>0</v>
      </c>
      <c r="AB125" s="85">
        <v>-29065.636383928573</v>
      </c>
      <c r="AC125" s="103">
        <v>-33563.519999999997</v>
      </c>
      <c r="AD125" s="85">
        <v>0</v>
      </c>
      <c r="AE125" s="85">
        <v>0</v>
      </c>
      <c r="AF125" s="191">
        <v>0</v>
      </c>
      <c r="AG125" s="83">
        <v>0</v>
      </c>
      <c r="AH125" s="69">
        <f t="shared" si="30"/>
        <v>-219781.0861193756</v>
      </c>
      <c r="AI125" s="288">
        <v>-9209.81</v>
      </c>
      <c r="AJ125" s="288">
        <v>-7969</v>
      </c>
      <c r="AK125" s="288">
        <v>-13802.123993179768</v>
      </c>
      <c r="AL125" s="288">
        <v>0</v>
      </c>
      <c r="AM125" s="288">
        <f t="shared" ref="AM125:AM186" si="53">-L124*1.2%</f>
        <v>-43956.217223875123</v>
      </c>
      <c r="AN125" s="288">
        <f t="shared" ref="AN125:AN186" si="54">-L124*4%</f>
        <v>-146520.72407958374</v>
      </c>
      <c r="AO125" s="71"/>
      <c r="AP125" s="84">
        <v>0</v>
      </c>
      <c r="AQ125" s="125">
        <v>0</v>
      </c>
      <c r="AR125" s="133"/>
      <c r="AS125" s="78">
        <f t="shared" si="47"/>
        <v>3639888.3056062646</v>
      </c>
      <c r="AT125" s="70">
        <f t="shared" si="48"/>
        <v>-503868.11779994273</v>
      </c>
      <c r="AU125" s="288">
        <f t="shared" si="32"/>
        <v>3136020.1878063218</v>
      </c>
      <c r="AV125" s="71">
        <f t="shared" si="33"/>
        <v>134587388.25439182</v>
      </c>
      <c r="AW125" s="289"/>
      <c r="AX125" s="82">
        <v>0</v>
      </c>
      <c r="AY125" s="223">
        <v>-258242.17062459342</v>
      </c>
      <c r="AZ125" s="223">
        <v>-464835.90712426812</v>
      </c>
      <c r="BA125" s="223">
        <v>-30490.441170867423</v>
      </c>
      <c r="BB125" s="223">
        <v>0</v>
      </c>
      <c r="BC125" s="223">
        <v>0</v>
      </c>
      <c r="BD125" s="223">
        <f t="shared" ref="BD125:BD156" si="55">SUM(AX125:BB125)</f>
        <v>-753568.51891972893</v>
      </c>
      <c r="BE125" s="83">
        <f t="shared" si="50"/>
        <v>-753568.51891972893</v>
      </c>
      <c r="BF125" s="78">
        <f t="shared" ref="BF125:BF185" si="56">L125+AX125+AY125+BA125+BB125+BC125+AZ125</f>
        <v>2886319.7866865359</v>
      </c>
      <c r="BG125" s="70">
        <f t="shared" si="49"/>
        <v>-503868.11779994273</v>
      </c>
      <c r="BH125" s="70">
        <f t="shared" si="51"/>
        <v>2382451.6688865931</v>
      </c>
      <c r="BI125" s="71">
        <f t="shared" si="52"/>
        <v>119689822.21473412</v>
      </c>
      <c r="BJ125" s="86"/>
    </row>
    <row r="126" spans="1:62" ht="15" customHeight="1">
      <c r="A126" s="35">
        <f t="shared" si="44"/>
        <v>69</v>
      </c>
      <c r="B126" s="87"/>
      <c r="C126" s="36">
        <v>45352</v>
      </c>
      <c r="D126" s="69">
        <v>1268342.8638095239</v>
      </c>
      <c r="E126" s="78">
        <v>1545628.39</v>
      </c>
      <c r="F126" s="78">
        <v>0</v>
      </c>
      <c r="G126" s="37">
        <f t="shared" si="43"/>
        <v>0.05</v>
      </c>
      <c r="H126" s="70">
        <f t="shared" si="45"/>
        <v>-77281.419500000004</v>
      </c>
      <c r="I126" s="70">
        <f t="shared" ref="I126:I186" si="57">-H123</f>
        <v>82133.441500000015</v>
      </c>
      <c r="J126" s="79">
        <f t="shared" si="34"/>
        <v>796989.30156487972</v>
      </c>
      <c r="K126" s="79">
        <f t="shared" si="35"/>
        <v>50</v>
      </c>
      <c r="L126" s="79">
        <f t="shared" si="46"/>
        <v>3615812.5773744034</v>
      </c>
      <c r="M126" s="70"/>
      <c r="N126" s="70"/>
      <c r="O126" s="481"/>
      <c r="P126" s="84">
        <v>0</v>
      </c>
      <c r="Q126" s="80">
        <v>0</v>
      </c>
      <c r="R126" s="81">
        <v>0</v>
      </c>
      <c r="S126" s="81">
        <v>0</v>
      </c>
      <c r="T126" s="81">
        <v>0</v>
      </c>
      <c r="U126" s="81">
        <v>0</v>
      </c>
      <c r="V126" s="81">
        <v>0</v>
      </c>
      <c r="W126" s="80">
        <v>0</v>
      </c>
      <c r="X126" s="82">
        <v>0</v>
      </c>
      <c r="Y126" s="189">
        <v>0</v>
      </c>
      <c r="Z126" s="189">
        <v>0</v>
      </c>
      <c r="AA126" s="85">
        <v>0</v>
      </c>
      <c r="AB126" s="85">
        <v>-29065.636383928573</v>
      </c>
      <c r="AC126" s="103">
        <v>-32918.46</v>
      </c>
      <c r="AD126" s="85">
        <v>0</v>
      </c>
      <c r="AE126" s="85">
        <v>0</v>
      </c>
      <c r="AF126" s="191">
        <v>0</v>
      </c>
      <c r="AG126" s="83">
        <v>0</v>
      </c>
      <c r="AH126" s="69">
        <f t="shared" ref="AH126:AH185" si="58">-L125*6%</f>
        <v>-218393.29833637588</v>
      </c>
      <c r="AI126" s="288">
        <v>-9209.81</v>
      </c>
      <c r="AJ126" s="288">
        <v>-7969</v>
      </c>
      <c r="AK126" s="288">
        <v>-13630.328868389215</v>
      </c>
      <c r="AL126" s="288">
        <v>0</v>
      </c>
      <c r="AM126" s="288">
        <f t="shared" si="53"/>
        <v>-43678.659667275177</v>
      </c>
      <c r="AN126" s="288">
        <f t="shared" si="54"/>
        <v>-145595.53222425058</v>
      </c>
      <c r="AO126" s="71"/>
      <c r="AP126" s="84">
        <v>0</v>
      </c>
      <c r="AQ126" s="125">
        <v>0</v>
      </c>
      <c r="AR126" s="133"/>
      <c r="AS126" s="78">
        <f t="shared" si="47"/>
        <v>3615812.5773744034</v>
      </c>
      <c r="AT126" s="70">
        <f t="shared" si="48"/>
        <v>-500460.72548021947</v>
      </c>
      <c r="AU126" s="288">
        <f t="shared" si="32"/>
        <v>3115351.851894184</v>
      </c>
      <c r="AV126" s="71">
        <f t="shared" si="33"/>
        <v>137702740.10628599</v>
      </c>
      <c r="AW126" s="289"/>
      <c r="AX126" s="82">
        <v>0</v>
      </c>
      <c r="AY126" s="223">
        <v>-256420.88186343995</v>
      </c>
      <c r="AZ126" s="223">
        <v>-461557.58735419187</v>
      </c>
      <c r="BA126" s="223">
        <v>-29945.052997121769</v>
      </c>
      <c r="BB126" s="223">
        <v>0</v>
      </c>
      <c r="BC126" s="223">
        <v>0</v>
      </c>
      <c r="BD126" s="223">
        <f t="shared" si="55"/>
        <v>-747923.52221475367</v>
      </c>
      <c r="BE126" s="83">
        <f t="shared" si="50"/>
        <v>-747923.52221475367</v>
      </c>
      <c r="BF126" s="78">
        <f t="shared" si="56"/>
        <v>2867889.0551596498</v>
      </c>
      <c r="BG126" s="70">
        <f t="shared" si="49"/>
        <v>-500460.72548021947</v>
      </c>
      <c r="BH126" s="70">
        <f t="shared" si="51"/>
        <v>2367428.3296794305</v>
      </c>
      <c r="BI126" s="71">
        <f t="shared" si="52"/>
        <v>122057250.54441355</v>
      </c>
      <c r="BJ126" s="86"/>
    </row>
    <row r="127" spans="1:62" ht="15" customHeight="1">
      <c r="A127" s="35">
        <f t="shared" si="44"/>
        <v>70</v>
      </c>
      <c r="B127" s="87"/>
      <c r="C127" s="36">
        <v>45383</v>
      </c>
      <c r="D127" s="69">
        <v>1268342.8638095239</v>
      </c>
      <c r="E127" s="78">
        <v>1502945.48</v>
      </c>
      <c r="F127" s="78">
        <v>0</v>
      </c>
      <c r="G127" s="37">
        <f t="shared" si="43"/>
        <v>0.05</v>
      </c>
      <c r="H127" s="70">
        <f t="shared" si="45"/>
        <v>-75147.274000000005</v>
      </c>
      <c r="I127" s="70">
        <f t="shared" si="57"/>
        <v>80638.421000000002</v>
      </c>
      <c r="J127" s="79">
        <f t="shared" si="34"/>
        <v>802681.34331334569</v>
      </c>
      <c r="K127" s="79">
        <f t="shared" si="35"/>
        <v>51</v>
      </c>
      <c r="L127" s="79">
        <f t="shared" si="46"/>
        <v>3579460.8341228697</v>
      </c>
      <c r="M127" s="70"/>
      <c r="N127" s="70"/>
      <c r="O127" s="481"/>
      <c r="P127" s="84">
        <v>0</v>
      </c>
      <c r="Q127" s="80">
        <v>0</v>
      </c>
      <c r="R127" s="81">
        <v>0</v>
      </c>
      <c r="S127" s="81">
        <v>0</v>
      </c>
      <c r="T127" s="81">
        <v>0</v>
      </c>
      <c r="U127" s="81">
        <v>0</v>
      </c>
      <c r="V127" s="81">
        <v>0</v>
      </c>
      <c r="W127" s="80">
        <v>0</v>
      </c>
      <c r="X127" s="82">
        <v>0</v>
      </c>
      <c r="Y127" s="189">
        <v>0</v>
      </c>
      <c r="Z127" s="189">
        <v>0</v>
      </c>
      <c r="AA127" s="85">
        <v>0</v>
      </c>
      <c r="AB127" s="85">
        <v>-29065.636383928573</v>
      </c>
      <c r="AC127" s="103">
        <v>-31946.34</v>
      </c>
      <c r="AD127" s="85">
        <v>0</v>
      </c>
      <c r="AE127" s="85">
        <v>0</v>
      </c>
      <c r="AF127" s="191">
        <v>0</v>
      </c>
      <c r="AG127" s="83">
        <v>0</v>
      </c>
      <c r="AH127" s="69">
        <f t="shared" si="58"/>
        <v>-216948.75464246419</v>
      </c>
      <c r="AI127" s="288">
        <v>-9209.81</v>
      </c>
      <c r="AJ127" s="288">
        <v>-23969</v>
      </c>
      <c r="AK127" s="288">
        <v>-13452.858169797679</v>
      </c>
      <c r="AL127" s="288">
        <v>0</v>
      </c>
      <c r="AM127" s="288">
        <f t="shared" si="53"/>
        <v>-43389.750928492838</v>
      </c>
      <c r="AN127" s="288">
        <f t="shared" si="54"/>
        <v>-144632.50309497613</v>
      </c>
      <c r="AO127" s="71"/>
      <c r="AP127" s="84">
        <v>0</v>
      </c>
      <c r="AQ127" s="125">
        <v>0</v>
      </c>
      <c r="AR127" s="133"/>
      <c r="AS127" s="78">
        <f t="shared" si="47"/>
        <v>3579460.8341228697</v>
      </c>
      <c r="AT127" s="70">
        <f t="shared" si="48"/>
        <v>-512614.65321965941</v>
      </c>
      <c r="AU127" s="288">
        <f t="shared" si="32"/>
        <v>3066846.1809032103</v>
      </c>
      <c r="AV127" s="71">
        <f t="shared" si="33"/>
        <v>140769586.28718919</v>
      </c>
      <c r="AW127" s="289"/>
      <c r="AX127" s="82">
        <v>0</v>
      </c>
      <c r="AY127" s="223">
        <v>-254599.59310228651</v>
      </c>
      <c r="AZ127" s="223">
        <v>-458279.26758411567</v>
      </c>
      <c r="BA127" s="223">
        <v>-29415.128315096772</v>
      </c>
      <c r="BB127" s="223">
        <v>0</v>
      </c>
      <c r="BC127" s="223">
        <v>0</v>
      </c>
      <c r="BD127" s="223">
        <f t="shared" si="55"/>
        <v>-742293.98900149891</v>
      </c>
      <c r="BE127" s="83">
        <f t="shared" si="50"/>
        <v>-742293.98900149891</v>
      </c>
      <c r="BF127" s="78">
        <f t="shared" si="56"/>
        <v>2837166.8451213706</v>
      </c>
      <c r="BG127" s="70">
        <f t="shared" si="49"/>
        <v>-512614.65321965941</v>
      </c>
      <c r="BH127" s="70">
        <f t="shared" si="51"/>
        <v>2324552.1919017113</v>
      </c>
      <c r="BI127" s="71">
        <f t="shared" si="52"/>
        <v>124381802.73631527</v>
      </c>
      <c r="BJ127" s="86"/>
    </row>
    <row r="128" spans="1:62" ht="15" customHeight="1">
      <c r="A128" s="35">
        <f t="shared" si="44"/>
        <v>71</v>
      </c>
      <c r="B128" s="87"/>
      <c r="C128" s="36">
        <v>45413</v>
      </c>
      <c r="D128" s="69">
        <v>1268342.8638095239</v>
      </c>
      <c r="E128" s="78">
        <v>1488511.76</v>
      </c>
      <c r="F128" s="78">
        <v>0</v>
      </c>
      <c r="G128" s="37">
        <f t="shared" si="43"/>
        <v>0.05</v>
      </c>
      <c r="H128" s="70">
        <f t="shared" si="45"/>
        <v>-74425.588000000003</v>
      </c>
      <c r="I128" s="70">
        <f t="shared" si="57"/>
        <v>78971.869000000006</v>
      </c>
      <c r="J128" s="79">
        <f t="shared" si="34"/>
        <v>816277.50937526254</v>
      </c>
      <c r="K128" s="79">
        <f t="shared" si="35"/>
        <v>52</v>
      </c>
      <c r="L128" s="79">
        <f t="shared" si="46"/>
        <v>3577678.4141847864</v>
      </c>
      <c r="M128" s="70"/>
      <c r="N128" s="70"/>
      <c r="O128" s="481"/>
      <c r="P128" s="84">
        <v>0</v>
      </c>
      <c r="Q128" s="80">
        <v>0</v>
      </c>
      <c r="R128" s="81">
        <v>0</v>
      </c>
      <c r="S128" s="81">
        <v>0</v>
      </c>
      <c r="T128" s="81">
        <v>0</v>
      </c>
      <c r="U128" s="81">
        <v>0</v>
      </c>
      <c r="V128" s="81">
        <v>0</v>
      </c>
      <c r="W128" s="80">
        <v>0</v>
      </c>
      <c r="X128" s="82">
        <v>0</v>
      </c>
      <c r="Y128" s="189">
        <v>0</v>
      </c>
      <c r="Z128" s="189">
        <v>0</v>
      </c>
      <c r="AA128" s="85">
        <v>0</v>
      </c>
      <c r="AB128" s="85">
        <v>-29065.636383928573</v>
      </c>
      <c r="AC128" s="103">
        <v>-31467.73</v>
      </c>
      <c r="AD128" s="85">
        <v>0</v>
      </c>
      <c r="AE128" s="85">
        <v>0</v>
      </c>
      <c r="AF128" s="191">
        <v>0</v>
      </c>
      <c r="AG128" s="83">
        <v>0</v>
      </c>
      <c r="AH128" s="69">
        <f t="shared" si="58"/>
        <v>-214767.65004737218</v>
      </c>
      <c r="AI128" s="288">
        <v>-9209.81</v>
      </c>
      <c r="AJ128" s="288">
        <v>-23969</v>
      </c>
      <c r="AK128" s="288">
        <v>-13232.765262340678</v>
      </c>
      <c r="AL128" s="288">
        <v>0</v>
      </c>
      <c r="AM128" s="288">
        <f t="shared" si="53"/>
        <v>-42953.530009474438</v>
      </c>
      <c r="AN128" s="288">
        <f t="shared" si="54"/>
        <v>-143178.43336491479</v>
      </c>
      <c r="AO128" s="71"/>
      <c r="AP128" s="84">
        <v>0</v>
      </c>
      <c r="AQ128" s="125">
        <v>0</v>
      </c>
      <c r="AR128" s="133"/>
      <c r="AS128" s="78">
        <f t="shared" si="47"/>
        <v>3577678.4141847864</v>
      </c>
      <c r="AT128" s="70">
        <f t="shared" si="48"/>
        <v>-507844.55506803066</v>
      </c>
      <c r="AU128" s="288">
        <f t="shared" si="32"/>
        <v>3069833.8591167559</v>
      </c>
      <c r="AV128" s="71">
        <f t="shared" si="33"/>
        <v>143839420.14630595</v>
      </c>
      <c r="AW128" s="289"/>
      <c r="AX128" s="82">
        <v>0</v>
      </c>
      <c r="AY128" s="223">
        <v>-252778.30434113304</v>
      </c>
      <c r="AZ128" s="223">
        <v>-455000.94781403948</v>
      </c>
      <c r="BA128" s="223">
        <v>-28900.2286855528</v>
      </c>
      <c r="BB128" s="223">
        <v>0</v>
      </c>
      <c r="BC128" s="223">
        <v>0</v>
      </c>
      <c r="BD128" s="223">
        <f t="shared" si="55"/>
        <v>-736679.48084072536</v>
      </c>
      <c r="BE128" s="83">
        <f t="shared" si="50"/>
        <v>-736679.48084072536</v>
      </c>
      <c r="BF128" s="78">
        <f t="shared" si="56"/>
        <v>2840998.933344061</v>
      </c>
      <c r="BG128" s="70">
        <f t="shared" si="49"/>
        <v>-507844.55506803066</v>
      </c>
      <c r="BH128" s="70">
        <f t="shared" si="51"/>
        <v>2333154.3782760305</v>
      </c>
      <c r="BI128" s="71">
        <f t="shared" si="52"/>
        <v>126714957.1145913</v>
      </c>
      <c r="BJ128" s="86"/>
    </row>
    <row r="129" spans="1:62" ht="15" customHeight="1">
      <c r="A129" s="35">
        <f t="shared" si="44"/>
        <v>72</v>
      </c>
      <c r="B129" s="87"/>
      <c r="C129" s="36">
        <v>45444</v>
      </c>
      <c r="D129" s="69">
        <v>1268342.8638095239</v>
      </c>
      <c r="E129" s="78">
        <v>1469713.09</v>
      </c>
      <c r="F129" s="78">
        <v>0</v>
      </c>
      <c r="G129" s="37">
        <f t="shared" si="43"/>
        <v>0.05</v>
      </c>
      <c r="H129" s="70">
        <f t="shared" si="45"/>
        <v>-73485.654500000004</v>
      </c>
      <c r="I129" s="70">
        <f t="shared" si="57"/>
        <v>77281.419500000004</v>
      </c>
      <c r="J129" s="79">
        <f t="shared" si="34"/>
        <v>828455.24509551376</v>
      </c>
      <c r="K129" s="79">
        <f t="shared" si="35"/>
        <v>53</v>
      </c>
      <c r="L129" s="79">
        <f t="shared" si="46"/>
        <v>3570306.9639050374</v>
      </c>
      <c r="M129" s="70"/>
      <c r="N129" s="70"/>
      <c r="O129" s="481"/>
      <c r="P129" s="84">
        <v>0</v>
      </c>
      <c r="Q129" s="80">
        <v>0</v>
      </c>
      <c r="R129" s="81">
        <v>0</v>
      </c>
      <c r="S129" s="81">
        <v>0</v>
      </c>
      <c r="T129" s="81">
        <v>0</v>
      </c>
      <c r="U129" s="81">
        <v>0</v>
      </c>
      <c r="V129" s="81">
        <v>0</v>
      </c>
      <c r="W129" s="80">
        <v>0</v>
      </c>
      <c r="X129" s="82">
        <v>0</v>
      </c>
      <c r="Y129" s="189">
        <v>0</v>
      </c>
      <c r="Z129" s="189">
        <v>0</v>
      </c>
      <c r="AA129" s="85">
        <v>0</v>
      </c>
      <c r="AB129" s="85">
        <v>-29065.636383928573</v>
      </c>
      <c r="AC129" s="103">
        <v>-30953.71</v>
      </c>
      <c r="AD129" s="85">
        <v>0</v>
      </c>
      <c r="AE129" s="85">
        <v>0</v>
      </c>
      <c r="AF129" s="191">
        <v>0</v>
      </c>
      <c r="AG129" s="83">
        <v>0</v>
      </c>
      <c r="AH129" s="69">
        <f t="shared" si="58"/>
        <v>-214660.70485108718</v>
      </c>
      <c r="AI129" s="288">
        <v>-9209.81</v>
      </c>
      <c r="AJ129" s="288">
        <v>-7969</v>
      </c>
      <c r="AK129" s="288">
        <v>-13143.235382819434</v>
      </c>
      <c r="AL129" s="288">
        <v>0</v>
      </c>
      <c r="AM129" s="288">
        <f t="shared" si="53"/>
        <v>-42932.140970217435</v>
      </c>
      <c r="AN129" s="288">
        <f t="shared" si="54"/>
        <v>-143107.13656739146</v>
      </c>
      <c r="AO129" s="71"/>
      <c r="AP129" s="84">
        <v>0</v>
      </c>
      <c r="AQ129" s="125">
        <v>0</v>
      </c>
      <c r="AR129" s="133"/>
      <c r="AS129" s="78">
        <f t="shared" si="47"/>
        <v>3570306.9639050374</v>
      </c>
      <c r="AT129" s="70">
        <f t="shared" si="48"/>
        <v>-491041.37415544403</v>
      </c>
      <c r="AU129" s="288">
        <f t="shared" si="32"/>
        <v>3079265.5897495933</v>
      </c>
      <c r="AV129" s="71">
        <f t="shared" si="33"/>
        <v>146918685.73605555</v>
      </c>
      <c r="AW129" s="289"/>
      <c r="AX129" s="82">
        <v>0</v>
      </c>
      <c r="AY129" s="223">
        <v>-250957.01557997958</v>
      </c>
      <c r="AZ129" s="223">
        <v>-451722.62804396322</v>
      </c>
      <c r="BA129" s="223">
        <v>-28399.928100399055</v>
      </c>
      <c r="BB129" s="223">
        <v>0</v>
      </c>
      <c r="BC129" s="223">
        <v>0</v>
      </c>
      <c r="BD129" s="223">
        <f t="shared" si="55"/>
        <v>-731079.57172434183</v>
      </c>
      <c r="BE129" s="83">
        <f t="shared" si="50"/>
        <v>-731079.57172434183</v>
      </c>
      <c r="BF129" s="78">
        <f t="shared" si="56"/>
        <v>2839227.3921806957</v>
      </c>
      <c r="BG129" s="70">
        <f t="shared" si="49"/>
        <v>-491041.37415544403</v>
      </c>
      <c r="BH129" s="70">
        <f t="shared" si="51"/>
        <v>2348186.0180252516</v>
      </c>
      <c r="BI129" s="71">
        <f t="shared" si="52"/>
        <v>129063143.13261655</v>
      </c>
      <c r="BJ129" s="86"/>
    </row>
    <row r="130" spans="1:62" ht="15" customHeight="1">
      <c r="A130" s="35">
        <f t="shared" si="44"/>
        <v>73</v>
      </c>
      <c r="B130" s="87"/>
      <c r="C130" s="36">
        <v>45474</v>
      </c>
      <c r="D130" s="69">
        <v>1268342.8638095239</v>
      </c>
      <c r="E130" s="78">
        <v>1440998.3999999999</v>
      </c>
      <c r="F130" s="78">
        <v>0</v>
      </c>
      <c r="G130" s="37">
        <f t="shared" si="43"/>
        <v>0.05</v>
      </c>
      <c r="H130" s="70">
        <f t="shared" si="45"/>
        <v>-72049.919999999998</v>
      </c>
      <c r="I130" s="70">
        <f t="shared" si="57"/>
        <v>75147.274000000005</v>
      </c>
      <c r="J130" s="79">
        <f t="shared" si="34"/>
        <v>837412.5654231878</v>
      </c>
      <c r="K130" s="79">
        <f t="shared" si="35"/>
        <v>54</v>
      </c>
      <c r="L130" s="79">
        <f t="shared" si="46"/>
        <v>3549851.1832327116</v>
      </c>
      <c r="M130" s="70"/>
      <c r="N130" s="70"/>
      <c r="O130" s="481"/>
      <c r="P130" s="84">
        <v>0</v>
      </c>
      <c r="Q130" s="80">
        <v>0</v>
      </c>
      <c r="R130" s="81">
        <v>0</v>
      </c>
      <c r="S130" s="81">
        <v>0</v>
      </c>
      <c r="T130" s="81">
        <v>0</v>
      </c>
      <c r="U130" s="81">
        <v>0</v>
      </c>
      <c r="V130" s="81">
        <v>0</v>
      </c>
      <c r="W130" s="80">
        <v>0</v>
      </c>
      <c r="X130" s="82">
        <v>0</v>
      </c>
      <c r="Y130" s="189">
        <v>0</v>
      </c>
      <c r="Z130" s="189">
        <v>0</v>
      </c>
      <c r="AA130" s="85">
        <v>0</v>
      </c>
      <c r="AB130" s="85">
        <v>-29065.636383928573</v>
      </c>
      <c r="AC130" s="103">
        <v>-30308.98</v>
      </c>
      <c r="AD130" s="85">
        <v>0</v>
      </c>
      <c r="AE130" s="85">
        <v>0</v>
      </c>
      <c r="AF130" s="191">
        <v>0</v>
      </c>
      <c r="AG130" s="83">
        <v>0</v>
      </c>
      <c r="AH130" s="69">
        <f t="shared" si="58"/>
        <v>-214218.41783430224</v>
      </c>
      <c r="AI130" s="288">
        <v>-9209.81</v>
      </c>
      <c r="AJ130" s="288">
        <v>-1000</v>
      </c>
      <c r="AK130" s="288">
        <v>-13016.683653897662</v>
      </c>
      <c r="AL130" s="288">
        <v>0</v>
      </c>
      <c r="AM130" s="288">
        <f t="shared" si="53"/>
        <v>-42843.683566860447</v>
      </c>
      <c r="AN130" s="288">
        <f t="shared" si="54"/>
        <v>-142812.27855620149</v>
      </c>
      <c r="AO130" s="71"/>
      <c r="AP130" s="84">
        <v>0</v>
      </c>
      <c r="AQ130" s="125">
        <v>0</v>
      </c>
      <c r="AR130" s="133"/>
      <c r="AS130" s="78">
        <f t="shared" si="47"/>
        <v>3549851.1832327116</v>
      </c>
      <c r="AT130" s="70">
        <f t="shared" si="48"/>
        <v>-482475.48999519041</v>
      </c>
      <c r="AU130" s="288">
        <f t="shared" si="32"/>
        <v>3067375.6932375212</v>
      </c>
      <c r="AV130" s="71">
        <f t="shared" si="33"/>
        <v>149986061.42929307</v>
      </c>
      <c r="AW130" s="289"/>
      <c r="AX130" s="82">
        <v>0</v>
      </c>
      <c r="AY130" s="223">
        <v>-249135.72681882611</v>
      </c>
      <c r="AZ130" s="223">
        <v>-448444.30827388703</v>
      </c>
      <c r="BA130" s="223">
        <v>-27913.812630230896</v>
      </c>
      <c r="BB130" s="223">
        <v>0</v>
      </c>
      <c r="BC130" s="223">
        <v>0</v>
      </c>
      <c r="BD130" s="223">
        <f t="shared" si="55"/>
        <v>-725493.84772294399</v>
      </c>
      <c r="BE130" s="83">
        <f t="shared" si="50"/>
        <v>-725493.84772294399</v>
      </c>
      <c r="BF130" s="78">
        <f t="shared" si="56"/>
        <v>2824357.3355097678</v>
      </c>
      <c r="BG130" s="70">
        <f t="shared" si="49"/>
        <v>-482475.48999519041</v>
      </c>
      <c r="BH130" s="70">
        <f t="shared" si="51"/>
        <v>2341881.8455145773</v>
      </c>
      <c r="BI130" s="71">
        <f t="shared" si="52"/>
        <v>131405024.97813113</v>
      </c>
      <c r="BJ130" s="86"/>
    </row>
    <row r="131" spans="1:62" ht="15" customHeight="1">
      <c r="A131" s="35">
        <f t="shared" si="44"/>
        <v>74</v>
      </c>
      <c r="B131" s="87"/>
      <c r="C131" s="36">
        <v>45505</v>
      </c>
      <c r="D131" s="69">
        <v>1268342.8638095239</v>
      </c>
      <c r="E131" s="78">
        <v>1395045.23</v>
      </c>
      <c r="F131" s="78">
        <v>0</v>
      </c>
      <c r="G131" s="37">
        <f t="shared" si="43"/>
        <v>0.05</v>
      </c>
      <c r="H131" s="70">
        <f t="shared" si="45"/>
        <v>-69752.261500000008</v>
      </c>
      <c r="I131" s="70">
        <f t="shared" si="57"/>
        <v>74425.588000000003</v>
      </c>
      <c r="J131" s="79">
        <f t="shared" si="34"/>
        <v>840642.18722835183</v>
      </c>
      <c r="K131" s="79">
        <f t="shared" si="35"/>
        <v>55</v>
      </c>
      <c r="L131" s="79">
        <f t="shared" si="46"/>
        <v>3508703.6075378754</v>
      </c>
      <c r="M131" s="70"/>
      <c r="N131" s="70"/>
      <c r="O131" s="481"/>
      <c r="P131" s="84">
        <v>0</v>
      </c>
      <c r="Q131" s="80">
        <v>0</v>
      </c>
      <c r="R131" s="81">
        <v>0</v>
      </c>
      <c r="S131" s="81">
        <v>0</v>
      </c>
      <c r="T131" s="81">
        <v>0</v>
      </c>
      <c r="U131" s="81">
        <v>0</v>
      </c>
      <c r="V131" s="81">
        <v>0</v>
      </c>
      <c r="W131" s="80">
        <v>0</v>
      </c>
      <c r="X131" s="82">
        <v>0</v>
      </c>
      <c r="Y131" s="189">
        <v>0</v>
      </c>
      <c r="Z131" s="189">
        <v>0</v>
      </c>
      <c r="AA131" s="85">
        <v>0</v>
      </c>
      <c r="AB131" s="85">
        <v>-29065.636383928573</v>
      </c>
      <c r="AC131" s="103">
        <v>-29014.29</v>
      </c>
      <c r="AD131" s="85">
        <v>0</v>
      </c>
      <c r="AE131" s="85">
        <v>0</v>
      </c>
      <c r="AF131" s="191">
        <v>0</v>
      </c>
      <c r="AG131" s="83">
        <v>0</v>
      </c>
      <c r="AH131" s="69">
        <f t="shared" si="58"/>
        <v>-212991.0709939627</v>
      </c>
      <c r="AI131" s="288">
        <v>-9209.81</v>
      </c>
      <c r="AJ131" s="288">
        <v>-1000</v>
      </c>
      <c r="AK131" s="288">
        <v>-12864.609005217795</v>
      </c>
      <c r="AL131" s="288">
        <v>0</v>
      </c>
      <c r="AM131" s="288">
        <f t="shared" si="53"/>
        <v>-42598.214198792542</v>
      </c>
      <c r="AN131" s="288">
        <f t="shared" si="54"/>
        <v>-141994.04732930847</v>
      </c>
      <c r="AO131" s="71"/>
      <c r="AP131" s="84">
        <v>0</v>
      </c>
      <c r="AQ131" s="125">
        <v>0</v>
      </c>
      <c r="AR131" s="133"/>
      <c r="AS131" s="78">
        <f t="shared" si="47"/>
        <v>3508703.6075378754</v>
      </c>
      <c r="AT131" s="70">
        <f t="shared" si="48"/>
        <v>-478737.67791121005</v>
      </c>
      <c r="AU131" s="288">
        <f t="shared" si="32"/>
        <v>3029965.9296266655</v>
      </c>
      <c r="AV131" s="71">
        <f t="shared" si="33"/>
        <v>153016027.35891974</v>
      </c>
      <c r="AW131" s="289"/>
      <c r="AX131" s="82">
        <v>0</v>
      </c>
      <c r="AY131" s="223">
        <v>-247314.43805767267</v>
      </c>
      <c r="AZ131" s="223">
        <v>-445165.98850381083</v>
      </c>
      <c r="BA131" s="223">
        <v>-27441.48008186062</v>
      </c>
      <c r="BB131" s="223">
        <v>0</v>
      </c>
      <c r="BC131" s="223">
        <v>0</v>
      </c>
      <c r="BD131" s="223">
        <f t="shared" si="55"/>
        <v>-719921.90664334421</v>
      </c>
      <c r="BE131" s="83">
        <f t="shared" si="50"/>
        <v>-719921.90664334421</v>
      </c>
      <c r="BF131" s="78">
        <f t="shared" si="56"/>
        <v>2788781.7008945313</v>
      </c>
      <c r="BG131" s="70">
        <f t="shared" si="49"/>
        <v>-478737.67791121005</v>
      </c>
      <c r="BH131" s="70">
        <f t="shared" si="51"/>
        <v>2310044.0229833215</v>
      </c>
      <c r="BI131" s="71">
        <f t="shared" si="52"/>
        <v>133715069.00111446</v>
      </c>
      <c r="BJ131" s="86"/>
    </row>
    <row r="132" spans="1:62" ht="15" customHeight="1">
      <c r="A132" s="35">
        <f t="shared" si="44"/>
        <v>75</v>
      </c>
      <c r="B132" s="87"/>
      <c r="C132" s="36">
        <v>45536</v>
      </c>
      <c r="D132" s="69">
        <v>1268342.8638095239</v>
      </c>
      <c r="E132" s="78">
        <v>1354768.15</v>
      </c>
      <c r="F132" s="78">
        <v>0</v>
      </c>
      <c r="G132" s="37">
        <f t="shared" si="43"/>
        <v>0.05</v>
      </c>
      <c r="H132" s="70">
        <f t="shared" si="45"/>
        <v>-67738.407500000001</v>
      </c>
      <c r="I132" s="70">
        <f t="shared" si="57"/>
        <v>73485.654500000004</v>
      </c>
      <c r="J132" s="79">
        <f t="shared" si="34"/>
        <v>845184.78074535076</v>
      </c>
      <c r="K132" s="79">
        <f t="shared" si="35"/>
        <v>56</v>
      </c>
      <c r="L132" s="79">
        <f t="shared" si="46"/>
        <v>3474043.0415548743</v>
      </c>
      <c r="M132" s="70"/>
      <c r="N132" s="70"/>
      <c r="O132" s="481"/>
      <c r="P132" s="84">
        <v>0</v>
      </c>
      <c r="Q132" s="80">
        <v>0</v>
      </c>
      <c r="R132" s="81">
        <v>0</v>
      </c>
      <c r="S132" s="81">
        <v>0</v>
      </c>
      <c r="T132" s="81">
        <v>0</v>
      </c>
      <c r="U132" s="81">
        <v>0</v>
      </c>
      <c r="V132" s="81">
        <v>0</v>
      </c>
      <c r="W132" s="80">
        <v>0</v>
      </c>
      <c r="X132" s="82">
        <v>0</v>
      </c>
      <c r="Y132" s="189">
        <v>0</v>
      </c>
      <c r="Z132" s="189">
        <v>0</v>
      </c>
      <c r="AA132" s="85">
        <v>0</v>
      </c>
      <c r="AB132" s="85">
        <v>-29065.636383928573</v>
      </c>
      <c r="AC132" s="103">
        <v>-27979.96</v>
      </c>
      <c r="AD132" s="85">
        <v>0</v>
      </c>
      <c r="AE132" s="85">
        <v>0</v>
      </c>
      <c r="AF132" s="191">
        <v>0</v>
      </c>
      <c r="AG132" s="83">
        <v>0</v>
      </c>
      <c r="AH132" s="69">
        <f t="shared" si="58"/>
        <v>-210522.21645227252</v>
      </c>
      <c r="AI132" s="288">
        <v>-9209.81</v>
      </c>
      <c r="AJ132" s="288">
        <v>-1000</v>
      </c>
      <c r="AK132" s="288">
        <v>-12613.872608830829</v>
      </c>
      <c r="AL132" s="288">
        <v>0</v>
      </c>
      <c r="AM132" s="288">
        <f t="shared" si="53"/>
        <v>-42104.443290454503</v>
      </c>
      <c r="AN132" s="288">
        <f t="shared" si="54"/>
        <v>-140348.14430151501</v>
      </c>
      <c r="AO132" s="71"/>
      <c r="AP132" s="84">
        <v>0</v>
      </c>
      <c r="AQ132" s="125">
        <v>0</v>
      </c>
      <c r="AR132" s="133"/>
      <c r="AS132" s="78">
        <f t="shared" si="47"/>
        <v>3474043.0415548743</v>
      </c>
      <c r="AT132" s="70">
        <f t="shared" si="48"/>
        <v>-472844.08303700143</v>
      </c>
      <c r="AU132" s="288">
        <f t="shared" si="32"/>
        <v>3001198.9585178727</v>
      </c>
      <c r="AV132" s="71">
        <f t="shared" si="33"/>
        <v>156017226.31743762</v>
      </c>
      <c r="AW132" s="289"/>
      <c r="AX132" s="82">
        <v>0</v>
      </c>
      <c r="AY132" s="223">
        <v>-245493.14929651923</v>
      </c>
      <c r="AZ132" s="223">
        <v>-441887.66873373458</v>
      </c>
      <c r="BA132" s="223">
        <v>-42544.292653606135</v>
      </c>
      <c r="BB132" s="223">
        <v>0</v>
      </c>
      <c r="BC132" s="223">
        <v>0</v>
      </c>
      <c r="BD132" s="223">
        <f t="shared" si="55"/>
        <v>-729925.11068385991</v>
      </c>
      <c r="BE132" s="83">
        <f t="shared" si="50"/>
        <v>-729925.11068385991</v>
      </c>
      <c r="BF132" s="78">
        <f t="shared" si="56"/>
        <v>2744117.930871014</v>
      </c>
      <c r="BG132" s="70">
        <f t="shared" si="49"/>
        <v>-472844.08303700143</v>
      </c>
      <c r="BH132" s="70">
        <f t="shared" si="51"/>
        <v>2271273.8478340125</v>
      </c>
      <c r="BI132" s="71">
        <f t="shared" si="52"/>
        <v>135986342.84894848</v>
      </c>
      <c r="BJ132" s="86"/>
    </row>
    <row r="133" spans="1:62" ht="15" customHeight="1">
      <c r="A133" s="35">
        <f t="shared" si="44"/>
        <v>76</v>
      </c>
      <c r="B133" s="87"/>
      <c r="C133" s="36">
        <v>45566</v>
      </c>
      <c r="D133" s="69">
        <v>1268342.8638095239</v>
      </c>
      <c r="E133" s="78">
        <v>1292418.1299999999</v>
      </c>
      <c r="F133" s="78">
        <v>0</v>
      </c>
      <c r="G133" s="37">
        <f t="shared" si="43"/>
        <v>0.05</v>
      </c>
      <c r="H133" s="70">
        <f t="shared" si="45"/>
        <v>-64620.906499999997</v>
      </c>
      <c r="I133" s="70">
        <f t="shared" si="57"/>
        <v>72049.919999999998</v>
      </c>
      <c r="J133" s="79">
        <f t="shared" si="34"/>
        <v>842024.44745748071</v>
      </c>
      <c r="K133" s="79">
        <f t="shared" si="35"/>
        <v>57</v>
      </c>
      <c r="L133" s="79">
        <f t="shared" si="46"/>
        <v>3410214.4547670046</v>
      </c>
      <c r="M133" s="70"/>
      <c r="N133" s="70"/>
      <c r="O133" s="481"/>
      <c r="P133" s="84">
        <v>0</v>
      </c>
      <c r="Q133" s="80">
        <v>0</v>
      </c>
      <c r="R133" s="81">
        <v>0</v>
      </c>
      <c r="S133" s="81">
        <v>0</v>
      </c>
      <c r="T133" s="81">
        <v>0</v>
      </c>
      <c r="U133" s="81">
        <v>0</v>
      </c>
      <c r="V133" s="81">
        <v>0</v>
      </c>
      <c r="W133" s="80">
        <v>0</v>
      </c>
      <c r="X133" s="82">
        <v>0</v>
      </c>
      <c r="Y133" s="189">
        <v>0</v>
      </c>
      <c r="Z133" s="189">
        <v>0</v>
      </c>
      <c r="AA133" s="85">
        <v>0</v>
      </c>
      <c r="AB133" s="85">
        <v>-29065.636383928573</v>
      </c>
      <c r="AC133" s="103">
        <v>-26366.61</v>
      </c>
      <c r="AD133" s="85">
        <v>0</v>
      </c>
      <c r="AE133" s="85">
        <v>0</v>
      </c>
      <c r="AF133" s="191">
        <v>0</v>
      </c>
      <c r="AG133" s="83">
        <v>0</v>
      </c>
      <c r="AH133" s="69">
        <f t="shared" si="58"/>
        <v>-208442.58249329246</v>
      </c>
      <c r="AI133" s="288">
        <v>-9209.81</v>
      </c>
      <c r="AJ133" s="288">
        <v>-1000</v>
      </c>
      <c r="AK133" s="288">
        <v>-12393.07720817058</v>
      </c>
      <c r="AL133" s="288">
        <v>0</v>
      </c>
      <c r="AM133" s="288">
        <f t="shared" si="53"/>
        <v>-41688.516498658493</v>
      </c>
      <c r="AN133" s="288">
        <f t="shared" si="54"/>
        <v>-138961.72166219496</v>
      </c>
      <c r="AO133" s="71"/>
      <c r="AP133" s="84">
        <v>0</v>
      </c>
      <c r="AQ133" s="125">
        <v>0</v>
      </c>
      <c r="AR133" s="133"/>
      <c r="AS133" s="78">
        <f t="shared" si="47"/>
        <v>3410214.4547670046</v>
      </c>
      <c r="AT133" s="70">
        <f t="shared" si="48"/>
        <v>-467127.95424624509</v>
      </c>
      <c r="AU133" s="288">
        <f t="shared" si="32"/>
        <v>2943086.5005207593</v>
      </c>
      <c r="AV133" s="71">
        <f t="shared" si="33"/>
        <v>158960312.81795838</v>
      </c>
      <c r="AW133" s="289"/>
      <c r="AX133" s="82">
        <v>0</v>
      </c>
      <c r="AY133" s="223">
        <v>-243671.86053536576</v>
      </c>
      <c r="AZ133" s="223">
        <v>-438609.34896365838</v>
      </c>
      <c r="BA133" s="223">
        <v>-26536.611671727576</v>
      </c>
      <c r="BB133" s="223">
        <v>0</v>
      </c>
      <c r="BC133" s="223">
        <v>0</v>
      </c>
      <c r="BD133" s="223">
        <f t="shared" si="55"/>
        <v>-708817.8211707517</v>
      </c>
      <c r="BE133" s="83">
        <f t="shared" si="50"/>
        <v>-708817.8211707517</v>
      </c>
      <c r="BF133" s="78">
        <f t="shared" si="56"/>
        <v>2701396.6335962531</v>
      </c>
      <c r="BG133" s="70">
        <f t="shared" si="49"/>
        <v>-467127.95424624509</v>
      </c>
      <c r="BH133" s="70">
        <f t="shared" si="51"/>
        <v>2234268.6793500083</v>
      </c>
      <c r="BI133" s="71">
        <f t="shared" si="52"/>
        <v>138220611.5282985</v>
      </c>
      <c r="BJ133" s="86"/>
    </row>
    <row r="134" spans="1:62" ht="15" customHeight="1">
      <c r="A134" s="35">
        <f t="shared" si="44"/>
        <v>77</v>
      </c>
      <c r="B134" s="87"/>
      <c r="C134" s="36">
        <v>45597</v>
      </c>
      <c r="D134" s="69">
        <v>1268342.8638095239</v>
      </c>
      <c r="E134" s="78">
        <v>1256410.57</v>
      </c>
      <c r="F134" s="78">
        <v>0</v>
      </c>
      <c r="G134" s="37">
        <f t="shared" si="43"/>
        <v>0.05</v>
      </c>
      <c r="H134" s="70">
        <f t="shared" si="45"/>
        <v>-62820.528500000008</v>
      </c>
      <c r="I134" s="70">
        <f t="shared" si="57"/>
        <v>69752.261500000008</v>
      </c>
      <c r="J134" s="79">
        <f t="shared" si="34"/>
        <v>846959.20136619546</v>
      </c>
      <c r="K134" s="79">
        <f t="shared" si="35"/>
        <v>58</v>
      </c>
      <c r="L134" s="79">
        <f t="shared" si="46"/>
        <v>3378644.3681757199</v>
      </c>
      <c r="M134" s="70"/>
      <c r="N134" s="70"/>
      <c r="O134" s="481"/>
      <c r="P134" s="84">
        <v>0</v>
      </c>
      <c r="Q134" s="80">
        <v>0</v>
      </c>
      <c r="R134" s="81">
        <v>0</v>
      </c>
      <c r="S134" s="81">
        <v>0</v>
      </c>
      <c r="T134" s="81">
        <v>0</v>
      </c>
      <c r="U134" s="81">
        <v>0</v>
      </c>
      <c r="V134" s="81">
        <v>0</v>
      </c>
      <c r="W134" s="80">
        <v>0</v>
      </c>
      <c r="X134" s="82">
        <v>0</v>
      </c>
      <c r="Y134" s="189">
        <v>0</v>
      </c>
      <c r="Z134" s="189">
        <v>0</v>
      </c>
      <c r="AA134" s="85">
        <v>0</v>
      </c>
      <c r="AB134" s="85">
        <v>-29065.636383928573</v>
      </c>
      <c r="AC134" s="103">
        <v>-25346.94</v>
      </c>
      <c r="AD134" s="85">
        <v>0</v>
      </c>
      <c r="AE134" s="85">
        <v>0</v>
      </c>
      <c r="AF134" s="191">
        <v>0</v>
      </c>
      <c r="AG134" s="83">
        <v>0</v>
      </c>
      <c r="AH134" s="69">
        <f t="shared" si="58"/>
        <v>-204612.86728602028</v>
      </c>
      <c r="AI134" s="288">
        <v>-9209.81</v>
      </c>
      <c r="AJ134" s="288">
        <v>-1000</v>
      </c>
      <c r="AK134" s="288">
        <v>-12051.16112427903</v>
      </c>
      <c r="AL134" s="288">
        <v>0</v>
      </c>
      <c r="AM134" s="288">
        <f t="shared" si="53"/>
        <v>-40922.573457204053</v>
      </c>
      <c r="AN134" s="288">
        <f t="shared" si="54"/>
        <v>-136408.57819068019</v>
      </c>
      <c r="AO134" s="71"/>
      <c r="AP134" s="84">
        <v>0</v>
      </c>
      <c r="AQ134" s="125">
        <v>0</v>
      </c>
      <c r="AR134" s="133"/>
      <c r="AS134" s="78">
        <f t="shared" si="47"/>
        <v>3378644.3681757199</v>
      </c>
      <c r="AT134" s="70">
        <f t="shared" si="48"/>
        <v>-458617.56644211209</v>
      </c>
      <c r="AU134" s="288">
        <f t="shared" ref="AU134:AU185" si="59">SUM(AS134:AT134)</f>
        <v>2920026.8017336079</v>
      </c>
      <c r="AV134" s="71">
        <f t="shared" si="33"/>
        <v>161880339.619692</v>
      </c>
      <c r="AW134" s="289"/>
      <c r="AX134" s="82">
        <v>0</v>
      </c>
      <c r="AY134" s="223">
        <v>-241850.57177421232</v>
      </c>
      <c r="AZ134" s="223">
        <v>-435331.02919358219</v>
      </c>
      <c r="BA134" s="223">
        <v>-26103.327156748317</v>
      </c>
      <c r="BB134" s="223">
        <v>0</v>
      </c>
      <c r="BC134" s="223">
        <v>0</v>
      </c>
      <c r="BD134" s="223">
        <f t="shared" si="55"/>
        <v>-703284.92812454281</v>
      </c>
      <c r="BE134" s="83">
        <f t="shared" si="50"/>
        <v>-703284.92812454281</v>
      </c>
      <c r="BF134" s="78">
        <f t="shared" si="56"/>
        <v>2675359.4400511775</v>
      </c>
      <c r="BG134" s="70">
        <f t="shared" si="49"/>
        <v>-458617.56644211209</v>
      </c>
      <c r="BH134" s="70">
        <f t="shared" si="51"/>
        <v>2216741.8736090655</v>
      </c>
      <c r="BI134" s="71">
        <f t="shared" si="52"/>
        <v>140437353.40190756</v>
      </c>
      <c r="BJ134" s="86"/>
    </row>
    <row r="135" spans="1:62" ht="15" customHeight="1">
      <c r="A135" s="35">
        <f t="shared" si="44"/>
        <v>78</v>
      </c>
      <c r="B135" s="87"/>
      <c r="C135" s="36">
        <v>45627</v>
      </c>
      <c r="D135" s="69">
        <v>1268342.8638095239</v>
      </c>
      <c r="E135" s="78">
        <v>1221745.8400000001</v>
      </c>
      <c r="F135" s="78">
        <v>0</v>
      </c>
      <c r="G135" s="37">
        <f t="shared" si="43"/>
        <v>0.05</v>
      </c>
      <c r="H135" s="70">
        <f t="shared" si="45"/>
        <v>-61087.292000000009</v>
      </c>
      <c r="I135" s="70">
        <f t="shared" si="57"/>
        <v>67738.407500000001</v>
      </c>
      <c r="J135" s="79">
        <f t="shared" si="34"/>
        <v>851957.59270269005</v>
      </c>
      <c r="K135" s="79">
        <f t="shared" si="35"/>
        <v>59</v>
      </c>
      <c r="L135" s="79">
        <f t="shared" si="46"/>
        <v>3348697.4120122138</v>
      </c>
      <c r="M135" s="70"/>
      <c r="N135" s="70"/>
      <c r="O135" s="481"/>
      <c r="P135" s="84">
        <v>0</v>
      </c>
      <c r="Q135" s="80">
        <v>0</v>
      </c>
      <c r="R135" s="81">
        <v>0</v>
      </c>
      <c r="S135" s="81">
        <v>0</v>
      </c>
      <c r="T135" s="81">
        <v>0</v>
      </c>
      <c r="U135" s="81">
        <v>0</v>
      </c>
      <c r="V135" s="81">
        <v>0</v>
      </c>
      <c r="W135" s="80">
        <v>0</v>
      </c>
      <c r="X135" s="82">
        <v>0</v>
      </c>
      <c r="Y135" s="189">
        <v>0</v>
      </c>
      <c r="Z135" s="189">
        <v>0</v>
      </c>
      <c r="AA135" s="85">
        <v>0</v>
      </c>
      <c r="AB135" s="85">
        <v>-29065.636383928573</v>
      </c>
      <c r="AC135" s="103">
        <v>-24360.99</v>
      </c>
      <c r="AD135" s="85">
        <v>0</v>
      </c>
      <c r="AE135" s="85">
        <v>0</v>
      </c>
      <c r="AF135" s="191">
        <v>0</v>
      </c>
      <c r="AG135" s="83">
        <v>0</v>
      </c>
      <c r="AH135" s="69">
        <f t="shared" si="58"/>
        <v>-202718.66209054319</v>
      </c>
      <c r="AI135" s="288">
        <v>-9209.81</v>
      </c>
      <c r="AJ135" s="288">
        <v>-1000</v>
      </c>
      <c r="AK135" s="288">
        <v>-11855.471192942801</v>
      </c>
      <c r="AL135" s="288">
        <v>0</v>
      </c>
      <c r="AM135" s="288">
        <f t="shared" si="53"/>
        <v>-40543.732418108637</v>
      </c>
      <c r="AN135" s="288">
        <f t="shared" si="54"/>
        <v>-135145.77472702879</v>
      </c>
      <c r="AO135" s="71"/>
      <c r="AP135" s="84">
        <v>0</v>
      </c>
      <c r="AQ135" s="125">
        <v>0</v>
      </c>
      <c r="AR135" s="133"/>
      <c r="AS135" s="78">
        <f t="shared" si="47"/>
        <v>3348697.4120122138</v>
      </c>
      <c r="AT135" s="70">
        <f t="shared" si="48"/>
        <v>-453900.076812552</v>
      </c>
      <c r="AU135" s="288">
        <f t="shared" si="59"/>
        <v>2894797.335199662</v>
      </c>
      <c r="AV135" s="71">
        <f t="shared" si="33"/>
        <v>164775136.95489165</v>
      </c>
      <c r="AW135" s="289"/>
      <c r="AX135" s="82">
        <v>0</v>
      </c>
      <c r="AY135" s="223">
        <v>-240029.28301305888</v>
      </c>
      <c r="AZ135" s="223">
        <v>-432052.70942350593</v>
      </c>
      <c r="BA135" s="223">
        <v>-25682.327637727172</v>
      </c>
      <c r="BB135" s="223">
        <v>0</v>
      </c>
      <c r="BC135" s="223">
        <v>0</v>
      </c>
      <c r="BD135" s="223">
        <f t="shared" si="55"/>
        <v>-697764.3200742919</v>
      </c>
      <c r="BE135" s="83">
        <f t="shared" si="50"/>
        <v>-697764.3200742919</v>
      </c>
      <c r="BF135" s="78">
        <f t="shared" si="56"/>
        <v>2650933.0919379219</v>
      </c>
      <c r="BG135" s="70">
        <f t="shared" si="49"/>
        <v>-453900.076812552</v>
      </c>
      <c r="BH135" s="70">
        <f t="shared" si="51"/>
        <v>2197033.0151253701</v>
      </c>
      <c r="BI135" s="71">
        <f t="shared" si="52"/>
        <v>142634386.41703293</v>
      </c>
      <c r="BJ135" s="86"/>
    </row>
    <row r="136" spans="1:62" ht="15" customHeight="1">
      <c r="A136" s="35">
        <f t="shared" si="44"/>
        <v>79</v>
      </c>
      <c r="B136" s="87"/>
      <c r="C136" s="36">
        <v>45658</v>
      </c>
      <c r="D136" s="69">
        <v>1268342.8638095239</v>
      </c>
      <c r="E136" s="78">
        <v>1168824.56</v>
      </c>
      <c r="F136" s="78">
        <v>0</v>
      </c>
      <c r="G136" s="37">
        <f t="shared" si="43"/>
        <v>0.05</v>
      </c>
      <c r="H136" s="70">
        <f t="shared" si="45"/>
        <v>-58441.228000000003</v>
      </c>
      <c r="I136" s="70">
        <f t="shared" si="57"/>
        <v>64620.906499999997</v>
      </c>
      <c r="J136" s="79">
        <f t="shared" si="34"/>
        <v>850206.22758414596</v>
      </c>
      <c r="K136" s="79">
        <f t="shared" si="35"/>
        <v>60</v>
      </c>
      <c r="L136" s="79">
        <f t="shared" si="46"/>
        <v>3293553.32989367</v>
      </c>
      <c r="M136" s="70"/>
      <c r="N136" s="70"/>
      <c r="O136" s="481"/>
      <c r="P136" s="84">
        <v>0</v>
      </c>
      <c r="Q136" s="80">
        <v>0</v>
      </c>
      <c r="R136" s="81">
        <v>0</v>
      </c>
      <c r="S136" s="81">
        <v>0</v>
      </c>
      <c r="T136" s="81">
        <v>0</v>
      </c>
      <c r="U136" s="81">
        <v>0</v>
      </c>
      <c r="V136" s="81">
        <v>0</v>
      </c>
      <c r="W136" s="80">
        <v>0</v>
      </c>
      <c r="X136" s="82">
        <v>0</v>
      </c>
      <c r="Y136" s="189">
        <v>0</v>
      </c>
      <c r="Z136" s="189">
        <v>0</v>
      </c>
      <c r="AA136" s="85">
        <v>0</v>
      </c>
      <c r="AB136" s="85">
        <v>-29065.636383928573</v>
      </c>
      <c r="AC136" s="103">
        <v>-22613.52</v>
      </c>
      <c r="AD136" s="85">
        <v>0</v>
      </c>
      <c r="AE136" s="85">
        <v>0</v>
      </c>
      <c r="AF136" s="191">
        <v>0</v>
      </c>
      <c r="AG136" s="83">
        <v>0</v>
      </c>
      <c r="AH136" s="69">
        <f t="shared" si="58"/>
        <v>-200921.84472073283</v>
      </c>
      <c r="AI136" s="288">
        <v>-9209.81</v>
      </c>
      <c r="AJ136" s="288">
        <v>-1000</v>
      </c>
      <c r="AK136" s="288">
        <v>-11659.284569826104</v>
      </c>
      <c r="AL136" s="288">
        <v>0</v>
      </c>
      <c r="AM136" s="288">
        <f t="shared" si="53"/>
        <v>-40184.368944146569</v>
      </c>
      <c r="AN136" s="288">
        <f t="shared" si="54"/>
        <v>-133947.89648048856</v>
      </c>
      <c r="AO136" s="71"/>
      <c r="AP136" s="84">
        <v>0</v>
      </c>
      <c r="AQ136" s="125">
        <v>0</v>
      </c>
      <c r="AR136" s="133"/>
      <c r="AS136" s="78">
        <f t="shared" si="47"/>
        <v>3293553.32989367</v>
      </c>
      <c r="AT136" s="70">
        <f t="shared" si="48"/>
        <v>-448602.36109912267</v>
      </c>
      <c r="AU136" s="288">
        <f t="shared" si="59"/>
        <v>2844950.9687945475</v>
      </c>
      <c r="AV136" s="71">
        <f t="shared" ref="AV136:AV185" si="60">AU136+AV135</f>
        <v>167620087.92368621</v>
      </c>
      <c r="AW136" s="289"/>
      <c r="AX136" s="82">
        <v>0</v>
      </c>
      <c r="AY136" s="223">
        <v>-238207.99425190542</v>
      </c>
      <c r="AZ136" s="223">
        <v>-428774.38965342974</v>
      </c>
      <c r="BA136" s="223">
        <v>-25273.264795902509</v>
      </c>
      <c r="BB136" s="223">
        <v>0</v>
      </c>
      <c r="BC136" s="223">
        <v>0</v>
      </c>
      <c r="BD136" s="223">
        <f t="shared" si="55"/>
        <v>-692255.64870123763</v>
      </c>
      <c r="BE136" s="83">
        <f t="shared" si="50"/>
        <v>-692255.64870123763</v>
      </c>
      <c r="BF136" s="78">
        <f t="shared" si="56"/>
        <v>2601297.6811924321</v>
      </c>
      <c r="BG136" s="70">
        <f t="shared" si="49"/>
        <v>-448602.36109912267</v>
      </c>
      <c r="BH136" s="70">
        <f t="shared" si="51"/>
        <v>2152695.3200933095</v>
      </c>
      <c r="BI136" s="71">
        <f t="shared" si="52"/>
        <v>144787081.73712623</v>
      </c>
      <c r="BJ136" s="86"/>
    </row>
    <row r="137" spans="1:62" ht="15" customHeight="1">
      <c r="A137" s="35">
        <f t="shared" si="44"/>
        <v>80</v>
      </c>
      <c r="B137" s="87"/>
      <c r="C137" s="36">
        <v>45689</v>
      </c>
      <c r="D137" s="69">
        <v>1268342.8638095239</v>
      </c>
      <c r="E137" s="78">
        <v>1106529.1499999999</v>
      </c>
      <c r="F137" s="78">
        <v>0</v>
      </c>
      <c r="G137" s="37">
        <f t="shared" si="43"/>
        <v>0.05</v>
      </c>
      <c r="H137" s="70">
        <f t="shared" si="45"/>
        <v>-55326.457499999997</v>
      </c>
      <c r="I137" s="70">
        <f t="shared" si="57"/>
        <v>62820.528500000008</v>
      </c>
      <c r="J137" s="79">
        <f t="shared" si="34"/>
        <v>844491.19669308467</v>
      </c>
      <c r="K137" s="79">
        <f t="shared" si="35"/>
        <v>61</v>
      </c>
      <c r="L137" s="79">
        <f t="shared" si="46"/>
        <v>3226857.2815026087</v>
      </c>
      <c r="M137" s="70"/>
      <c r="N137" s="70"/>
      <c r="O137" s="481"/>
      <c r="P137" s="84">
        <v>0</v>
      </c>
      <c r="Q137" s="80">
        <v>0</v>
      </c>
      <c r="R137" s="81">
        <v>0</v>
      </c>
      <c r="S137" s="81">
        <v>0</v>
      </c>
      <c r="T137" s="81">
        <v>0</v>
      </c>
      <c r="U137" s="81">
        <v>0</v>
      </c>
      <c r="V137" s="81">
        <v>0</v>
      </c>
      <c r="W137" s="80">
        <v>0</v>
      </c>
      <c r="X137" s="82">
        <v>0</v>
      </c>
      <c r="Y137" s="189">
        <v>0</v>
      </c>
      <c r="Z137" s="189">
        <v>0</v>
      </c>
      <c r="AA137" s="85">
        <v>0</v>
      </c>
      <c r="AB137" s="85">
        <v>-29065.636383928573</v>
      </c>
      <c r="AC137" s="103">
        <v>-20907.77</v>
      </c>
      <c r="AD137" s="85">
        <v>0</v>
      </c>
      <c r="AE137" s="85">
        <v>0</v>
      </c>
      <c r="AF137" s="191">
        <v>0</v>
      </c>
      <c r="AG137" s="83">
        <v>0</v>
      </c>
      <c r="AH137" s="69">
        <f t="shared" si="58"/>
        <v>-197613.19979362021</v>
      </c>
      <c r="AI137" s="288">
        <v>-9209.81</v>
      </c>
      <c r="AJ137" s="288">
        <v>-1000</v>
      </c>
      <c r="AK137" s="288">
        <v>-11339.505249763053</v>
      </c>
      <c r="AL137" s="288">
        <v>0</v>
      </c>
      <c r="AM137" s="288">
        <f t="shared" si="53"/>
        <v>-39522.639958724045</v>
      </c>
      <c r="AN137" s="288">
        <f t="shared" si="54"/>
        <v>-131742.13319574681</v>
      </c>
      <c r="AO137" s="71"/>
      <c r="AP137" s="84">
        <v>0</v>
      </c>
      <c r="AQ137" s="125">
        <v>0</v>
      </c>
      <c r="AR137" s="133"/>
      <c r="AS137" s="78">
        <f t="shared" si="47"/>
        <v>3226857.2815026087</v>
      </c>
      <c r="AT137" s="70">
        <f t="shared" si="48"/>
        <v>-440400.69458178268</v>
      </c>
      <c r="AU137" s="288">
        <f t="shared" si="59"/>
        <v>2786456.5869208258</v>
      </c>
      <c r="AV137" s="71">
        <f t="shared" si="60"/>
        <v>170406544.51060703</v>
      </c>
      <c r="AW137" s="289"/>
      <c r="AX137" s="82">
        <v>0</v>
      </c>
      <c r="AY137" s="223">
        <v>-236386.70549075195</v>
      </c>
      <c r="AZ137" s="223">
        <v>-425496.06988335354</v>
      </c>
      <c r="BA137" s="223">
        <v>-24875.800188458947</v>
      </c>
      <c r="BB137" s="223">
        <v>0</v>
      </c>
      <c r="BC137" s="223">
        <v>0</v>
      </c>
      <c r="BD137" s="223">
        <f t="shared" si="55"/>
        <v>-686758.57556256442</v>
      </c>
      <c r="BE137" s="83">
        <f t="shared" si="50"/>
        <v>-686758.57556256442</v>
      </c>
      <c r="BF137" s="78">
        <f t="shared" si="56"/>
        <v>2540098.705940044</v>
      </c>
      <c r="BG137" s="70">
        <f t="shared" si="49"/>
        <v>-440400.69458178268</v>
      </c>
      <c r="BH137" s="70">
        <f t="shared" si="51"/>
        <v>2099698.0113582611</v>
      </c>
      <c r="BI137" s="71">
        <f t="shared" si="52"/>
        <v>146886779.74848449</v>
      </c>
      <c r="BJ137" s="86"/>
    </row>
    <row r="138" spans="1:62" ht="15" customHeight="1">
      <c r="A138" s="35">
        <f t="shared" si="44"/>
        <v>81</v>
      </c>
      <c r="B138" s="87"/>
      <c r="C138" s="36">
        <v>45717</v>
      </c>
      <c r="D138" s="69">
        <v>1268342.8638095239</v>
      </c>
      <c r="E138" s="78">
        <v>1054804.4099999999</v>
      </c>
      <c r="F138" s="78">
        <v>0</v>
      </c>
      <c r="G138" s="37">
        <f t="shared" si="43"/>
        <v>0.05</v>
      </c>
      <c r="H138" s="70">
        <f t="shared" si="45"/>
        <v>-52740.220499999996</v>
      </c>
      <c r="I138" s="70">
        <f t="shared" si="57"/>
        <v>61087.292000000009</v>
      </c>
      <c r="J138" s="79">
        <f t="shared" si="34"/>
        <v>841844.39584854199</v>
      </c>
      <c r="K138" s="79">
        <f t="shared" si="35"/>
        <v>62</v>
      </c>
      <c r="L138" s="79">
        <f t="shared" si="46"/>
        <v>3173338.7411580654</v>
      </c>
      <c r="M138" s="70"/>
      <c r="N138" s="70"/>
      <c r="O138" s="481"/>
      <c r="P138" s="84">
        <v>0</v>
      </c>
      <c r="Q138" s="80">
        <v>0</v>
      </c>
      <c r="R138" s="81">
        <v>0</v>
      </c>
      <c r="S138" s="81">
        <v>0</v>
      </c>
      <c r="T138" s="81">
        <v>0</v>
      </c>
      <c r="U138" s="81">
        <v>0</v>
      </c>
      <c r="V138" s="81">
        <v>0</v>
      </c>
      <c r="W138" s="80">
        <v>0</v>
      </c>
      <c r="X138" s="82">
        <v>0</v>
      </c>
      <c r="Y138" s="189">
        <v>0</v>
      </c>
      <c r="Z138" s="189">
        <v>0</v>
      </c>
      <c r="AA138" s="85">
        <v>0</v>
      </c>
      <c r="AB138" s="85">
        <v>-29065.636383928573</v>
      </c>
      <c r="AC138" s="103">
        <v>-19707.77</v>
      </c>
      <c r="AD138" s="85">
        <v>0</v>
      </c>
      <c r="AE138" s="85">
        <v>0</v>
      </c>
      <c r="AF138" s="191">
        <v>0</v>
      </c>
      <c r="AG138" s="83">
        <v>0</v>
      </c>
      <c r="AH138" s="69">
        <f t="shared" si="58"/>
        <v>-193611.4368901565</v>
      </c>
      <c r="AI138" s="288">
        <v>-9209.81</v>
      </c>
      <c r="AJ138" s="288">
        <v>-1000</v>
      </c>
      <c r="AK138" s="288">
        <v>-10993.869463708232</v>
      </c>
      <c r="AL138" s="288">
        <v>0</v>
      </c>
      <c r="AM138" s="288">
        <f t="shared" si="53"/>
        <v>-38722.287378031302</v>
      </c>
      <c r="AN138" s="288">
        <f t="shared" si="54"/>
        <v>-129074.29126010435</v>
      </c>
      <c r="AO138" s="71"/>
      <c r="AP138" s="84">
        <v>0</v>
      </c>
      <c r="AQ138" s="125">
        <v>0</v>
      </c>
      <c r="AR138" s="133"/>
      <c r="AS138" s="78">
        <f t="shared" si="47"/>
        <v>3173338.7411580654</v>
      </c>
      <c r="AT138" s="70">
        <f t="shared" si="48"/>
        <v>-431385.10137592896</v>
      </c>
      <c r="AU138" s="288">
        <f t="shared" si="59"/>
        <v>2741953.6397821363</v>
      </c>
      <c r="AV138" s="71">
        <f t="shared" si="60"/>
        <v>173148498.15038916</v>
      </c>
      <c r="AW138" s="289"/>
      <c r="AX138" s="82">
        <v>0</v>
      </c>
      <c r="AY138" s="223">
        <v>-234565.41672959851</v>
      </c>
      <c r="AZ138" s="223">
        <v>-422217.75011327735</v>
      </c>
      <c r="BA138" s="223">
        <v>-24489.604968512809</v>
      </c>
      <c r="BB138" s="223">
        <v>0</v>
      </c>
      <c r="BC138" s="223">
        <v>0</v>
      </c>
      <c r="BD138" s="223">
        <f t="shared" si="55"/>
        <v>-681272.77181138867</v>
      </c>
      <c r="BE138" s="83">
        <f t="shared" si="50"/>
        <v>-681272.77181138867</v>
      </c>
      <c r="BF138" s="78">
        <f t="shared" si="56"/>
        <v>2492065.969346677</v>
      </c>
      <c r="BG138" s="70">
        <f t="shared" si="49"/>
        <v>-431385.10137592896</v>
      </c>
      <c r="BH138" s="70">
        <f t="shared" si="51"/>
        <v>2060680.8679707479</v>
      </c>
      <c r="BI138" s="71">
        <f t="shared" si="52"/>
        <v>148947460.61645523</v>
      </c>
      <c r="BJ138" s="86"/>
    </row>
    <row r="139" spans="1:62" ht="15" customHeight="1">
      <c r="A139" s="35">
        <f t="shared" si="44"/>
        <v>82</v>
      </c>
      <c r="B139" s="87"/>
      <c r="C139" s="36">
        <v>45748</v>
      </c>
      <c r="D139" s="69">
        <v>1268342.8638095239</v>
      </c>
      <c r="E139" s="78">
        <v>944234.38</v>
      </c>
      <c r="F139" s="78">
        <v>0</v>
      </c>
      <c r="G139" s="37">
        <f t="shared" si="43"/>
        <v>0.05</v>
      </c>
      <c r="H139" s="70">
        <f t="shared" si="45"/>
        <v>-47211.719000000005</v>
      </c>
      <c r="I139" s="70">
        <f t="shared" si="57"/>
        <v>58441.228000000003</v>
      </c>
      <c r="J139" s="79">
        <f t="shared" ref="J139:J186" si="61">FV($J$3,K139,,-SUM(D139:E139))-SUM(D139:E139)</f>
        <v>816848.64201352</v>
      </c>
      <c r="K139" s="79">
        <f t="shared" si="35"/>
        <v>63</v>
      </c>
      <c r="L139" s="79">
        <f t="shared" si="46"/>
        <v>3040655.3948230436</v>
      </c>
      <c r="M139" s="70"/>
      <c r="N139" s="70"/>
      <c r="O139" s="481"/>
      <c r="P139" s="84">
        <v>0</v>
      </c>
      <c r="Q139" s="80">
        <v>0</v>
      </c>
      <c r="R139" s="81">
        <v>0</v>
      </c>
      <c r="S139" s="81">
        <v>0</v>
      </c>
      <c r="T139" s="81">
        <v>0</v>
      </c>
      <c r="U139" s="81">
        <v>0</v>
      </c>
      <c r="V139" s="81">
        <v>0</v>
      </c>
      <c r="W139" s="80">
        <v>0</v>
      </c>
      <c r="X139" s="82">
        <v>0</v>
      </c>
      <c r="Y139" s="189">
        <v>0</v>
      </c>
      <c r="Z139" s="189">
        <v>0</v>
      </c>
      <c r="AA139" s="85">
        <v>0</v>
      </c>
      <c r="AB139" s="85">
        <v>-29065.636383928573</v>
      </c>
      <c r="AC139" s="103">
        <v>-17400.71</v>
      </c>
      <c r="AD139" s="85">
        <v>0</v>
      </c>
      <c r="AE139" s="85">
        <v>0</v>
      </c>
      <c r="AF139" s="191">
        <v>0</v>
      </c>
      <c r="AG139" s="83">
        <v>0</v>
      </c>
      <c r="AH139" s="69">
        <f t="shared" si="58"/>
        <v>-190400.32446948392</v>
      </c>
      <c r="AI139" s="288">
        <v>-9209.81</v>
      </c>
      <c r="AJ139" s="288">
        <v>-1000</v>
      </c>
      <c r="AK139" s="288">
        <v>-10667.713609187407</v>
      </c>
      <c r="AL139" s="288">
        <v>0</v>
      </c>
      <c r="AM139" s="288">
        <f t="shared" si="53"/>
        <v>-38080.064893896786</v>
      </c>
      <c r="AN139" s="288">
        <f t="shared" si="54"/>
        <v>-126933.54964632262</v>
      </c>
      <c r="AO139" s="71"/>
      <c r="AP139" s="84">
        <v>0</v>
      </c>
      <c r="AQ139" s="125">
        <v>0</v>
      </c>
      <c r="AR139" s="133"/>
      <c r="AS139" s="78">
        <f t="shared" si="47"/>
        <v>3040655.3948230436</v>
      </c>
      <c r="AT139" s="70">
        <f t="shared" si="48"/>
        <v>-422757.8090028193</v>
      </c>
      <c r="AU139" s="288">
        <f t="shared" si="59"/>
        <v>2617897.5858202241</v>
      </c>
      <c r="AV139" s="71">
        <f t="shared" si="60"/>
        <v>175766395.73620939</v>
      </c>
      <c r="AW139" s="289"/>
      <c r="AX139" s="82">
        <v>0</v>
      </c>
      <c r="AY139" s="223">
        <v>-232744.12796844504</v>
      </c>
      <c r="AZ139" s="223">
        <v>-418939.43034320109</v>
      </c>
      <c r="BA139" s="223">
        <v>-24114.359613036919</v>
      </c>
      <c r="BB139" s="223">
        <v>0</v>
      </c>
      <c r="BC139" s="223">
        <v>0</v>
      </c>
      <c r="BD139" s="223">
        <f t="shared" si="55"/>
        <v>-675797.91792468308</v>
      </c>
      <c r="BE139" s="83">
        <f t="shared" si="50"/>
        <v>-675797.91792468308</v>
      </c>
      <c r="BF139" s="78">
        <f t="shared" si="56"/>
        <v>2364857.476898361</v>
      </c>
      <c r="BG139" s="70">
        <f t="shared" si="49"/>
        <v>-422757.8090028193</v>
      </c>
      <c r="BH139" s="70">
        <f t="shared" si="51"/>
        <v>1942099.6678955418</v>
      </c>
      <c r="BI139" s="71">
        <f t="shared" si="52"/>
        <v>150889560.28435078</v>
      </c>
      <c r="BJ139" s="86"/>
    </row>
    <row r="140" spans="1:62" ht="15" customHeight="1">
      <c r="A140" s="35">
        <f t="shared" si="44"/>
        <v>83</v>
      </c>
      <c r="B140" s="87"/>
      <c r="C140" s="36">
        <v>45778</v>
      </c>
      <c r="D140" s="69">
        <v>1268342.8638095239</v>
      </c>
      <c r="E140" s="78">
        <v>862570.83</v>
      </c>
      <c r="F140" s="78">
        <v>0</v>
      </c>
      <c r="G140" s="37">
        <f t="shared" si="43"/>
        <v>0.05</v>
      </c>
      <c r="H140" s="70">
        <f t="shared" si="45"/>
        <v>-43128.541499999999</v>
      </c>
      <c r="I140" s="70">
        <f t="shared" si="57"/>
        <v>55326.457499999997</v>
      </c>
      <c r="J140" s="79">
        <f t="shared" si="61"/>
        <v>801287.81380134076</v>
      </c>
      <c r="K140" s="79">
        <f t="shared" si="35"/>
        <v>64</v>
      </c>
      <c r="L140" s="79">
        <f t="shared" si="46"/>
        <v>2944399.4236108647</v>
      </c>
      <c r="M140" s="70"/>
      <c r="N140" s="70"/>
      <c r="O140" s="481"/>
      <c r="P140" s="84">
        <v>0</v>
      </c>
      <c r="Q140" s="80">
        <v>0</v>
      </c>
      <c r="R140" s="81">
        <v>0</v>
      </c>
      <c r="S140" s="81">
        <v>0</v>
      </c>
      <c r="T140" s="81">
        <v>0</v>
      </c>
      <c r="U140" s="81">
        <v>0</v>
      </c>
      <c r="V140" s="81">
        <v>0</v>
      </c>
      <c r="W140" s="80">
        <v>0</v>
      </c>
      <c r="X140" s="82">
        <v>0</v>
      </c>
      <c r="Y140" s="189">
        <v>0</v>
      </c>
      <c r="Z140" s="189">
        <v>0</v>
      </c>
      <c r="AA140" s="85">
        <v>0</v>
      </c>
      <c r="AB140" s="85">
        <v>-29065.636383928573</v>
      </c>
      <c r="AC140" s="103">
        <v>-15920.91</v>
      </c>
      <c r="AD140" s="85">
        <v>0</v>
      </c>
      <c r="AE140" s="85">
        <v>0</v>
      </c>
      <c r="AF140" s="191">
        <v>0</v>
      </c>
      <c r="AG140" s="83">
        <v>0</v>
      </c>
      <c r="AH140" s="69">
        <f t="shared" si="58"/>
        <v>-182439.32368938261</v>
      </c>
      <c r="AI140" s="288">
        <v>-9209.81</v>
      </c>
      <c r="AJ140" s="288">
        <v>-1000</v>
      </c>
      <c r="AK140" s="288">
        <v>-9964.6373318127662</v>
      </c>
      <c r="AL140" s="288">
        <v>0</v>
      </c>
      <c r="AM140" s="288">
        <f t="shared" si="53"/>
        <v>-36487.864737876524</v>
      </c>
      <c r="AN140" s="288">
        <f t="shared" si="54"/>
        <v>-121626.21579292175</v>
      </c>
      <c r="AO140" s="71"/>
      <c r="AP140" s="84">
        <v>0</v>
      </c>
      <c r="AQ140" s="125">
        <v>0</v>
      </c>
      <c r="AR140" s="133"/>
      <c r="AS140" s="78">
        <f t="shared" si="47"/>
        <v>2944399.4236108647</v>
      </c>
      <c r="AT140" s="70">
        <f t="shared" si="48"/>
        <v>-405714.39793592226</v>
      </c>
      <c r="AU140" s="288">
        <f t="shared" si="59"/>
        <v>2538685.0256749424</v>
      </c>
      <c r="AV140" s="71">
        <f t="shared" si="60"/>
        <v>178305080.76188433</v>
      </c>
      <c r="AW140" s="289"/>
      <c r="AX140" s="82">
        <v>0</v>
      </c>
      <c r="AY140" s="223">
        <v>-230922.8392072916</v>
      </c>
      <c r="AZ140" s="223">
        <v>-415661.1105731249</v>
      </c>
      <c r="BA140" s="223">
        <v>-23749.753658499569</v>
      </c>
      <c r="BB140" s="223">
        <v>0</v>
      </c>
      <c r="BC140" s="223">
        <v>0</v>
      </c>
      <c r="BD140" s="223">
        <f t="shared" si="55"/>
        <v>-670333.70343891601</v>
      </c>
      <c r="BE140" s="83">
        <f t="shared" si="50"/>
        <v>-670333.70343891601</v>
      </c>
      <c r="BF140" s="78">
        <f t="shared" si="56"/>
        <v>2274065.7201719484</v>
      </c>
      <c r="BG140" s="70">
        <f t="shared" si="49"/>
        <v>-405714.39793592226</v>
      </c>
      <c r="BH140" s="70">
        <f t="shared" si="51"/>
        <v>1868351.3222360262</v>
      </c>
      <c r="BI140" s="71">
        <f t="shared" si="52"/>
        <v>152757911.60658681</v>
      </c>
      <c r="BJ140" s="86"/>
    </row>
    <row r="141" spans="1:62" ht="15" customHeight="1">
      <c r="A141" s="35">
        <f t="shared" si="44"/>
        <v>84</v>
      </c>
      <c r="B141" s="87"/>
      <c r="C141" s="36">
        <v>45809</v>
      </c>
      <c r="D141" s="69">
        <v>1268342.8638095239</v>
      </c>
      <c r="E141" s="78">
        <v>764638.02</v>
      </c>
      <c r="F141" s="78">
        <v>0</v>
      </c>
      <c r="G141" s="37">
        <f t="shared" si="43"/>
        <v>0.05</v>
      </c>
      <c r="H141" s="70">
        <f t="shared" si="45"/>
        <v>-38231.901000000005</v>
      </c>
      <c r="I141" s="70">
        <f t="shared" si="57"/>
        <v>52740.220499999996</v>
      </c>
      <c r="J141" s="79">
        <f t="shared" si="61"/>
        <v>778449.33878311166</v>
      </c>
      <c r="K141" s="79">
        <f t="shared" si="35"/>
        <v>65</v>
      </c>
      <c r="L141" s="79">
        <f t="shared" si="46"/>
        <v>2825938.5420926353</v>
      </c>
      <c r="M141" s="70"/>
      <c r="N141" s="70"/>
      <c r="O141" s="481"/>
      <c r="P141" s="84">
        <v>0</v>
      </c>
      <c r="Q141" s="80">
        <v>0</v>
      </c>
      <c r="R141" s="81">
        <v>0</v>
      </c>
      <c r="S141" s="81">
        <v>0</v>
      </c>
      <c r="T141" s="81">
        <v>0</v>
      </c>
      <c r="U141" s="81">
        <v>0</v>
      </c>
      <c r="V141" s="81">
        <v>0</v>
      </c>
      <c r="W141" s="80">
        <v>0</v>
      </c>
      <c r="X141" s="82">
        <v>0</v>
      </c>
      <c r="Y141" s="189">
        <v>0</v>
      </c>
      <c r="Z141" s="189">
        <v>0</v>
      </c>
      <c r="AA141" s="85">
        <v>0</v>
      </c>
      <c r="AB141" s="85">
        <v>-29065.636383928573</v>
      </c>
      <c r="AC141" s="103">
        <v>-13896.72</v>
      </c>
      <c r="AD141" s="85">
        <v>0</v>
      </c>
      <c r="AE141" s="85">
        <v>0</v>
      </c>
      <c r="AF141" s="191">
        <v>0</v>
      </c>
      <c r="AG141" s="83">
        <v>0</v>
      </c>
      <c r="AH141" s="69">
        <f t="shared" si="58"/>
        <v>-176663.96541665186</v>
      </c>
      <c r="AI141" s="288">
        <v>-9209.81</v>
      </c>
      <c r="AJ141" s="288">
        <v>-1000</v>
      </c>
      <c r="AK141" s="288">
        <v>-9473.2319942203067</v>
      </c>
      <c r="AL141" s="288">
        <v>0</v>
      </c>
      <c r="AM141" s="288">
        <f t="shared" si="53"/>
        <v>-35332.793083330376</v>
      </c>
      <c r="AN141" s="288">
        <f t="shared" si="54"/>
        <v>-117775.97694443459</v>
      </c>
      <c r="AO141" s="71"/>
      <c r="AP141" s="84">
        <v>0</v>
      </c>
      <c r="AQ141" s="125">
        <v>0</v>
      </c>
      <c r="AR141" s="133"/>
      <c r="AS141" s="78">
        <f t="shared" si="47"/>
        <v>2825938.5420926353</v>
      </c>
      <c r="AT141" s="70">
        <f t="shared" si="48"/>
        <v>-392418.13382256567</v>
      </c>
      <c r="AU141" s="288">
        <f t="shared" si="59"/>
        <v>2433520.4082700694</v>
      </c>
      <c r="AV141" s="71">
        <f t="shared" si="60"/>
        <v>180738601.17015439</v>
      </c>
      <c r="AW141" s="289"/>
      <c r="AX141" s="82">
        <v>0</v>
      </c>
      <c r="AY141" s="223">
        <v>-229101.55044613816</v>
      </c>
      <c r="AZ141" s="223">
        <v>-412382.79080304864</v>
      </c>
      <c r="BA141" s="223">
        <v>-23395.485443998939</v>
      </c>
      <c r="BB141" s="223">
        <v>0</v>
      </c>
      <c r="BC141" s="223">
        <v>0</v>
      </c>
      <c r="BD141" s="223">
        <f t="shared" si="55"/>
        <v>-664879.82669318572</v>
      </c>
      <c r="BE141" s="83">
        <f t="shared" si="50"/>
        <v>-664879.82669318572</v>
      </c>
      <c r="BF141" s="78">
        <f t="shared" si="56"/>
        <v>2161058.7153994492</v>
      </c>
      <c r="BG141" s="70">
        <f t="shared" si="49"/>
        <v>-392418.13382256567</v>
      </c>
      <c r="BH141" s="70">
        <f t="shared" si="51"/>
        <v>1768640.5815768836</v>
      </c>
      <c r="BI141" s="71">
        <f t="shared" si="52"/>
        <v>154526552.1881637</v>
      </c>
      <c r="BJ141" s="86"/>
    </row>
    <row r="142" spans="1:62" ht="15" customHeight="1">
      <c r="A142" s="35">
        <f t="shared" si="44"/>
        <v>85</v>
      </c>
      <c r="B142" s="87"/>
      <c r="C142" s="36">
        <v>45839</v>
      </c>
      <c r="D142" s="69">
        <v>1268342.8638095239</v>
      </c>
      <c r="E142" s="78">
        <v>654088.1</v>
      </c>
      <c r="F142" s="78">
        <v>0</v>
      </c>
      <c r="G142" s="37">
        <f t="shared" si="43"/>
        <v>0.05</v>
      </c>
      <c r="H142" s="70">
        <f t="shared" si="45"/>
        <v>-32704.404999999999</v>
      </c>
      <c r="I142" s="70">
        <f t="shared" si="57"/>
        <v>47211.719000000005</v>
      </c>
      <c r="J142" s="79">
        <f t="shared" si="61"/>
        <v>749411.38272845559</v>
      </c>
      <c r="K142" s="79">
        <f t="shared" ref="K142:K186" si="62">K141+1</f>
        <v>66</v>
      </c>
      <c r="L142" s="79">
        <f t="shared" si="46"/>
        <v>2686349.6605379796</v>
      </c>
      <c r="M142" s="70"/>
      <c r="N142" s="70"/>
      <c r="O142" s="481"/>
      <c r="P142" s="84">
        <v>0</v>
      </c>
      <c r="Q142" s="80">
        <v>0</v>
      </c>
      <c r="R142" s="81">
        <v>0</v>
      </c>
      <c r="S142" s="81">
        <v>0</v>
      </c>
      <c r="T142" s="81">
        <v>0</v>
      </c>
      <c r="U142" s="81">
        <v>0</v>
      </c>
      <c r="V142" s="81">
        <v>0</v>
      </c>
      <c r="W142" s="80">
        <v>0</v>
      </c>
      <c r="X142" s="82">
        <v>0</v>
      </c>
      <c r="Y142" s="189">
        <v>0</v>
      </c>
      <c r="Z142" s="189">
        <v>0</v>
      </c>
      <c r="AA142" s="85">
        <v>0</v>
      </c>
      <c r="AB142" s="85">
        <v>-29065.636383928573</v>
      </c>
      <c r="AC142" s="103">
        <v>-11851.13</v>
      </c>
      <c r="AD142" s="85">
        <v>0</v>
      </c>
      <c r="AE142" s="85">
        <v>0</v>
      </c>
      <c r="AF142" s="191">
        <v>0</v>
      </c>
      <c r="AG142" s="83">
        <v>0</v>
      </c>
      <c r="AH142" s="69">
        <f t="shared" si="58"/>
        <v>-169556.31252555811</v>
      </c>
      <c r="AI142" s="288">
        <v>-9209.81</v>
      </c>
      <c r="AJ142" s="288">
        <v>-1000</v>
      </c>
      <c r="AK142" s="288">
        <v>-8929.7129583151109</v>
      </c>
      <c r="AL142" s="288">
        <v>0</v>
      </c>
      <c r="AM142" s="288">
        <f t="shared" si="53"/>
        <v>-33911.262505111627</v>
      </c>
      <c r="AN142" s="288">
        <f t="shared" si="54"/>
        <v>-113037.54168370541</v>
      </c>
      <c r="AO142" s="71"/>
      <c r="AP142" s="84">
        <v>0</v>
      </c>
      <c r="AQ142" s="125">
        <v>0</v>
      </c>
      <c r="AR142" s="133"/>
      <c r="AS142" s="78">
        <f t="shared" si="47"/>
        <v>2686349.6605379796</v>
      </c>
      <c r="AT142" s="70">
        <f t="shared" si="48"/>
        <v>-376561.40605661884</v>
      </c>
      <c r="AU142" s="288">
        <f t="shared" si="59"/>
        <v>2309788.2544813608</v>
      </c>
      <c r="AV142" s="71">
        <f t="shared" si="60"/>
        <v>183048389.42463577</v>
      </c>
      <c r="AW142" s="289"/>
      <c r="AX142" s="82">
        <v>0</v>
      </c>
      <c r="AY142" s="223">
        <v>-227280.2616849847</v>
      </c>
      <c r="AZ142" s="223">
        <v>-409104.47103297245</v>
      </c>
      <c r="BA142" s="223">
        <v>-23051.261861680556</v>
      </c>
      <c r="BB142" s="223">
        <v>0</v>
      </c>
      <c r="BC142" s="223">
        <v>0</v>
      </c>
      <c r="BD142" s="223">
        <f t="shared" si="55"/>
        <v>-659435.99457963766</v>
      </c>
      <c r="BE142" s="83">
        <f t="shared" si="50"/>
        <v>-659435.99457963766</v>
      </c>
      <c r="BF142" s="78">
        <f t="shared" si="56"/>
        <v>2026913.6659583417</v>
      </c>
      <c r="BG142" s="70">
        <f t="shared" si="49"/>
        <v>-376561.40605661884</v>
      </c>
      <c r="BH142" s="70">
        <f t="shared" si="51"/>
        <v>1650352.2599017229</v>
      </c>
      <c r="BI142" s="71">
        <f t="shared" si="52"/>
        <v>156176904.44806543</v>
      </c>
      <c r="BJ142" s="86"/>
    </row>
    <row r="143" spans="1:62" ht="15" customHeight="1">
      <c r="A143" s="35">
        <f t="shared" si="44"/>
        <v>86</v>
      </c>
      <c r="B143" s="87"/>
      <c r="C143" s="36">
        <v>45870</v>
      </c>
      <c r="D143" s="69">
        <v>1268342.8638095239</v>
      </c>
      <c r="E143" s="78">
        <v>527643.85</v>
      </c>
      <c r="F143" s="78">
        <v>0</v>
      </c>
      <c r="G143" s="37">
        <f t="shared" si="43"/>
        <v>0.05</v>
      </c>
      <c r="H143" s="70">
        <f t="shared" si="45"/>
        <v>-26382.192500000001</v>
      </c>
      <c r="I143" s="70">
        <f t="shared" si="57"/>
        <v>43128.541499999999</v>
      </c>
      <c r="J143" s="79">
        <f t="shared" si="61"/>
        <v>712600.80550416233</v>
      </c>
      <c r="K143" s="79">
        <f t="shared" si="62"/>
        <v>67</v>
      </c>
      <c r="L143" s="79">
        <f t="shared" si="46"/>
        <v>2525333.8683136865</v>
      </c>
      <c r="M143" s="70"/>
      <c r="N143" s="70"/>
      <c r="O143" s="481"/>
      <c r="P143" s="84">
        <v>0</v>
      </c>
      <c r="Q143" s="80">
        <v>0</v>
      </c>
      <c r="R143" s="81">
        <v>0</v>
      </c>
      <c r="S143" s="81">
        <v>0</v>
      </c>
      <c r="T143" s="81">
        <v>0</v>
      </c>
      <c r="U143" s="81">
        <v>0</v>
      </c>
      <c r="V143" s="81">
        <v>0</v>
      </c>
      <c r="W143" s="80">
        <v>0</v>
      </c>
      <c r="X143" s="82">
        <v>0</v>
      </c>
      <c r="Y143" s="189">
        <v>0</v>
      </c>
      <c r="Z143" s="189">
        <v>0</v>
      </c>
      <c r="AA143" s="85">
        <v>0</v>
      </c>
      <c r="AB143" s="85">
        <v>-29065.636383928573</v>
      </c>
      <c r="AC143" s="103">
        <v>-9307.26</v>
      </c>
      <c r="AD143" s="85">
        <v>0</v>
      </c>
      <c r="AE143" s="85">
        <v>0</v>
      </c>
      <c r="AF143" s="191">
        <v>0</v>
      </c>
      <c r="AG143" s="83">
        <v>0</v>
      </c>
      <c r="AH143" s="69">
        <f t="shared" si="58"/>
        <v>-161180.97963227876</v>
      </c>
      <c r="AI143" s="288">
        <v>-9209.81</v>
      </c>
      <c r="AJ143" s="288">
        <v>-1000</v>
      </c>
      <c r="AK143" s="288">
        <v>-8329.4256794732337</v>
      </c>
      <c r="AL143" s="288">
        <v>0</v>
      </c>
      <c r="AM143" s="288">
        <f t="shared" si="53"/>
        <v>-32236.195926455755</v>
      </c>
      <c r="AN143" s="288">
        <f t="shared" si="54"/>
        <v>-107453.98642151919</v>
      </c>
      <c r="AO143" s="71"/>
      <c r="AP143" s="84">
        <v>0</v>
      </c>
      <c r="AQ143" s="125">
        <v>0</v>
      </c>
      <c r="AR143" s="133"/>
      <c r="AS143" s="78">
        <f t="shared" si="47"/>
        <v>2525333.8683136865</v>
      </c>
      <c r="AT143" s="70">
        <f t="shared" si="48"/>
        <v>-357783.29404365551</v>
      </c>
      <c r="AU143" s="288">
        <f t="shared" si="59"/>
        <v>2167550.5742700309</v>
      </c>
      <c r="AV143" s="71">
        <f t="shared" si="60"/>
        <v>185215939.99890581</v>
      </c>
      <c r="AW143" s="289"/>
      <c r="AX143" s="82">
        <v>0</v>
      </c>
      <c r="AY143" s="223">
        <v>-225458.97292383126</v>
      </c>
      <c r="AZ143" s="223">
        <v>-405826.15126289625</v>
      </c>
      <c r="BA143" s="223">
        <v>-22716.798114231111</v>
      </c>
      <c r="BB143" s="223">
        <v>0</v>
      </c>
      <c r="BC143" s="223">
        <v>0</v>
      </c>
      <c r="BD143" s="223">
        <f t="shared" si="55"/>
        <v>-654001.92230095854</v>
      </c>
      <c r="BE143" s="83">
        <f t="shared" si="50"/>
        <v>-654001.92230095854</v>
      </c>
      <c r="BF143" s="78">
        <f t="shared" si="56"/>
        <v>1871331.9460127279</v>
      </c>
      <c r="BG143" s="70">
        <f t="shared" si="49"/>
        <v>-357783.29404365551</v>
      </c>
      <c r="BH143" s="70">
        <f t="shared" si="51"/>
        <v>1513548.6519690724</v>
      </c>
      <c r="BI143" s="71">
        <f t="shared" si="52"/>
        <v>157690453.10003451</v>
      </c>
      <c r="BJ143" s="86"/>
    </row>
    <row r="144" spans="1:62" ht="15" customHeight="1">
      <c r="A144" s="35">
        <f t="shared" si="44"/>
        <v>87</v>
      </c>
      <c r="B144" s="87"/>
      <c r="C144" s="36">
        <v>45901</v>
      </c>
      <c r="D144" s="69">
        <v>1268342.8638095239</v>
      </c>
      <c r="E144" s="78">
        <v>448536.89</v>
      </c>
      <c r="F144" s="78">
        <v>0</v>
      </c>
      <c r="G144" s="37">
        <f t="shared" si="43"/>
        <v>0.05</v>
      </c>
      <c r="H144" s="70">
        <f t="shared" si="45"/>
        <v>-22426.844500000003</v>
      </c>
      <c r="I144" s="70">
        <f t="shared" si="57"/>
        <v>38231.901000000005</v>
      </c>
      <c r="J144" s="79">
        <f t="shared" si="61"/>
        <v>693203.68661888456</v>
      </c>
      <c r="K144" s="79">
        <f t="shared" si="62"/>
        <v>68</v>
      </c>
      <c r="L144" s="79">
        <f t="shared" si="46"/>
        <v>2425888.4969284083</v>
      </c>
      <c r="M144" s="70"/>
      <c r="N144" s="70"/>
      <c r="O144" s="481"/>
      <c r="P144" s="84">
        <v>0</v>
      </c>
      <c r="Q144" s="80">
        <v>0</v>
      </c>
      <c r="R144" s="81">
        <v>0</v>
      </c>
      <c r="S144" s="81">
        <v>0</v>
      </c>
      <c r="T144" s="81">
        <v>0</v>
      </c>
      <c r="U144" s="81">
        <v>0</v>
      </c>
      <c r="V144" s="81">
        <v>0</v>
      </c>
      <c r="W144" s="80">
        <v>0</v>
      </c>
      <c r="X144" s="82">
        <v>0</v>
      </c>
      <c r="Y144" s="189">
        <v>0</v>
      </c>
      <c r="Z144" s="189">
        <v>0</v>
      </c>
      <c r="AA144" s="85">
        <v>0</v>
      </c>
      <c r="AB144" s="85">
        <v>-29065.636383928573</v>
      </c>
      <c r="AC144" s="103">
        <v>-7876.02</v>
      </c>
      <c r="AD144" s="85">
        <v>0</v>
      </c>
      <c r="AE144" s="85">
        <v>0</v>
      </c>
      <c r="AF144" s="191">
        <v>0</v>
      </c>
      <c r="AG144" s="83">
        <v>0</v>
      </c>
      <c r="AH144" s="69">
        <f t="shared" si="58"/>
        <v>-151520.03209882119</v>
      </c>
      <c r="AI144" s="288">
        <v>-9209.81</v>
      </c>
      <c r="AJ144" s="288">
        <v>-1000</v>
      </c>
      <c r="AK144" s="288">
        <v>-7961.8513451892395</v>
      </c>
      <c r="AL144" s="288">
        <v>0</v>
      </c>
      <c r="AM144" s="288">
        <f t="shared" si="53"/>
        <v>-30304.006419764239</v>
      </c>
      <c r="AN144" s="288">
        <f t="shared" si="54"/>
        <v>-101013.35473254746</v>
      </c>
      <c r="AO144" s="71"/>
      <c r="AP144" s="84">
        <v>0</v>
      </c>
      <c r="AQ144" s="125">
        <v>0</v>
      </c>
      <c r="AR144" s="133"/>
      <c r="AS144" s="78">
        <f t="shared" si="47"/>
        <v>2425888.4969284083</v>
      </c>
      <c r="AT144" s="70">
        <f t="shared" si="48"/>
        <v>-337950.71098025073</v>
      </c>
      <c r="AU144" s="288">
        <f t="shared" si="59"/>
        <v>2087937.7859481575</v>
      </c>
      <c r="AV144" s="71">
        <f t="shared" si="60"/>
        <v>187303877.78485397</v>
      </c>
      <c r="AW144" s="289"/>
      <c r="AX144" s="82">
        <v>0</v>
      </c>
      <c r="AY144" s="223">
        <v>-223637.68416267779</v>
      </c>
      <c r="AZ144" s="223">
        <v>-402547.83149282006</v>
      </c>
      <c r="BA144" s="223">
        <v>-37953.570467296006</v>
      </c>
      <c r="BB144" s="223">
        <v>0</v>
      </c>
      <c r="BC144" s="223">
        <v>0</v>
      </c>
      <c r="BD144" s="223">
        <f t="shared" si="55"/>
        <v>-664139.08612279384</v>
      </c>
      <c r="BE144" s="83">
        <f t="shared" si="50"/>
        <v>-664139.08612279384</v>
      </c>
      <c r="BF144" s="78">
        <f t="shared" si="56"/>
        <v>1761749.4108056144</v>
      </c>
      <c r="BG144" s="70">
        <f t="shared" si="49"/>
        <v>-337950.71098025073</v>
      </c>
      <c r="BH144" s="70">
        <f t="shared" si="51"/>
        <v>1423798.6998253637</v>
      </c>
      <c r="BI144" s="71">
        <f t="shared" si="52"/>
        <v>159114251.79985988</v>
      </c>
      <c r="BJ144" s="86"/>
    </row>
    <row r="145" spans="1:62" ht="15" customHeight="1">
      <c r="A145" s="35">
        <f t="shared" si="44"/>
        <v>88</v>
      </c>
      <c r="B145" s="87"/>
      <c r="C145" s="36">
        <v>45931</v>
      </c>
      <c r="D145" s="69">
        <v>1268342.8638095239</v>
      </c>
      <c r="E145" s="78">
        <v>234140.79999999999</v>
      </c>
      <c r="F145" s="78">
        <v>0</v>
      </c>
      <c r="G145" s="37">
        <f t="shared" si="43"/>
        <v>0.05</v>
      </c>
      <c r="H145" s="70">
        <f t="shared" si="45"/>
        <v>-11707.04</v>
      </c>
      <c r="I145" s="70">
        <f t="shared" si="57"/>
        <v>32704.404999999999</v>
      </c>
      <c r="J145" s="79">
        <f t="shared" si="61"/>
        <v>617185.1974342037</v>
      </c>
      <c r="K145" s="79">
        <f t="shared" si="62"/>
        <v>69</v>
      </c>
      <c r="L145" s="79">
        <f t="shared" si="46"/>
        <v>2140666.2262437274</v>
      </c>
      <c r="M145" s="70"/>
      <c r="N145" s="70"/>
      <c r="O145" s="481"/>
      <c r="P145" s="84">
        <v>0</v>
      </c>
      <c r="Q145" s="80">
        <v>0</v>
      </c>
      <c r="R145" s="81">
        <v>0</v>
      </c>
      <c r="S145" s="81">
        <v>0</v>
      </c>
      <c r="T145" s="81">
        <v>0</v>
      </c>
      <c r="U145" s="81">
        <v>0</v>
      </c>
      <c r="V145" s="81">
        <v>0</v>
      </c>
      <c r="W145" s="80">
        <v>0</v>
      </c>
      <c r="X145" s="82">
        <v>0</v>
      </c>
      <c r="Y145" s="189">
        <v>0</v>
      </c>
      <c r="Z145" s="189">
        <v>0</v>
      </c>
      <c r="AA145" s="85">
        <v>0</v>
      </c>
      <c r="AB145" s="85">
        <v>-29065.636383928573</v>
      </c>
      <c r="AC145" s="103">
        <v>-3646.9</v>
      </c>
      <c r="AD145" s="85">
        <v>0</v>
      </c>
      <c r="AE145" s="85">
        <v>0</v>
      </c>
      <c r="AF145" s="191">
        <v>0</v>
      </c>
      <c r="AG145" s="83">
        <v>0</v>
      </c>
      <c r="AH145" s="69">
        <f t="shared" si="58"/>
        <v>-145553.3098157045</v>
      </c>
      <c r="AI145" s="288">
        <v>-9209.81</v>
      </c>
      <c r="AJ145" s="288">
        <v>-1000</v>
      </c>
      <c r="AK145" s="288">
        <v>-7703.4185621059814</v>
      </c>
      <c r="AL145" s="288">
        <v>0</v>
      </c>
      <c r="AM145" s="288">
        <f t="shared" si="53"/>
        <v>-29110.661963140901</v>
      </c>
      <c r="AN145" s="288">
        <f t="shared" si="54"/>
        <v>-97035.53987713634</v>
      </c>
      <c r="AO145" s="71"/>
      <c r="AP145" s="84">
        <v>0</v>
      </c>
      <c r="AQ145" s="125">
        <v>0</v>
      </c>
      <c r="AR145" s="133"/>
      <c r="AS145" s="78">
        <f t="shared" si="47"/>
        <v>2140666.2262437274</v>
      </c>
      <c r="AT145" s="70">
        <f t="shared" si="48"/>
        <v>-322325.2766020163</v>
      </c>
      <c r="AU145" s="288">
        <f t="shared" si="59"/>
        <v>1818340.9496417111</v>
      </c>
      <c r="AV145" s="71">
        <f t="shared" si="60"/>
        <v>189122218.73449567</v>
      </c>
      <c r="AW145" s="289"/>
      <c r="AX145" s="82">
        <v>0</v>
      </c>
      <c r="AY145" s="223">
        <v>-221816.39540152432</v>
      </c>
      <c r="AZ145" s="223">
        <v>-399269.5117227438</v>
      </c>
      <c r="BA145" s="223">
        <v>-22076.051080290814</v>
      </c>
      <c r="BB145" s="223">
        <v>0</v>
      </c>
      <c r="BC145" s="223">
        <v>0</v>
      </c>
      <c r="BD145" s="223">
        <f t="shared" si="55"/>
        <v>-643161.95820455893</v>
      </c>
      <c r="BE145" s="83">
        <f t="shared" si="50"/>
        <v>-643161.95820455893</v>
      </c>
      <c r="BF145" s="78">
        <f t="shared" si="56"/>
        <v>1497504.2680391683</v>
      </c>
      <c r="BG145" s="70">
        <f t="shared" si="49"/>
        <v>-322325.2766020163</v>
      </c>
      <c r="BH145" s="70">
        <f t="shared" si="51"/>
        <v>1175178.991437152</v>
      </c>
      <c r="BI145" s="71">
        <f t="shared" si="52"/>
        <v>160289430.79129702</v>
      </c>
      <c r="BJ145" s="86"/>
    </row>
    <row r="146" spans="1:62" ht="15" customHeight="1">
      <c r="A146" s="35">
        <f t="shared" si="44"/>
        <v>89</v>
      </c>
      <c r="B146" s="87"/>
      <c r="C146" s="36">
        <v>45962</v>
      </c>
      <c r="D146" s="69">
        <v>1186334.9042857143</v>
      </c>
      <c r="E146" s="78">
        <v>185062.72</v>
      </c>
      <c r="F146" s="78">
        <v>0</v>
      </c>
      <c r="G146" s="37">
        <f t="shared" si="43"/>
        <v>0.05</v>
      </c>
      <c r="H146" s="70">
        <f t="shared" si="45"/>
        <v>-9253.1360000000004</v>
      </c>
      <c r="I146" s="70">
        <f t="shared" si="57"/>
        <v>26382.192500000001</v>
      </c>
      <c r="J146" s="79">
        <f t="shared" si="61"/>
        <v>573011.79270434403</v>
      </c>
      <c r="K146" s="79">
        <f t="shared" si="62"/>
        <v>70</v>
      </c>
      <c r="L146" s="79">
        <f t="shared" si="46"/>
        <v>1961538.4734900582</v>
      </c>
      <c r="M146" s="70"/>
      <c r="N146" s="70"/>
      <c r="O146" s="481"/>
      <c r="P146" s="84">
        <v>0</v>
      </c>
      <c r="Q146" s="80">
        <v>0</v>
      </c>
      <c r="R146" s="81">
        <v>0</v>
      </c>
      <c r="S146" s="81">
        <v>0</v>
      </c>
      <c r="T146" s="81">
        <v>0</v>
      </c>
      <c r="U146" s="81">
        <v>0</v>
      </c>
      <c r="V146" s="81">
        <v>0</v>
      </c>
      <c r="W146" s="80">
        <v>0</v>
      </c>
      <c r="X146" s="82">
        <v>0</v>
      </c>
      <c r="Y146" s="189">
        <v>0</v>
      </c>
      <c r="Z146" s="189">
        <v>0</v>
      </c>
      <c r="AA146" s="85">
        <v>0</v>
      </c>
      <c r="AB146" s="85">
        <v>-27121.189955357142</v>
      </c>
      <c r="AC146" s="103">
        <v>-2763.21</v>
      </c>
      <c r="AD146" s="85">
        <v>0</v>
      </c>
      <c r="AE146" s="85">
        <v>0</v>
      </c>
      <c r="AF146" s="191">
        <v>0</v>
      </c>
      <c r="AG146" s="83">
        <v>0</v>
      </c>
      <c r="AH146" s="69">
        <f t="shared" si="58"/>
        <v>-128439.97357462364</v>
      </c>
      <c r="AI146" s="288">
        <v>-9209.81</v>
      </c>
      <c r="AJ146" s="288">
        <v>-1000</v>
      </c>
      <c r="AK146" s="288">
        <v>-7181.0972612188725</v>
      </c>
      <c r="AL146" s="288">
        <v>0</v>
      </c>
      <c r="AM146" s="288">
        <f t="shared" si="53"/>
        <v>-25687.994714924727</v>
      </c>
      <c r="AN146" s="288">
        <f t="shared" si="54"/>
        <v>-85626.649049749103</v>
      </c>
      <c r="AO146" s="71"/>
      <c r="AP146" s="84">
        <v>0</v>
      </c>
      <c r="AQ146" s="125">
        <v>0</v>
      </c>
      <c r="AR146" s="133"/>
      <c r="AS146" s="78">
        <f t="shared" si="47"/>
        <v>1961538.4734900582</v>
      </c>
      <c r="AT146" s="70">
        <f t="shared" si="48"/>
        <v>-287029.9245558735</v>
      </c>
      <c r="AU146" s="288">
        <f t="shared" si="59"/>
        <v>1674508.5489341847</v>
      </c>
      <c r="AV146" s="71">
        <f t="shared" si="60"/>
        <v>190796727.28342986</v>
      </c>
      <c r="AW146" s="289"/>
      <c r="AX146" s="82">
        <v>0</v>
      </c>
      <c r="AY146" s="223">
        <v>-219995.10664037085</v>
      </c>
      <c r="AZ146" s="223">
        <v>-395991.19195266761</v>
      </c>
      <c r="BA146" s="223">
        <v>-21769.237664421431</v>
      </c>
      <c r="BB146" s="223">
        <v>0</v>
      </c>
      <c r="BC146" s="223">
        <v>0</v>
      </c>
      <c r="BD146" s="223">
        <f t="shared" si="55"/>
        <v>-637755.5362574599</v>
      </c>
      <c r="BE146" s="83">
        <f t="shared" si="50"/>
        <v>-637755.5362574599</v>
      </c>
      <c r="BF146" s="78">
        <f t="shared" si="56"/>
        <v>1323782.9372325984</v>
      </c>
      <c r="BG146" s="70">
        <f t="shared" si="49"/>
        <v>-287029.9245558735</v>
      </c>
      <c r="BH146" s="70">
        <f t="shared" si="51"/>
        <v>1036753.0126767249</v>
      </c>
      <c r="BI146" s="71">
        <f t="shared" si="52"/>
        <v>161326183.80397373</v>
      </c>
      <c r="BJ146" s="86"/>
    </row>
    <row r="147" spans="1:62" ht="15" customHeight="1">
      <c r="A147" s="35">
        <f t="shared" si="44"/>
        <v>90</v>
      </c>
      <c r="B147" s="87"/>
      <c r="C147" s="36">
        <v>45992</v>
      </c>
      <c r="D147" s="69">
        <v>1135598.9722619047</v>
      </c>
      <c r="E147" s="78">
        <v>165839.35</v>
      </c>
      <c r="F147" s="78">
        <v>0</v>
      </c>
      <c r="G147" s="37">
        <f t="shared" si="43"/>
        <v>0.05</v>
      </c>
      <c r="H147" s="70">
        <f t="shared" si="45"/>
        <v>-8291.9675000000007</v>
      </c>
      <c r="I147" s="70">
        <f t="shared" si="57"/>
        <v>22426.844500000003</v>
      </c>
      <c r="J147" s="79">
        <f t="shared" si="61"/>
        <v>553006.75555393449</v>
      </c>
      <c r="K147" s="79">
        <f t="shared" si="62"/>
        <v>71</v>
      </c>
      <c r="L147" s="79">
        <f t="shared" si="46"/>
        <v>1868579.9548158394</v>
      </c>
      <c r="M147" s="70"/>
      <c r="N147" s="70"/>
      <c r="O147" s="481"/>
      <c r="P147" s="84">
        <v>0</v>
      </c>
      <c r="Q147" s="80">
        <v>0</v>
      </c>
      <c r="R147" s="81">
        <v>0</v>
      </c>
      <c r="S147" s="81">
        <v>0</v>
      </c>
      <c r="T147" s="81">
        <v>0</v>
      </c>
      <c r="U147" s="81">
        <v>0</v>
      </c>
      <c r="V147" s="81">
        <v>0</v>
      </c>
      <c r="W147" s="80">
        <v>0</v>
      </c>
      <c r="X147" s="82">
        <v>0</v>
      </c>
      <c r="Y147" s="189">
        <v>0</v>
      </c>
      <c r="Z147" s="189">
        <v>0</v>
      </c>
      <c r="AA147" s="85">
        <v>0</v>
      </c>
      <c r="AB147" s="85">
        <v>-26036.393526785716</v>
      </c>
      <c r="AC147" s="103">
        <v>-2546.31</v>
      </c>
      <c r="AD147" s="85">
        <v>0</v>
      </c>
      <c r="AE147" s="85">
        <v>0</v>
      </c>
      <c r="AF147" s="191">
        <v>0</v>
      </c>
      <c r="AG147" s="83">
        <v>0</v>
      </c>
      <c r="AH147" s="69">
        <f t="shared" si="58"/>
        <v>-117692.30840940349</v>
      </c>
      <c r="AI147" s="288">
        <v>-9209.81</v>
      </c>
      <c r="AJ147" s="288">
        <v>-1000</v>
      </c>
      <c r="AK147" s="288">
        <v>-6972.1644093073337</v>
      </c>
      <c r="AL147" s="288">
        <v>0</v>
      </c>
      <c r="AM147" s="288">
        <f t="shared" si="53"/>
        <v>-23538.461681880701</v>
      </c>
      <c r="AN147" s="288">
        <f t="shared" si="54"/>
        <v>-78461.538939602324</v>
      </c>
      <c r="AO147" s="71"/>
      <c r="AP147" s="84">
        <v>0</v>
      </c>
      <c r="AQ147" s="125">
        <v>0</v>
      </c>
      <c r="AR147" s="133"/>
      <c r="AS147" s="78">
        <f t="shared" si="47"/>
        <v>1868579.9548158394</v>
      </c>
      <c r="AT147" s="70">
        <f t="shared" si="48"/>
        <v>-265456.98696697957</v>
      </c>
      <c r="AU147" s="288">
        <f t="shared" si="59"/>
        <v>1603122.9678488597</v>
      </c>
      <c r="AV147" s="71">
        <f t="shared" si="60"/>
        <v>192399850.25127873</v>
      </c>
      <c r="AW147" s="289"/>
      <c r="AX147" s="82">
        <v>0</v>
      </c>
      <c r="AY147" s="223">
        <v>-218173.81787921741</v>
      </c>
      <c r="AZ147" s="223">
        <v>-392712.87218259141</v>
      </c>
      <c r="BA147" s="223">
        <v>-21471.123386055333</v>
      </c>
      <c r="BB147" s="223">
        <v>0</v>
      </c>
      <c r="BC147" s="223">
        <v>0</v>
      </c>
      <c r="BD147" s="223">
        <f t="shared" si="55"/>
        <v>-632357.81344786414</v>
      </c>
      <c r="BE147" s="83">
        <f t="shared" si="50"/>
        <v>-632357.81344786414</v>
      </c>
      <c r="BF147" s="78">
        <f t="shared" si="56"/>
        <v>1236222.1413679754</v>
      </c>
      <c r="BG147" s="70">
        <f t="shared" si="49"/>
        <v>-265456.98696697957</v>
      </c>
      <c r="BH147" s="70">
        <f t="shared" si="51"/>
        <v>970765.15440099582</v>
      </c>
      <c r="BI147" s="71">
        <f t="shared" si="52"/>
        <v>162296948.95837474</v>
      </c>
      <c r="BJ147" s="86"/>
    </row>
    <row r="148" spans="1:62" ht="15" customHeight="1">
      <c r="A148" s="35">
        <f t="shared" si="44"/>
        <v>91</v>
      </c>
      <c r="B148" s="87"/>
      <c r="C148" s="36">
        <v>46023</v>
      </c>
      <c r="D148" s="69">
        <v>1066169.9186904761</v>
      </c>
      <c r="E148" s="78">
        <v>149432.67000000001</v>
      </c>
      <c r="F148" s="78">
        <v>0</v>
      </c>
      <c r="G148" s="37">
        <f t="shared" si="43"/>
        <v>0.05</v>
      </c>
      <c r="H148" s="70">
        <f t="shared" si="45"/>
        <v>-7471.6335000000008</v>
      </c>
      <c r="I148" s="70">
        <f t="shared" si="57"/>
        <v>11707.04</v>
      </c>
      <c r="J148" s="79">
        <f t="shared" si="61"/>
        <v>525194.14336334495</v>
      </c>
      <c r="K148" s="79">
        <f t="shared" si="62"/>
        <v>72</v>
      </c>
      <c r="L148" s="79">
        <f t="shared" si="46"/>
        <v>1745032.138553821</v>
      </c>
      <c r="M148" s="70"/>
      <c r="N148" s="70"/>
      <c r="O148" s="481"/>
      <c r="P148" s="84">
        <v>0</v>
      </c>
      <c r="Q148" s="80">
        <v>0</v>
      </c>
      <c r="R148" s="81">
        <v>0</v>
      </c>
      <c r="S148" s="81">
        <v>0</v>
      </c>
      <c r="T148" s="81">
        <v>0</v>
      </c>
      <c r="U148" s="81">
        <v>0</v>
      </c>
      <c r="V148" s="81">
        <v>0</v>
      </c>
      <c r="W148" s="80">
        <v>0</v>
      </c>
      <c r="X148" s="82">
        <v>0</v>
      </c>
      <c r="Y148" s="189">
        <v>0</v>
      </c>
      <c r="Z148" s="189">
        <v>0</v>
      </c>
      <c r="AA148" s="85">
        <v>0</v>
      </c>
      <c r="AB148" s="85">
        <v>-24501.30424107143</v>
      </c>
      <c r="AC148" s="103">
        <v>-2302.86</v>
      </c>
      <c r="AD148" s="85">
        <v>0</v>
      </c>
      <c r="AE148" s="85">
        <v>0</v>
      </c>
      <c r="AF148" s="191">
        <v>0</v>
      </c>
      <c r="AG148" s="83">
        <v>0</v>
      </c>
      <c r="AH148" s="69">
        <f t="shared" si="58"/>
        <v>-112114.79728895036</v>
      </c>
      <c r="AI148" s="288">
        <v>-9209.81</v>
      </c>
      <c r="AJ148" s="288">
        <v>-1000</v>
      </c>
      <c r="AK148" s="288">
        <v>-6750.5273595087674</v>
      </c>
      <c r="AL148" s="288">
        <v>0</v>
      </c>
      <c r="AM148" s="288">
        <f t="shared" si="53"/>
        <v>-22422.959457790075</v>
      </c>
      <c r="AN148" s="288">
        <f t="shared" si="54"/>
        <v>-74743.198192633572</v>
      </c>
      <c r="AO148" s="71"/>
      <c r="AP148" s="84">
        <v>0</v>
      </c>
      <c r="AQ148" s="125">
        <v>0</v>
      </c>
      <c r="AR148" s="133"/>
      <c r="AS148" s="78">
        <f t="shared" si="47"/>
        <v>1745032.138553821</v>
      </c>
      <c r="AT148" s="70">
        <f t="shared" si="48"/>
        <v>-253045.4565399542</v>
      </c>
      <c r="AU148" s="288">
        <f t="shared" si="59"/>
        <v>1491986.6820138667</v>
      </c>
      <c r="AV148" s="71">
        <f t="shared" si="60"/>
        <v>193891836.9332926</v>
      </c>
      <c r="AW148" s="289"/>
      <c r="AX148" s="82">
        <v>0</v>
      </c>
      <c r="AY148" s="223">
        <v>-216352.52911806398</v>
      </c>
      <c r="AZ148" s="223">
        <v>-389434.55241251516</v>
      </c>
      <c r="BA148" s="223">
        <v>-21181.461596938607</v>
      </c>
      <c r="BB148" s="223">
        <v>0</v>
      </c>
      <c r="BC148" s="223">
        <v>0</v>
      </c>
      <c r="BD148" s="223">
        <f t="shared" si="55"/>
        <v>-626968.54312751768</v>
      </c>
      <c r="BE148" s="83">
        <f t="shared" si="50"/>
        <v>-626968.54312751768</v>
      </c>
      <c r="BF148" s="78">
        <f t="shared" si="56"/>
        <v>1118063.5954263033</v>
      </c>
      <c r="BG148" s="70">
        <f t="shared" si="49"/>
        <v>-253045.4565399542</v>
      </c>
      <c r="BH148" s="70">
        <f t="shared" si="51"/>
        <v>865018.13888634916</v>
      </c>
      <c r="BI148" s="71">
        <f t="shared" si="52"/>
        <v>163161967.0972611</v>
      </c>
      <c r="BJ148" s="86"/>
    </row>
    <row r="149" spans="1:62" ht="15" customHeight="1">
      <c r="A149" s="35">
        <f t="shared" si="44"/>
        <v>92</v>
      </c>
      <c r="B149" s="87"/>
      <c r="C149" s="36">
        <v>46054</v>
      </c>
      <c r="D149" s="69">
        <v>1029680.6817857143</v>
      </c>
      <c r="E149" s="78">
        <v>138703.07999999999</v>
      </c>
      <c r="F149" s="78">
        <v>0</v>
      </c>
      <c r="G149" s="37">
        <f t="shared" si="43"/>
        <v>0.05</v>
      </c>
      <c r="H149" s="70">
        <f t="shared" si="45"/>
        <v>-6935.1539999999995</v>
      </c>
      <c r="I149" s="70">
        <f t="shared" si="57"/>
        <v>9253.1360000000004</v>
      </c>
      <c r="J149" s="79">
        <f t="shared" si="61"/>
        <v>513159.40576779447</v>
      </c>
      <c r="K149" s="79">
        <f t="shared" si="62"/>
        <v>73</v>
      </c>
      <c r="L149" s="79">
        <f t="shared" si="46"/>
        <v>1683861.149553509</v>
      </c>
      <c r="M149" s="70"/>
      <c r="N149" s="70"/>
      <c r="O149" s="481"/>
      <c r="P149" s="84">
        <v>0</v>
      </c>
      <c r="Q149" s="80">
        <v>0</v>
      </c>
      <c r="R149" s="81">
        <v>0</v>
      </c>
      <c r="S149" s="81">
        <v>0</v>
      </c>
      <c r="T149" s="81">
        <v>0</v>
      </c>
      <c r="U149" s="81">
        <v>0</v>
      </c>
      <c r="V149" s="81">
        <v>0</v>
      </c>
      <c r="W149" s="80">
        <v>0</v>
      </c>
      <c r="X149" s="82">
        <v>0</v>
      </c>
      <c r="Y149" s="189">
        <v>0</v>
      </c>
      <c r="Z149" s="189">
        <v>0</v>
      </c>
      <c r="AA149" s="85">
        <v>0</v>
      </c>
      <c r="AB149" s="85">
        <v>-23682.589955357143</v>
      </c>
      <c r="AC149" s="103">
        <v>-2140.6999999999998</v>
      </c>
      <c r="AD149" s="85">
        <v>0</v>
      </c>
      <c r="AE149" s="85">
        <v>0</v>
      </c>
      <c r="AF149" s="191">
        <v>0</v>
      </c>
      <c r="AG149" s="83">
        <v>0</v>
      </c>
      <c r="AH149" s="69">
        <f t="shared" si="58"/>
        <v>-104701.92831322926</v>
      </c>
      <c r="AI149" s="288">
        <v>-9209.81</v>
      </c>
      <c r="AJ149" s="288">
        <v>-1000</v>
      </c>
      <c r="AK149" s="288">
        <v>-6405.0128636486825</v>
      </c>
      <c r="AL149" s="288">
        <v>0</v>
      </c>
      <c r="AM149" s="288">
        <f t="shared" si="53"/>
        <v>-20940.385662645851</v>
      </c>
      <c r="AN149" s="288">
        <f t="shared" si="54"/>
        <v>-69801.285542152837</v>
      </c>
      <c r="AO149" s="71"/>
      <c r="AP149" s="84">
        <v>0</v>
      </c>
      <c r="AQ149" s="125">
        <v>0</v>
      </c>
      <c r="AR149" s="133"/>
      <c r="AS149" s="78">
        <f t="shared" si="47"/>
        <v>1683861.149553509</v>
      </c>
      <c r="AT149" s="70">
        <f t="shared" si="48"/>
        <v>-237881.71233703376</v>
      </c>
      <c r="AU149" s="288">
        <f t="shared" si="59"/>
        <v>1445979.4372164751</v>
      </c>
      <c r="AV149" s="71">
        <f t="shared" si="60"/>
        <v>195337816.37050906</v>
      </c>
      <c r="AW149" s="289"/>
      <c r="AX149" s="82">
        <v>0</v>
      </c>
      <c r="AY149" s="223">
        <v>-214531.24035691051</v>
      </c>
      <c r="AZ149" s="223">
        <v>-386156.2326424389</v>
      </c>
      <c r="BA149" s="223">
        <v>-20900.012642080892</v>
      </c>
      <c r="BB149" s="223">
        <v>0</v>
      </c>
      <c r="BC149" s="223">
        <v>0</v>
      </c>
      <c r="BD149" s="223">
        <f t="shared" si="55"/>
        <v>-621587.48564143036</v>
      </c>
      <c r="BE149" s="83">
        <f t="shared" si="50"/>
        <v>-621587.48564143036</v>
      </c>
      <c r="BF149" s="78">
        <f t="shared" si="56"/>
        <v>1062273.6639120786</v>
      </c>
      <c r="BG149" s="70">
        <f t="shared" si="49"/>
        <v>-237881.71233703376</v>
      </c>
      <c r="BH149" s="70">
        <f t="shared" si="51"/>
        <v>824391.95157504478</v>
      </c>
      <c r="BI149" s="71">
        <f t="shared" si="52"/>
        <v>163986359.04883614</v>
      </c>
      <c r="BJ149" s="86"/>
    </row>
    <row r="150" spans="1:62" ht="15" customHeight="1">
      <c r="A150" s="35">
        <f t="shared" si="44"/>
        <v>93</v>
      </c>
      <c r="B150" s="87"/>
      <c r="C150" s="36">
        <v>46082</v>
      </c>
      <c r="D150" s="69">
        <v>803646.41988095234</v>
      </c>
      <c r="E150" s="78">
        <v>122615.72</v>
      </c>
      <c r="F150" s="78">
        <v>0</v>
      </c>
      <c r="G150" s="37">
        <f t="shared" si="43"/>
        <v>0.05</v>
      </c>
      <c r="H150" s="70">
        <f t="shared" si="45"/>
        <v>-6130.7860000000001</v>
      </c>
      <c r="I150" s="70">
        <f t="shared" si="57"/>
        <v>8291.9675000000007</v>
      </c>
      <c r="J150" s="79">
        <f t="shared" si="61"/>
        <v>413483.90310693148</v>
      </c>
      <c r="K150" s="79">
        <f t="shared" si="62"/>
        <v>74</v>
      </c>
      <c r="L150" s="79">
        <f t="shared" si="46"/>
        <v>1341907.2244878837</v>
      </c>
      <c r="M150" s="70"/>
      <c r="N150" s="70"/>
      <c r="O150" s="481"/>
      <c r="P150" s="84">
        <v>0</v>
      </c>
      <c r="Q150" s="80">
        <v>0</v>
      </c>
      <c r="R150" s="81">
        <v>0</v>
      </c>
      <c r="S150" s="81">
        <v>0</v>
      </c>
      <c r="T150" s="81">
        <v>0</v>
      </c>
      <c r="U150" s="81">
        <v>0</v>
      </c>
      <c r="V150" s="81">
        <v>0</v>
      </c>
      <c r="W150" s="80">
        <v>0</v>
      </c>
      <c r="X150" s="82">
        <v>0</v>
      </c>
      <c r="Y150" s="189">
        <v>0</v>
      </c>
      <c r="Z150" s="189">
        <v>0</v>
      </c>
      <c r="AA150" s="85">
        <v>0</v>
      </c>
      <c r="AB150" s="85">
        <v>-18565.625669642861</v>
      </c>
      <c r="AC150" s="103">
        <v>-1871.5</v>
      </c>
      <c r="AD150" s="85">
        <v>0</v>
      </c>
      <c r="AE150" s="85">
        <v>0</v>
      </c>
      <c r="AF150" s="191">
        <v>0</v>
      </c>
      <c r="AG150" s="83">
        <v>0</v>
      </c>
      <c r="AH150" s="69">
        <f t="shared" si="58"/>
        <v>-101031.66897321053</v>
      </c>
      <c r="AI150" s="288">
        <v>-9209.81</v>
      </c>
      <c r="AJ150" s="288">
        <v>-1000</v>
      </c>
      <c r="AK150" s="288">
        <v>-6142.9493467679968</v>
      </c>
      <c r="AL150" s="288">
        <v>0</v>
      </c>
      <c r="AM150" s="288">
        <f t="shared" si="53"/>
        <v>-20206.333794642109</v>
      </c>
      <c r="AN150" s="288">
        <f t="shared" si="54"/>
        <v>-67354.445982140358</v>
      </c>
      <c r="AO150" s="71"/>
      <c r="AP150" s="84">
        <v>0</v>
      </c>
      <c r="AQ150" s="125">
        <v>0</v>
      </c>
      <c r="AR150" s="133"/>
      <c r="AS150" s="78">
        <f t="shared" si="47"/>
        <v>1341907.2244878837</v>
      </c>
      <c r="AT150" s="70">
        <f t="shared" si="48"/>
        <v>-225382.33376640384</v>
      </c>
      <c r="AU150" s="288">
        <f t="shared" si="59"/>
        <v>1116524.8907214799</v>
      </c>
      <c r="AV150" s="71">
        <f t="shared" si="60"/>
        <v>196454341.26123053</v>
      </c>
      <c r="AW150" s="289"/>
      <c r="AX150" s="82">
        <v>0</v>
      </c>
      <c r="AY150" s="223">
        <v>-212709.95159575707</v>
      </c>
      <c r="AZ150" s="223">
        <v>-382877.91287236277</v>
      </c>
      <c r="BA150" s="223">
        <v>-20626.543661474061</v>
      </c>
      <c r="BB150" s="223">
        <v>0</v>
      </c>
      <c r="BC150" s="223">
        <v>0</v>
      </c>
      <c r="BD150" s="223">
        <f t="shared" si="55"/>
        <v>-616214.40812959382</v>
      </c>
      <c r="BE150" s="83">
        <f t="shared" si="50"/>
        <v>-616214.40812959382</v>
      </c>
      <c r="BF150" s="78">
        <f t="shared" si="56"/>
        <v>725692.8163582898</v>
      </c>
      <c r="BG150" s="70">
        <f t="shared" si="49"/>
        <v>-225382.33376640384</v>
      </c>
      <c r="BH150" s="70">
        <f t="shared" si="51"/>
        <v>500310.48259188596</v>
      </c>
      <c r="BI150" s="71">
        <f t="shared" si="52"/>
        <v>164486669.53142804</v>
      </c>
      <c r="BJ150" s="86"/>
    </row>
    <row r="151" spans="1:62" ht="15" customHeight="1">
      <c r="A151" s="35">
        <f t="shared" si="44"/>
        <v>94</v>
      </c>
      <c r="B151" s="87"/>
      <c r="C151" s="36">
        <v>46113</v>
      </c>
      <c r="D151" s="69">
        <v>690629.28892857139</v>
      </c>
      <c r="E151" s="78">
        <v>113486.06</v>
      </c>
      <c r="F151" s="78">
        <v>0</v>
      </c>
      <c r="G151" s="37">
        <f t="shared" si="43"/>
        <v>0.05</v>
      </c>
      <c r="H151" s="70">
        <f t="shared" si="45"/>
        <v>-5674.3029999999999</v>
      </c>
      <c r="I151" s="70">
        <f t="shared" si="57"/>
        <v>7471.6335000000008</v>
      </c>
      <c r="J151" s="79">
        <f t="shared" si="61"/>
        <v>364772.87612205278</v>
      </c>
      <c r="K151" s="79">
        <f t="shared" si="62"/>
        <v>75</v>
      </c>
      <c r="L151" s="79">
        <f t="shared" si="46"/>
        <v>1170685.5555506242</v>
      </c>
      <c r="M151" s="70"/>
      <c r="N151" s="70"/>
      <c r="O151" s="481"/>
      <c r="P151" s="84">
        <v>0</v>
      </c>
      <c r="Q151" s="80">
        <v>0</v>
      </c>
      <c r="R151" s="81">
        <v>0</v>
      </c>
      <c r="S151" s="81">
        <v>0</v>
      </c>
      <c r="T151" s="81">
        <v>0</v>
      </c>
      <c r="U151" s="81">
        <v>0</v>
      </c>
      <c r="V151" s="81">
        <v>0</v>
      </c>
      <c r="W151" s="80">
        <v>0</v>
      </c>
      <c r="X151" s="82">
        <v>0</v>
      </c>
      <c r="Y151" s="189">
        <v>0</v>
      </c>
      <c r="Z151" s="189">
        <v>0</v>
      </c>
      <c r="AA151" s="85">
        <v>0</v>
      </c>
      <c r="AB151" s="85">
        <v>-16007.143526785712</v>
      </c>
      <c r="AC151" s="103">
        <v>-1683.55</v>
      </c>
      <c r="AD151" s="85">
        <v>0</v>
      </c>
      <c r="AE151" s="85">
        <v>0</v>
      </c>
      <c r="AF151" s="191">
        <v>0</v>
      </c>
      <c r="AG151" s="83">
        <v>0</v>
      </c>
      <c r="AH151" s="69">
        <f t="shared" si="58"/>
        <v>-80514.433469273019</v>
      </c>
      <c r="AI151" s="288">
        <v>-9209.81</v>
      </c>
      <c r="AJ151" s="288">
        <v>-1000</v>
      </c>
      <c r="AK151" s="288">
        <v>-5681.614497370565</v>
      </c>
      <c r="AL151" s="288">
        <v>0</v>
      </c>
      <c r="AM151" s="288">
        <f t="shared" si="53"/>
        <v>-16102.886693854605</v>
      </c>
      <c r="AN151" s="288">
        <f t="shared" si="54"/>
        <v>-53676.288979515353</v>
      </c>
      <c r="AO151" s="71"/>
      <c r="AP151" s="84">
        <v>0</v>
      </c>
      <c r="AQ151" s="125">
        <v>0</v>
      </c>
      <c r="AR151" s="133"/>
      <c r="AS151" s="78">
        <f t="shared" si="47"/>
        <v>1170685.5555506242</v>
      </c>
      <c r="AT151" s="70">
        <f t="shared" si="48"/>
        <v>-183875.72716679925</v>
      </c>
      <c r="AU151" s="288">
        <f t="shared" si="59"/>
        <v>986809.8283838249</v>
      </c>
      <c r="AV151" s="71">
        <f t="shared" si="60"/>
        <v>197441151.08961436</v>
      </c>
      <c r="AW151" s="289"/>
      <c r="AX151" s="82">
        <v>0</v>
      </c>
      <c r="AY151" s="223">
        <v>-210888.66283460363</v>
      </c>
      <c r="AZ151" s="223">
        <v>-379599.59310228651</v>
      </c>
      <c r="BA151" s="223">
        <v>-20360.828397432859</v>
      </c>
      <c r="BB151" s="223">
        <v>0</v>
      </c>
      <c r="BC151" s="223">
        <v>0</v>
      </c>
      <c r="BD151" s="223">
        <f t="shared" si="55"/>
        <v>-610849.08433432295</v>
      </c>
      <c r="BE151" s="83">
        <f t="shared" si="50"/>
        <v>-610849.08433432295</v>
      </c>
      <c r="BF151" s="78">
        <f t="shared" si="56"/>
        <v>559836.4712163012</v>
      </c>
      <c r="BG151" s="70">
        <f t="shared" si="49"/>
        <v>-183875.72716679925</v>
      </c>
      <c r="BH151" s="70">
        <f t="shared" si="51"/>
        <v>375960.74404950195</v>
      </c>
      <c r="BI151" s="71">
        <f t="shared" si="52"/>
        <v>164862630.27547753</v>
      </c>
      <c r="BJ151" s="86"/>
    </row>
    <row r="152" spans="1:62" ht="15" customHeight="1">
      <c r="A152" s="35">
        <f t="shared" si="44"/>
        <v>95</v>
      </c>
      <c r="B152" s="87"/>
      <c r="C152" s="36">
        <v>46143</v>
      </c>
      <c r="D152" s="69">
        <v>622974.94547619042</v>
      </c>
      <c r="E152" s="78">
        <v>111599.85</v>
      </c>
      <c r="F152" s="78">
        <v>0</v>
      </c>
      <c r="G152" s="37">
        <f t="shared" si="43"/>
        <v>0.05</v>
      </c>
      <c r="H152" s="70">
        <f t="shared" si="45"/>
        <v>-5579.9925000000003</v>
      </c>
      <c r="I152" s="70">
        <f t="shared" si="57"/>
        <v>6935.1539999999995</v>
      </c>
      <c r="J152" s="79">
        <f t="shared" si="61"/>
        <v>338566.02834359894</v>
      </c>
      <c r="K152" s="79">
        <f t="shared" si="62"/>
        <v>76</v>
      </c>
      <c r="L152" s="79">
        <f t="shared" si="46"/>
        <v>1074495.9853197895</v>
      </c>
      <c r="M152" s="70"/>
      <c r="N152" s="70"/>
      <c r="O152" s="481"/>
      <c r="P152" s="84">
        <v>0</v>
      </c>
      <c r="Q152" s="80">
        <v>0</v>
      </c>
      <c r="R152" s="81">
        <v>0</v>
      </c>
      <c r="S152" s="81">
        <v>0</v>
      </c>
      <c r="T152" s="81">
        <v>0</v>
      </c>
      <c r="U152" s="81">
        <v>0</v>
      </c>
      <c r="V152" s="81">
        <v>0</v>
      </c>
      <c r="W152" s="80">
        <v>0</v>
      </c>
      <c r="X152" s="82">
        <v>0</v>
      </c>
      <c r="Y152" s="189">
        <v>0</v>
      </c>
      <c r="Z152" s="189">
        <v>0</v>
      </c>
      <c r="AA152" s="85">
        <v>0</v>
      </c>
      <c r="AB152" s="85">
        <v>-14254.583258928571</v>
      </c>
      <c r="AC152" s="103">
        <v>-1646.9</v>
      </c>
      <c r="AD152" s="85">
        <v>0</v>
      </c>
      <c r="AE152" s="85">
        <v>0</v>
      </c>
      <c r="AF152" s="191">
        <v>0</v>
      </c>
      <c r="AG152" s="83">
        <v>0</v>
      </c>
      <c r="AH152" s="69">
        <f t="shared" si="58"/>
        <v>-70241.133333037447</v>
      </c>
      <c r="AI152" s="288">
        <v>-9209.81</v>
      </c>
      <c r="AJ152" s="288">
        <v>-1000</v>
      </c>
      <c r="AK152" s="288">
        <v>-4919.7541272613644</v>
      </c>
      <c r="AL152" s="288">
        <v>0</v>
      </c>
      <c r="AM152" s="288">
        <f t="shared" si="53"/>
        <v>-14048.22666660749</v>
      </c>
      <c r="AN152" s="288">
        <f t="shared" si="54"/>
        <v>-46827.422222024965</v>
      </c>
      <c r="AO152" s="71"/>
      <c r="AP152" s="84">
        <v>0</v>
      </c>
      <c r="AQ152" s="125">
        <v>0</v>
      </c>
      <c r="AR152" s="133"/>
      <c r="AS152" s="78">
        <f t="shared" si="47"/>
        <v>1074495.9853197895</v>
      </c>
      <c r="AT152" s="70">
        <f t="shared" si="48"/>
        <v>-162147.82960785984</v>
      </c>
      <c r="AU152" s="288">
        <f t="shared" si="59"/>
        <v>912348.15571192966</v>
      </c>
      <c r="AV152" s="71">
        <f t="shared" si="60"/>
        <v>198353499.24532628</v>
      </c>
      <c r="AW152" s="289"/>
      <c r="AX152" s="82">
        <v>0</v>
      </c>
      <c r="AY152" s="223">
        <v>-209067.37407345016</v>
      </c>
      <c r="AZ152" s="223">
        <v>-376321.27333221026</v>
      </c>
      <c r="BA152" s="223">
        <v>-20102.647007397998</v>
      </c>
      <c r="BB152" s="223">
        <v>0</v>
      </c>
      <c r="BC152" s="223">
        <v>0</v>
      </c>
      <c r="BD152" s="223">
        <f t="shared" si="55"/>
        <v>-605491.29441305844</v>
      </c>
      <c r="BE152" s="83">
        <f t="shared" si="50"/>
        <v>-605491.29441305844</v>
      </c>
      <c r="BF152" s="78">
        <f t="shared" si="56"/>
        <v>469004.69090673106</v>
      </c>
      <c r="BG152" s="70">
        <f t="shared" si="49"/>
        <v>-162147.82960785984</v>
      </c>
      <c r="BH152" s="70">
        <f t="shared" si="51"/>
        <v>306856.86129887123</v>
      </c>
      <c r="BI152" s="71">
        <f t="shared" si="52"/>
        <v>165169487.13677639</v>
      </c>
      <c r="BJ152" s="86"/>
    </row>
    <row r="153" spans="1:62" ht="15" customHeight="1">
      <c r="A153" s="35">
        <f t="shared" si="44"/>
        <v>96</v>
      </c>
      <c r="B153" s="87"/>
      <c r="C153" s="36">
        <v>46174</v>
      </c>
      <c r="D153" s="69">
        <v>605539.7145238095</v>
      </c>
      <c r="E153" s="78">
        <v>110865.12</v>
      </c>
      <c r="F153" s="78">
        <v>0</v>
      </c>
      <c r="G153" s="37">
        <f t="shared" si="43"/>
        <v>0.05</v>
      </c>
      <c r="H153" s="70">
        <f t="shared" ref="H153:H176" si="63">-E153*G153</f>
        <v>-5543.2560000000003</v>
      </c>
      <c r="I153" s="70">
        <f t="shared" si="57"/>
        <v>6130.7860000000001</v>
      </c>
      <c r="J153" s="79">
        <f t="shared" si="61"/>
        <v>335424.46242346277</v>
      </c>
      <c r="K153" s="79">
        <f t="shared" si="62"/>
        <v>77</v>
      </c>
      <c r="L153" s="79">
        <f t="shared" si="46"/>
        <v>1052416.8269472723</v>
      </c>
      <c r="M153" s="70"/>
      <c r="N153" s="70"/>
      <c r="O153" s="481"/>
      <c r="P153" s="84">
        <v>0</v>
      </c>
      <c r="Q153" s="80">
        <v>0</v>
      </c>
      <c r="R153" s="81">
        <v>0</v>
      </c>
      <c r="S153" s="81">
        <v>0</v>
      </c>
      <c r="T153" s="81">
        <v>0</v>
      </c>
      <c r="U153" s="81">
        <v>0</v>
      </c>
      <c r="V153" s="81">
        <v>0</v>
      </c>
      <c r="W153" s="80">
        <v>0</v>
      </c>
      <c r="X153" s="82">
        <v>0</v>
      </c>
      <c r="Y153" s="189">
        <v>0</v>
      </c>
      <c r="Z153" s="189">
        <v>0</v>
      </c>
      <c r="AA153" s="85">
        <v>0</v>
      </c>
      <c r="AB153" s="85">
        <v>-13621.358928571428</v>
      </c>
      <c r="AC153" s="103">
        <v>-1646.9</v>
      </c>
      <c r="AD153" s="85">
        <v>0</v>
      </c>
      <c r="AE153" s="85">
        <v>0</v>
      </c>
      <c r="AF153" s="191">
        <v>0</v>
      </c>
      <c r="AG153" s="83">
        <v>0</v>
      </c>
      <c r="AH153" s="69">
        <f t="shared" si="58"/>
        <v>-64469.759119187365</v>
      </c>
      <c r="AI153" s="288">
        <v>-9209.81</v>
      </c>
      <c r="AJ153" s="288">
        <v>-1000</v>
      </c>
      <c r="AK153" s="288">
        <v>-4503.7387135068657</v>
      </c>
      <c r="AL153" s="288">
        <v>0</v>
      </c>
      <c r="AM153" s="288">
        <f t="shared" si="53"/>
        <v>-12893.951823837475</v>
      </c>
      <c r="AN153" s="288">
        <f t="shared" si="54"/>
        <v>-42979.839412791582</v>
      </c>
      <c r="AO153" s="71"/>
      <c r="AP153" s="84">
        <v>0</v>
      </c>
      <c r="AQ153" s="125">
        <v>0</v>
      </c>
      <c r="AR153" s="133"/>
      <c r="AS153" s="78">
        <f t="shared" si="47"/>
        <v>1052416.8269472723</v>
      </c>
      <c r="AT153" s="70">
        <f t="shared" si="48"/>
        <v>-150325.35799789469</v>
      </c>
      <c r="AU153" s="288">
        <f t="shared" si="59"/>
        <v>902091.46894937754</v>
      </c>
      <c r="AV153" s="71">
        <f t="shared" si="60"/>
        <v>199255590.71427566</v>
      </c>
      <c r="AW153" s="289"/>
      <c r="AX153" s="82">
        <v>0</v>
      </c>
      <c r="AY153" s="223">
        <v>-207246.08531229669</v>
      </c>
      <c r="AZ153" s="223">
        <v>-373042.95356213406</v>
      </c>
      <c r="BA153" s="223">
        <v>-19851.785882046934</v>
      </c>
      <c r="BB153" s="223">
        <v>0</v>
      </c>
      <c r="BC153" s="223">
        <v>0</v>
      </c>
      <c r="BD153" s="223">
        <f t="shared" si="55"/>
        <v>-600140.82475647773</v>
      </c>
      <c r="BE153" s="83">
        <f t="shared" si="50"/>
        <v>-600140.82475647773</v>
      </c>
      <c r="BF153" s="78">
        <f t="shared" si="56"/>
        <v>452276.00219079468</v>
      </c>
      <c r="BG153" s="70">
        <f t="shared" si="49"/>
        <v>-150325.35799789469</v>
      </c>
      <c r="BH153" s="70">
        <f t="shared" si="51"/>
        <v>301950.64419289998</v>
      </c>
      <c r="BI153" s="71">
        <f t="shared" si="52"/>
        <v>165471437.78096929</v>
      </c>
      <c r="BJ153" s="86"/>
    </row>
    <row r="154" spans="1:62" ht="15" customHeight="1">
      <c r="A154" s="35">
        <f t="shared" si="44"/>
        <v>97</v>
      </c>
      <c r="B154" s="87"/>
      <c r="C154" s="36">
        <v>46204</v>
      </c>
      <c r="D154" s="69">
        <v>567119.83238095243</v>
      </c>
      <c r="E154" s="78">
        <v>108966.9</v>
      </c>
      <c r="F154" s="78">
        <v>0</v>
      </c>
      <c r="G154" s="37">
        <f t="shared" si="43"/>
        <v>0.05</v>
      </c>
      <c r="H154" s="70">
        <f t="shared" si="63"/>
        <v>-5448.3450000000003</v>
      </c>
      <c r="I154" s="70">
        <f t="shared" si="57"/>
        <v>5674.3029999999999</v>
      </c>
      <c r="J154" s="79">
        <f t="shared" si="61"/>
        <v>321510.487956987</v>
      </c>
      <c r="K154" s="79">
        <f t="shared" si="62"/>
        <v>78</v>
      </c>
      <c r="L154" s="79">
        <f t="shared" si="46"/>
        <v>997823.17833793943</v>
      </c>
      <c r="M154" s="70"/>
      <c r="N154" s="70"/>
      <c r="O154" s="481"/>
      <c r="P154" s="84">
        <v>0</v>
      </c>
      <c r="Q154" s="80">
        <v>0</v>
      </c>
      <c r="R154" s="81">
        <v>0</v>
      </c>
      <c r="S154" s="81">
        <v>0</v>
      </c>
      <c r="T154" s="81">
        <v>0</v>
      </c>
      <c r="U154" s="81">
        <v>0</v>
      </c>
      <c r="V154" s="81">
        <v>0</v>
      </c>
      <c r="W154" s="80">
        <v>0</v>
      </c>
      <c r="X154" s="82">
        <v>0</v>
      </c>
      <c r="Y154" s="189">
        <v>0</v>
      </c>
      <c r="Z154" s="189">
        <v>0</v>
      </c>
      <c r="AA154" s="85">
        <v>0</v>
      </c>
      <c r="AB154" s="85">
        <v>-12539.120982142857</v>
      </c>
      <c r="AC154" s="103">
        <v>-1629</v>
      </c>
      <c r="AD154" s="85">
        <v>0</v>
      </c>
      <c r="AE154" s="85">
        <v>0</v>
      </c>
      <c r="AF154" s="191">
        <v>0</v>
      </c>
      <c r="AG154" s="83">
        <v>0</v>
      </c>
      <c r="AH154" s="69">
        <f t="shared" si="58"/>
        <v>-63145.009616836338</v>
      </c>
      <c r="AI154" s="288">
        <v>-9209.81</v>
      </c>
      <c r="AJ154" s="288">
        <v>-1000</v>
      </c>
      <c r="AK154" s="288">
        <v>-3842.5046278037189</v>
      </c>
      <c r="AL154" s="288">
        <v>0</v>
      </c>
      <c r="AM154" s="288">
        <f t="shared" si="53"/>
        <v>-12629.001923367268</v>
      </c>
      <c r="AN154" s="288">
        <f t="shared" si="54"/>
        <v>-42096.67307789089</v>
      </c>
      <c r="AO154" s="71"/>
      <c r="AP154" s="84">
        <v>0</v>
      </c>
      <c r="AQ154" s="125">
        <v>0</v>
      </c>
      <c r="AR154" s="133"/>
      <c r="AS154" s="78">
        <f t="shared" si="47"/>
        <v>997823.17833793943</v>
      </c>
      <c r="AT154" s="70">
        <f t="shared" si="48"/>
        <v>-146091.12022804105</v>
      </c>
      <c r="AU154" s="288">
        <f t="shared" si="59"/>
        <v>851732.05810989835</v>
      </c>
      <c r="AV154" s="71">
        <f t="shared" si="60"/>
        <v>200107322.77238557</v>
      </c>
      <c r="AW154" s="289"/>
      <c r="AX154" s="82">
        <v>0</v>
      </c>
      <c r="AY154" s="223">
        <v>-205424.79655114326</v>
      </c>
      <c r="AZ154" s="223">
        <v>-369764.63379205781</v>
      </c>
      <c r="BA154" s="223">
        <v>-19608.037468561732</v>
      </c>
      <c r="BB154" s="223">
        <v>0</v>
      </c>
      <c r="BC154" s="223">
        <v>0</v>
      </c>
      <c r="BD154" s="223">
        <f t="shared" si="55"/>
        <v>-594797.46781176282</v>
      </c>
      <c r="BE154" s="83">
        <f t="shared" si="50"/>
        <v>-594797.46781176282</v>
      </c>
      <c r="BF154" s="78">
        <f t="shared" si="56"/>
        <v>403025.71052617655</v>
      </c>
      <c r="BG154" s="70">
        <f t="shared" si="49"/>
        <v>-146091.12022804105</v>
      </c>
      <c r="BH154" s="70">
        <f t="shared" si="51"/>
        <v>256934.5902981355</v>
      </c>
      <c r="BI154" s="71">
        <f t="shared" si="52"/>
        <v>165728372.37126744</v>
      </c>
      <c r="BJ154" s="86"/>
    </row>
    <row r="155" spans="1:62" ht="15" customHeight="1">
      <c r="A155" s="35">
        <f t="shared" si="44"/>
        <v>98</v>
      </c>
      <c r="B155" s="87"/>
      <c r="C155" s="36">
        <v>46235</v>
      </c>
      <c r="D155" s="69">
        <v>516432.91452380957</v>
      </c>
      <c r="E155" s="78">
        <v>107774.9</v>
      </c>
      <c r="F155" s="78">
        <v>0</v>
      </c>
      <c r="G155" s="37">
        <f t="shared" si="43"/>
        <v>0.05</v>
      </c>
      <c r="H155" s="70">
        <f t="shared" si="63"/>
        <v>-5388.7449999999999</v>
      </c>
      <c r="I155" s="70">
        <f t="shared" si="57"/>
        <v>5579.9925000000003</v>
      </c>
      <c r="J155" s="79">
        <f t="shared" si="61"/>
        <v>301444.90222400788</v>
      </c>
      <c r="K155" s="79">
        <f t="shared" si="62"/>
        <v>79</v>
      </c>
      <c r="L155" s="79">
        <f t="shared" si="46"/>
        <v>925843.96424781752</v>
      </c>
      <c r="M155" s="70"/>
      <c r="N155" s="70"/>
      <c r="O155" s="481"/>
      <c r="P155" s="84">
        <v>0</v>
      </c>
      <c r="Q155" s="80">
        <v>0</v>
      </c>
      <c r="R155" s="81">
        <v>0</v>
      </c>
      <c r="S155" s="81">
        <v>0</v>
      </c>
      <c r="T155" s="81">
        <v>0</v>
      </c>
      <c r="U155" s="81">
        <v>0</v>
      </c>
      <c r="V155" s="81">
        <v>0</v>
      </c>
      <c r="W155" s="80">
        <v>0</v>
      </c>
      <c r="X155" s="82">
        <v>0</v>
      </c>
      <c r="Y155" s="189">
        <v>0</v>
      </c>
      <c r="Z155" s="189">
        <v>0</v>
      </c>
      <c r="AA155" s="85">
        <v>0</v>
      </c>
      <c r="AB155" s="85">
        <v>-11087.182366071429</v>
      </c>
      <c r="AC155" s="103">
        <v>-1629</v>
      </c>
      <c r="AD155" s="85">
        <v>0</v>
      </c>
      <c r="AE155" s="85">
        <v>0</v>
      </c>
      <c r="AF155" s="191">
        <v>0</v>
      </c>
      <c r="AG155" s="83">
        <v>0</v>
      </c>
      <c r="AH155" s="69">
        <f t="shared" si="58"/>
        <v>-59869.390700276366</v>
      </c>
      <c r="AI155" s="288">
        <v>-9209.81</v>
      </c>
      <c r="AJ155" s="288">
        <v>-1000</v>
      </c>
      <c r="AK155" s="288">
        <v>-3212.0999224489842</v>
      </c>
      <c r="AL155" s="288">
        <v>0</v>
      </c>
      <c r="AM155" s="288">
        <f t="shared" si="53"/>
        <v>-11973.878140055274</v>
      </c>
      <c r="AN155" s="288">
        <f t="shared" si="54"/>
        <v>-39912.92713351758</v>
      </c>
      <c r="AO155" s="71"/>
      <c r="AP155" s="84">
        <v>0</v>
      </c>
      <c r="AQ155" s="125">
        <v>0</v>
      </c>
      <c r="AR155" s="133"/>
      <c r="AS155" s="78">
        <f t="shared" ref="AS155:AS186" si="64">+L155</f>
        <v>925843.96424781752</v>
      </c>
      <c r="AT155" s="70">
        <f t="shared" ref="AT155:AT186" si="65">+SUM(P155:AQ155)</f>
        <v>-137894.28826236964</v>
      </c>
      <c r="AU155" s="288">
        <f t="shared" si="59"/>
        <v>787949.67598544783</v>
      </c>
      <c r="AV155" s="71">
        <f t="shared" si="60"/>
        <v>200895272.44837102</v>
      </c>
      <c r="AW155" s="289"/>
      <c r="AX155" s="82">
        <v>0</v>
      </c>
      <c r="AY155" s="223">
        <v>-203603.50778998979</v>
      </c>
      <c r="AZ155" s="223">
        <v>-366486.31402198161</v>
      </c>
      <c r="BA155" s="223">
        <v>-19371.200098907866</v>
      </c>
      <c r="BB155" s="223">
        <v>0</v>
      </c>
      <c r="BC155" s="223">
        <v>0</v>
      </c>
      <c r="BD155" s="223">
        <f t="shared" si="55"/>
        <v>-589461.0219108793</v>
      </c>
      <c r="BE155" s="83">
        <f t="shared" si="50"/>
        <v>-589461.0219108793</v>
      </c>
      <c r="BF155" s="78">
        <f t="shared" si="56"/>
        <v>336382.94233693829</v>
      </c>
      <c r="BG155" s="70">
        <f t="shared" ref="BG155:BG186" si="66">AT155</f>
        <v>-137894.28826236964</v>
      </c>
      <c r="BH155" s="70">
        <f t="shared" si="51"/>
        <v>198488.65407456865</v>
      </c>
      <c r="BI155" s="71">
        <f t="shared" si="52"/>
        <v>165926861.02534202</v>
      </c>
      <c r="BJ155" s="86"/>
    </row>
    <row r="156" spans="1:62" ht="15" customHeight="1">
      <c r="A156" s="35">
        <f t="shared" si="44"/>
        <v>99</v>
      </c>
      <c r="B156" s="87"/>
      <c r="C156" s="36">
        <v>46266</v>
      </c>
      <c r="D156" s="69">
        <v>449587.95857142855</v>
      </c>
      <c r="E156" s="78">
        <v>107774.9</v>
      </c>
      <c r="F156" s="78">
        <v>0</v>
      </c>
      <c r="G156" s="37">
        <f t="shared" si="43"/>
        <v>0.05</v>
      </c>
      <c r="H156" s="70">
        <f t="shared" si="63"/>
        <v>-5388.7449999999999</v>
      </c>
      <c r="I156" s="70">
        <f t="shared" si="57"/>
        <v>5543.2560000000003</v>
      </c>
      <c r="J156" s="79">
        <f t="shared" si="61"/>
        <v>273296.50583877065</v>
      </c>
      <c r="K156" s="79">
        <f t="shared" si="62"/>
        <v>80</v>
      </c>
      <c r="L156" s="79">
        <f t="shared" si="46"/>
        <v>830813.87541019928</v>
      </c>
      <c r="M156" s="70"/>
      <c r="N156" s="70"/>
      <c r="O156" s="481"/>
      <c r="P156" s="84">
        <v>0</v>
      </c>
      <c r="Q156" s="80">
        <v>0</v>
      </c>
      <c r="R156" s="81">
        <v>0</v>
      </c>
      <c r="S156" s="81">
        <v>0</v>
      </c>
      <c r="T156" s="81">
        <v>0</v>
      </c>
      <c r="U156" s="81">
        <v>0</v>
      </c>
      <c r="V156" s="81">
        <v>0</v>
      </c>
      <c r="W156" s="80">
        <v>0</v>
      </c>
      <c r="X156" s="82">
        <v>0</v>
      </c>
      <c r="Y156" s="189">
        <v>0</v>
      </c>
      <c r="Z156" s="189">
        <v>0</v>
      </c>
      <c r="AA156" s="85">
        <v>0</v>
      </c>
      <c r="AB156" s="85">
        <v>-9433.1236607142855</v>
      </c>
      <c r="AC156" s="103">
        <v>-1611.1</v>
      </c>
      <c r="AD156" s="85">
        <v>0</v>
      </c>
      <c r="AE156" s="85">
        <v>0</v>
      </c>
      <c r="AF156" s="191">
        <v>0</v>
      </c>
      <c r="AG156" s="83">
        <v>0</v>
      </c>
      <c r="AH156" s="69">
        <f t="shared" si="58"/>
        <v>-55550.637854869048</v>
      </c>
      <c r="AI156" s="288">
        <v>-9209.81</v>
      </c>
      <c r="AJ156" s="288">
        <v>-1000</v>
      </c>
      <c r="AK156" s="288">
        <v>-3031.2357829604762</v>
      </c>
      <c r="AL156" s="288">
        <v>0</v>
      </c>
      <c r="AM156" s="288">
        <f t="shared" si="53"/>
        <v>-11110.127570973811</v>
      </c>
      <c r="AN156" s="288">
        <f t="shared" si="54"/>
        <v>-37033.758569912701</v>
      </c>
      <c r="AO156" s="71"/>
      <c r="AP156" s="84">
        <v>0</v>
      </c>
      <c r="AQ156" s="125">
        <v>0</v>
      </c>
      <c r="AR156" s="133"/>
      <c r="AS156" s="78">
        <f t="shared" si="64"/>
        <v>830813.87541019928</v>
      </c>
      <c r="AT156" s="70">
        <f t="shared" si="65"/>
        <v>-127979.79343943033</v>
      </c>
      <c r="AU156" s="288">
        <f t="shared" si="59"/>
        <v>702834.08197076898</v>
      </c>
      <c r="AV156" s="71">
        <f t="shared" si="60"/>
        <v>201598106.5303418</v>
      </c>
      <c r="AW156" s="289"/>
      <c r="AX156" s="82">
        <v>0</v>
      </c>
      <c r="AY156" s="223">
        <v>-201782.21902883635</v>
      </c>
      <c r="AZ156" s="223">
        <v>-363207.99425190542</v>
      </c>
      <c r="BA156" s="223">
        <v>-34702.830811029693</v>
      </c>
      <c r="BB156" s="223">
        <v>0</v>
      </c>
      <c r="BC156" s="223">
        <v>0</v>
      </c>
      <c r="BD156" s="223">
        <f t="shared" si="55"/>
        <v>-599693.04409177147</v>
      </c>
      <c r="BE156" s="83">
        <f t="shared" ref="BE156:BE185" si="67">SUM(AY156:BC156)</f>
        <v>-599693.04409177147</v>
      </c>
      <c r="BF156" s="78">
        <f t="shared" si="56"/>
        <v>231120.83131842787</v>
      </c>
      <c r="BG156" s="70">
        <f t="shared" si="66"/>
        <v>-127979.79343943033</v>
      </c>
      <c r="BH156" s="70">
        <f t="shared" si="51"/>
        <v>103141.03787899754</v>
      </c>
      <c r="BI156" s="71">
        <f t="shared" si="52"/>
        <v>166030002.06322101</v>
      </c>
      <c r="BJ156" s="86"/>
    </row>
    <row r="157" spans="1:62" ht="15" customHeight="1">
      <c r="A157" s="35">
        <f t="shared" si="44"/>
        <v>100</v>
      </c>
      <c r="B157" s="87"/>
      <c r="C157" s="36">
        <v>46296</v>
      </c>
      <c r="D157" s="69">
        <v>261115.17714285711</v>
      </c>
      <c r="E157" s="78">
        <v>105813.83</v>
      </c>
      <c r="F157" s="78">
        <v>0</v>
      </c>
      <c r="G157" s="37">
        <f t="shared" si="43"/>
        <v>0.05</v>
      </c>
      <c r="H157" s="70">
        <f t="shared" si="63"/>
        <v>-5290.6915000000008</v>
      </c>
      <c r="I157" s="70">
        <f t="shared" si="57"/>
        <v>5448.3450000000003</v>
      </c>
      <c r="J157" s="79">
        <f t="shared" si="61"/>
        <v>182653.68611616996</v>
      </c>
      <c r="K157" s="79">
        <f t="shared" si="62"/>
        <v>81</v>
      </c>
      <c r="L157" s="79">
        <f t="shared" si="46"/>
        <v>549740.34675902699</v>
      </c>
      <c r="M157" s="70"/>
      <c r="N157" s="70"/>
      <c r="O157" s="481"/>
      <c r="P157" s="84">
        <v>0</v>
      </c>
      <c r="Q157" s="80">
        <v>0</v>
      </c>
      <c r="R157" s="81">
        <v>0</v>
      </c>
      <c r="S157" s="81">
        <v>0</v>
      </c>
      <c r="T157" s="81">
        <v>0</v>
      </c>
      <c r="U157" s="81">
        <v>0</v>
      </c>
      <c r="V157" s="81">
        <v>0</v>
      </c>
      <c r="W157" s="80">
        <v>0</v>
      </c>
      <c r="X157" s="82">
        <v>0</v>
      </c>
      <c r="Y157" s="189">
        <v>0</v>
      </c>
      <c r="Z157" s="189">
        <v>0</v>
      </c>
      <c r="AA157" s="85">
        <v>0</v>
      </c>
      <c r="AB157" s="85">
        <v>-4879.0254464285708</v>
      </c>
      <c r="AC157" s="103">
        <v>-1593.94</v>
      </c>
      <c r="AD157" s="85">
        <v>0</v>
      </c>
      <c r="AE157" s="85">
        <v>0</v>
      </c>
      <c r="AF157" s="191">
        <v>0</v>
      </c>
      <c r="AG157" s="83">
        <v>0</v>
      </c>
      <c r="AH157" s="69">
        <f t="shared" si="58"/>
        <v>-49848.832524611957</v>
      </c>
      <c r="AI157" s="288">
        <v>-9209.81</v>
      </c>
      <c r="AJ157" s="288">
        <v>-1000</v>
      </c>
      <c r="AK157" s="288">
        <v>-2840.1608277388596</v>
      </c>
      <c r="AL157" s="288">
        <v>0</v>
      </c>
      <c r="AM157" s="288">
        <f t="shared" si="53"/>
        <v>-9969.7665049223924</v>
      </c>
      <c r="AN157" s="288">
        <f t="shared" si="54"/>
        <v>-33232.555016407969</v>
      </c>
      <c r="AO157" s="71"/>
      <c r="AP157" s="84">
        <v>0</v>
      </c>
      <c r="AQ157" s="125">
        <v>0</v>
      </c>
      <c r="AR157" s="133"/>
      <c r="AS157" s="78">
        <f t="shared" si="64"/>
        <v>549740.34675902699</v>
      </c>
      <c r="AT157" s="70">
        <f t="shared" si="65"/>
        <v>-112574.09032010974</v>
      </c>
      <c r="AU157" s="288">
        <f t="shared" si="59"/>
        <v>437166.25643891725</v>
      </c>
      <c r="AV157" s="71">
        <f t="shared" si="60"/>
        <v>202035272.78678071</v>
      </c>
      <c r="AW157" s="289"/>
      <c r="AX157" s="82">
        <v>0</v>
      </c>
      <c r="AY157" s="223">
        <v>-199960.93026768288</v>
      </c>
      <c r="AZ157" s="223">
        <v>-359929.67448182916</v>
      </c>
      <c r="BA157" s="223">
        <v>-18917.480246489849</v>
      </c>
      <c r="BB157" s="223">
        <v>0</v>
      </c>
      <c r="BC157" s="223">
        <v>0</v>
      </c>
      <c r="BD157" s="223">
        <f t="shared" ref="BD157:BD180" si="68">SUM(AX157:BB157)</f>
        <v>-578808.08499600191</v>
      </c>
      <c r="BE157" s="83">
        <f t="shared" si="67"/>
        <v>-578808.08499600191</v>
      </c>
      <c r="BF157" s="78">
        <f t="shared" si="56"/>
        <v>-29067.738236974925</v>
      </c>
      <c r="BG157" s="70">
        <f t="shared" si="66"/>
        <v>-112574.09032010974</v>
      </c>
      <c r="BH157" s="70">
        <f t="shared" si="51"/>
        <v>-141641.82855708466</v>
      </c>
      <c r="BI157" s="71">
        <f t="shared" si="52"/>
        <v>165888360.23466393</v>
      </c>
      <c r="BJ157" s="86"/>
    </row>
    <row r="158" spans="1:62" ht="15" customHeight="1">
      <c r="A158" s="35">
        <f t="shared" si="44"/>
        <v>101</v>
      </c>
      <c r="B158" s="87"/>
      <c r="C158" s="36">
        <v>46327</v>
      </c>
      <c r="D158" s="69">
        <v>237087.52345238096</v>
      </c>
      <c r="E158" s="78">
        <v>104699.06</v>
      </c>
      <c r="F158" s="78">
        <v>0</v>
      </c>
      <c r="G158" s="37">
        <f t="shared" si="43"/>
        <v>0.05</v>
      </c>
      <c r="H158" s="70">
        <f t="shared" si="63"/>
        <v>-5234.9530000000004</v>
      </c>
      <c r="I158" s="70">
        <f t="shared" si="57"/>
        <v>5388.7449999999999</v>
      </c>
      <c r="J158" s="79">
        <f t="shared" si="61"/>
        <v>172697.65555282461</v>
      </c>
      <c r="K158" s="79">
        <f t="shared" si="62"/>
        <v>82</v>
      </c>
      <c r="L158" s="79">
        <f t="shared" si="46"/>
        <v>514638.03100520553</v>
      </c>
      <c r="M158" s="70"/>
      <c r="N158" s="70"/>
      <c r="O158" s="481"/>
      <c r="P158" s="84">
        <v>0</v>
      </c>
      <c r="Q158" s="80">
        <v>0</v>
      </c>
      <c r="R158" s="81">
        <v>0</v>
      </c>
      <c r="S158" s="81">
        <v>0</v>
      </c>
      <c r="T158" s="81">
        <v>0</v>
      </c>
      <c r="U158" s="81">
        <v>0</v>
      </c>
      <c r="V158" s="81">
        <v>0</v>
      </c>
      <c r="W158" s="80">
        <v>0</v>
      </c>
      <c r="X158" s="82">
        <v>0</v>
      </c>
      <c r="Y158" s="189">
        <v>0</v>
      </c>
      <c r="Z158" s="189">
        <v>0</v>
      </c>
      <c r="AA158" s="85">
        <v>0</v>
      </c>
      <c r="AB158" s="85">
        <v>-4250.9180803571426</v>
      </c>
      <c r="AC158" s="103">
        <v>-1593.94</v>
      </c>
      <c r="AD158" s="85">
        <v>0</v>
      </c>
      <c r="AE158" s="85">
        <v>0</v>
      </c>
      <c r="AF158" s="191">
        <v>0</v>
      </c>
      <c r="AG158" s="83">
        <v>0</v>
      </c>
      <c r="AH158" s="69">
        <f t="shared" si="58"/>
        <v>-32984.420805541617</v>
      </c>
      <c r="AI158" s="288">
        <v>-9209.81</v>
      </c>
      <c r="AJ158" s="288">
        <v>-1000</v>
      </c>
      <c r="AK158" s="288">
        <v>-2500.0776265839067</v>
      </c>
      <c r="AL158" s="288">
        <v>0</v>
      </c>
      <c r="AM158" s="288">
        <f t="shared" si="53"/>
        <v>-6596.8841611083244</v>
      </c>
      <c r="AN158" s="288">
        <f t="shared" si="54"/>
        <v>-21989.613870361081</v>
      </c>
      <c r="AO158" s="71"/>
      <c r="AP158" s="84">
        <v>0</v>
      </c>
      <c r="AQ158" s="125">
        <v>0</v>
      </c>
      <c r="AR158" s="133"/>
      <c r="AS158" s="78">
        <f t="shared" si="64"/>
        <v>514638.03100520553</v>
      </c>
      <c r="AT158" s="70">
        <f t="shared" si="65"/>
        <v>-80125.66454395208</v>
      </c>
      <c r="AU158" s="288">
        <f t="shared" si="59"/>
        <v>434512.36646125343</v>
      </c>
      <c r="AV158" s="71">
        <f t="shared" si="60"/>
        <v>202469785.15324196</v>
      </c>
      <c r="AW158" s="289"/>
      <c r="AX158" s="82">
        <v>0</v>
      </c>
      <c r="AY158" s="223">
        <v>-198139.64150652944</v>
      </c>
      <c r="AZ158" s="223">
        <v>-356651.35471175297</v>
      </c>
      <c r="BA158" s="223">
        <v>-18700.222373422432</v>
      </c>
      <c r="BB158" s="223">
        <v>0</v>
      </c>
      <c r="BC158" s="223">
        <v>0</v>
      </c>
      <c r="BD158" s="223">
        <f t="shared" si="68"/>
        <v>-573491.21859170485</v>
      </c>
      <c r="BE158" s="83">
        <f t="shared" si="67"/>
        <v>-573491.21859170485</v>
      </c>
      <c r="BF158" s="78">
        <f t="shared" si="56"/>
        <v>-58853.18758649932</v>
      </c>
      <c r="BG158" s="70">
        <f t="shared" si="66"/>
        <v>-80125.66454395208</v>
      </c>
      <c r="BH158" s="70">
        <f t="shared" si="51"/>
        <v>-138978.85213045141</v>
      </c>
      <c r="BI158" s="71">
        <f t="shared" si="52"/>
        <v>165749381.38253349</v>
      </c>
      <c r="BJ158" s="86"/>
    </row>
    <row r="159" spans="1:62" ht="15" customHeight="1">
      <c r="A159" s="35">
        <f t="shared" si="44"/>
        <v>102</v>
      </c>
      <c r="B159" s="87"/>
      <c r="C159" s="36">
        <v>46357</v>
      </c>
      <c r="D159" s="69">
        <v>193538.05845238094</v>
      </c>
      <c r="E159" s="78">
        <v>104224.87</v>
      </c>
      <c r="F159" s="78">
        <v>0</v>
      </c>
      <c r="G159" s="37">
        <f t="shared" si="43"/>
        <v>0.05</v>
      </c>
      <c r="H159" s="70">
        <f t="shared" si="63"/>
        <v>-5211.2435000000005</v>
      </c>
      <c r="I159" s="70">
        <f t="shared" si="57"/>
        <v>5388.7449999999999</v>
      </c>
      <c r="J159" s="79">
        <f t="shared" si="61"/>
        <v>152694.49957735022</v>
      </c>
      <c r="K159" s="79">
        <f t="shared" si="62"/>
        <v>83</v>
      </c>
      <c r="L159" s="79">
        <f t="shared" si="46"/>
        <v>450634.92952973116</v>
      </c>
      <c r="M159" s="70"/>
      <c r="N159" s="70"/>
      <c r="O159" s="481"/>
      <c r="P159" s="84">
        <v>0</v>
      </c>
      <c r="Q159" s="80">
        <v>0</v>
      </c>
      <c r="R159" s="81">
        <v>0</v>
      </c>
      <c r="S159" s="81">
        <v>0</v>
      </c>
      <c r="T159" s="81">
        <v>0</v>
      </c>
      <c r="U159" s="81">
        <v>0</v>
      </c>
      <c r="V159" s="81">
        <v>0</v>
      </c>
      <c r="W159" s="80">
        <v>0</v>
      </c>
      <c r="X159" s="82">
        <v>0</v>
      </c>
      <c r="Y159" s="189">
        <v>0</v>
      </c>
      <c r="Z159" s="189">
        <v>0</v>
      </c>
      <c r="AA159" s="85">
        <v>0</v>
      </c>
      <c r="AB159" s="85">
        <v>-3059.9446428571423</v>
      </c>
      <c r="AC159" s="103">
        <v>-1593.94</v>
      </c>
      <c r="AD159" s="85">
        <v>0</v>
      </c>
      <c r="AE159" s="85">
        <v>0</v>
      </c>
      <c r="AF159" s="191">
        <v>0</v>
      </c>
      <c r="AG159" s="83">
        <v>0</v>
      </c>
      <c r="AH159" s="69">
        <f t="shared" si="58"/>
        <v>-30878.281860312331</v>
      </c>
      <c r="AI159" s="288">
        <v>-9209.81</v>
      </c>
      <c r="AJ159" s="288">
        <v>-1000</v>
      </c>
      <c r="AK159" s="288">
        <v>-2368.2197287801305</v>
      </c>
      <c r="AL159" s="288">
        <v>0</v>
      </c>
      <c r="AM159" s="288">
        <f t="shared" si="53"/>
        <v>-6175.6563720624663</v>
      </c>
      <c r="AN159" s="288">
        <f t="shared" si="54"/>
        <v>-20585.521240208222</v>
      </c>
      <c r="AO159" s="71"/>
      <c r="AP159" s="84">
        <v>0</v>
      </c>
      <c r="AQ159" s="125">
        <v>0</v>
      </c>
      <c r="AR159" s="133"/>
      <c r="AS159" s="78">
        <f t="shared" si="64"/>
        <v>450634.92952973116</v>
      </c>
      <c r="AT159" s="70">
        <f t="shared" si="65"/>
        <v>-74871.373844220288</v>
      </c>
      <c r="AU159" s="288">
        <f t="shared" si="59"/>
        <v>375763.55568551086</v>
      </c>
      <c r="AV159" s="71">
        <f t="shared" si="60"/>
        <v>202845548.70892748</v>
      </c>
      <c r="AW159" s="289"/>
      <c r="AX159" s="82">
        <v>0</v>
      </c>
      <c r="AY159" s="223">
        <v>-196318.35274537597</v>
      </c>
      <c r="AZ159" s="223">
        <v>-353373.03494167677</v>
      </c>
      <c r="BA159" s="223">
        <v>-18489.124452996366</v>
      </c>
      <c r="BB159" s="223">
        <v>0</v>
      </c>
      <c r="BC159" s="223">
        <v>0</v>
      </c>
      <c r="BD159" s="223">
        <f t="shared" si="68"/>
        <v>-568180.51214004913</v>
      </c>
      <c r="BE159" s="83">
        <f t="shared" si="67"/>
        <v>-568180.51214004913</v>
      </c>
      <c r="BF159" s="78">
        <f t="shared" si="56"/>
        <v>-117545.58261031794</v>
      </c>
      <c r="BG159" s="70">
        <f t="shared" si="66"/>
        <v>-74871.373844220288</v>
      </c>
      <c r="BH159" s="70">
        <f t="shared" si="51"/>
        <v>-192416.95645453822</v>
      </c>
      <c r="BI159" s="71">
        <f t="shared" si="52"/>
        <v>165556964.42607895</v>
      </c>
      <c r="BJ159" s="86"/>
    </row>
    <row r="160" spans="1:62" ht="15" customHeight="1">
      <c r="A160" s="35">
        <f t="shared" si="44"/>
        <v>103</v>
      </c>
      <c r="B160" s="87"/>
      <c r="C160" s="36">
        <v>46388</v>
      </c>
      <c r="D160" s="69">
        <v>151935.88023809524</v>
      </c>
      <c r="E160" s="78">
        <v>102653.57</v>
      </c>
      <c r="F160" s="78">
        <v>0</v>
      </c>
      <c r="G160" s="37">
        <f t="shared" si="43"/>
        <v>0.05</v>
      </c>
      <c r="H160" s="70">
        <f t="shared" si="63"/>
        <v>-5132.6785000000009</v>
      </c>
      <c r="I160" s="70">
        <f t="shared" si="57"/>
        <v>5290.6915000000008</v>
      </c>
      <c r="J160" s="79">
        <f t="shared" si="61"/>
        <v>132480.61957073351</v>
      </c>
      <c r="K160" s="79">
        <f t="shared" si="62"/>
        <v>84</v>
      </c>
      <c r="L160" s="79">
        <f t="shared" si="46"/>
        <v>387228.08280882874</v>
      </c>
      <c r="M160" s="70"/>
      <c r="N160" s="70"/>
      <c r="O160" s="481"/>
      <c r="P160" s="84">
        <v>0</v>
      </c>
      <c r="Q160" s="80">
        <v>0</v>
      </c>
      <c r="R160" s="81">
        <v>0</v>
      </c>
      <c r="S160" s="81">
        <v>0</v>
      </c>
      <c r="T160" s="81">
        <v>0</v>
      </c>
      <c r="U160" s="81">
        <v>0</v>
      </c>
      <c r="V160" s="81">
        <v>0</v>
      </c>
      <c r="W160" s="80">
        <v>0</v>
      </c>
      <c r="X160" s="82">
        <v>0</v>
      </c>
      <c r="Y160" s="189">
        <v>0</v>
      </c>
      <c r="Z160" s="189">
        <v>0</v>
      </c>
      <c r="AA160" s="85">
        <v>0</v>
      </c>
      <c r="AB160" s="85">
        <v>-1803.7299107142853</v>
      </c>
      <c r="AC160" s="103">
        <v>-1593.94</v>
      </c>
      <c r="AD160" s="85">
        <v>0</v>
      </c>
      <c r="AE160" s="85">
        <v>0</v>
      </c>
      <c r="AF160" s="191">
        <v>0</v>
      </c>
      <c r="AG160" s="83">
        <v>0</v>
      </c>
      <c r="AH160" s="69">
        <f t="shared" si="58"/>
        <v>-27038.095771783868</v>
      </c>
      <c r="AI160" s="288">
        <v>-9209.81</v>
      </c>
      <c r="AJ160" s="288">
        <v>-1000</v>
      </c>
      <c r="AK160" s="288">
        <v>-2205.3389088506515</v>
      </c>
      <c r="AL160" s="288">
        <v>0</v>
      </c>
      <c r="AM160" s="288">
        <f t="shared" si="53"/>
        <v>-5407.6191543567738</v>
      </c>
      <c r="AN160" s="288">
        <f t="shared" si="54"/>
        <v>-18025.397181189248</v>
      </c>
      <c r="AO160" s="71"/>
      <c r="AP160" s="84">
        <v>0</v>
      </c>
      <c r="AQ160" s="125">
        <v>0</v>
      </c>
      <c r="AR160" s="133"/>
      <c r="AS160" s="78">
        <f t="shared" si="64"/>
        <v>387228.08280882874</v>
      </c>
      <c r="AT160" s="70">
        <f t="shared" si="65"/>
        <v>-66283.930926894827</v>
      </c>
      <c r="AU160" s="288">
        <f t="shared" si="59"/>
        <v>320944.15188193391</v>
      </c>
      <c r="AV160" s="71">
        <f t="shared" si="60"/>
        <v>203166492.86080942</v>
      </c>
      <c r="AW160" s="289"/>
      <c r="AX160" s="82">
        <v>0</v>
      </c>
      <c r="AY160" s="223">
        <v>-194497.06398422254</v>
      </c>
      <c r="AZ160" s="223">
        <v>-350094.71517160058</v>
      </c>
      <c r="BA160" s="223">
        <v>-18284.01183093556</v>
      </c>
      <c r="BB160" s="223">
        <v>0</v>
      </c>
      <c r="BC160" s="223">
        <v>0</v>
      </c>
      <c r="BD160" s="223">
        <f t="shared" si="68"/>
        <v>-562875.79098675877</v>
      </c>
      <c r="BE160" s="83">
        <f t="shared" si="67"/>
        <v>-562875.79098675877</v>
      </c>
      <c r="BF160" s="78">
        <f t="shared" si="56"/>
        <v>-175647.70817792992</v>
      </c>
      <c r="BG160" s="70">
        <f t="shared" si="66"/>
        <v>-66283.930926894827</v>
      </c>
      <c r="BH160" s="70">
        <f t="shared" si="51"/>
        <v>-241931.63910482475</v>
      </c>
      <c r="BI160" s="71">
        <f t="shared" si="52"/>
        <v>165315032.78697413</v>
      </c>
      <c r="BJ160" s="86"/>
    </row>
    <row r="161" spans="1:62" ht="15" customHeight="1">
      <c r="A161" s="35">
        <f t="shared" si="44"/>
        <v>104</v>
      </c>
      <c r="B161" s="87"/>
      <c r="C161" s="36">
        <v>46419</v>
      </c>
      <c r="D161" s="69">
        <v>141519.29249999998</v>
      </c>
      <c r="E161" s="78">
        <v>93045.69</v>
      </c>
      <c r="F161" s="78">
        <v>0</v>
      </c>
      <c r="G161" s="37">
        <f t="shared" si="43"/>
        <v>0.05</v>
      </c>
      <c r="H161" s="70">
        <f t="shared" si="63"/>
        <v>-4652.2845000000007</v>
      </c>
      <c r="I161" s="70">
        <f t="shared" si="57"/>
        <v>5234.9530000000004</v>
      </c>
      <c r="J161" s="79">
        <f t="shared" si="61"/>
        <v>123843.62196652911</v>
      </c>
      <c r="K161" s="79">
        <f t="shared" si="62"/>
        <v>85</v>
      </c>
      <c r="L161" s="79">
        <f t="shared" si="46"/>
        <v>358991.27296652907</v>
      </c>
      <c r="M161" s="70"/>
      <c r="N161" s="70"/>
      <c r="O161" s="481"/>
      <c r="P161" s="84">
        <v>0</v>
      </c>
      <c r="Q161" s="80">
        <v>0</v>
      </c>
      <c r="R161" s="81">
        <v>0</v>
      </c>
      <c r="S161" s="81">
        <v>0</v>
      </c>
      <c r="T161" s="81">
        <v>0</v>
      </c>
      <c r="U161" s="81">
        <v>0</v>
      </c>
      <c r="V161" s="81">
        <v>0</v>
      </c>
      <c r="W161" s="80">
        <v>0</v>
      </c>
      <c r="X161" s="82">
        <v>0</v>
      </c>
      <c r="Y161" s="189">
        <v>0</v>
      </c>
      <c r="Z161" s="189">
        <v>0</v>
      </c>
      <c r="AA161" s="85">
        <v>0</v>
      </c>
      <c r="AB161" s="85">
        <v>-1513.3421874999997</v>
      </c>
      <c r="AC161" s="103">
        <v>-1450.66</v>
      </c>
      <c r="AD161" s="85">
        <v>0</v>
      </c>
      <c r="AE161" s="85">
        <v>0</v>
      </c>
      <c r="AF161" s="191">
        <v>0</v>
      </c>
      <c r="AG161" s="83">
        <v>0</v>
      </c>
      <c r="AH161" s="69">
        <f t="shared" si="58"/>
        <v>-23233.684968529724</v>
      </c>
      <c r="AI161" s="288">
        <v>0</v>
      </c>
      <c r="AJ161" s="288">
        <v>-1000</v>
      </c>
      <c r="AK161" s="288">
        <v>-1999.5225326779496</v>
      </c>
      <c r="AL161" s="288">
        <v>0</v>
      </c>
      <c r="AM161" s="288">
        <f t="shared" si="53"/>
        <v>-4646.7369937059448</v>
      </c>
      <c r="AN161" s="288">
        <f t="shared" si="54"/>
        <v>-15489.123312353149</v>
      </c>
      <c r="AO161" s="71"/>
      <c r="AP161" s="84">
        <v>0</v>
      </c>
      <c r="AQ161" s="125">
        <v>0</v>
      </c>
      <c r="AR161" s="133"/>
      <c r="AS161" s="78">
        <f t="shared" si="64"/>
        <v>358991.27296652907</v>
      </c>
      <c r="AT161" s="70">
        <f t="shared" si="65"/>
        <v>-49333.069994766767</v>
      </c>
      <c r="AU161" s="288">
        <f t="shared" si="59"/>
        <v>309658.20297176228</v>
      </c>
      <c r="AV161" s="71">
        <f t="shared" si="60"/>
        <v>203476151.06378117</v>
      </c>
      <c r="AW161" s="289"/>
      <c r="AX161" s="82">
        <v>0</v>
      </c>
      <c r="AY161" s="223">
        <v>-192675.77522306907</v>
      </c>
      <c r="AZ161" s="223">
        <v>-346816.39540152432</v>
      </c>
      <c r="BA161" s="223">
        <v>-18084.71480496892</v>
      </c>
      <c r="BB161" s="223">
        <v>0</v>
      </c>
      <c r="BC161" s="223">
        <v>0</v>
      </c>
      <c r="BD161" s="223">
        <f t="shared" si="68"/>
        <v>-557576.8854295623</v>
      </c>
      <c r="BE161" s="83">
        <f t="shared" si="67"/>
        <v>-557576.8854295623</v>
      </c>
      <c r="BF161" s="78">
        <f t="shared" si="56"/>
        <v>-198585.61246303323</v>
      </c>
      <c r="BG161" s="70">
        <f t="shared" si="66"/>
        <v>-49333.069994766767</v>
      </c>
      <c r="BH161" s="70">
        <f t="shared" si="51"/>
        <v>-247918.68245779999</v>
      </c>
      <c r="BI161" s="71">
        <f t="shared" si="52"/>
        <v>165067114.10451633</v>
      </c>
      <c r="BJ161" s="86"/>
    </row>
    <row r="162" spans="1:62" ht="15" customHeight="1">
      <c r="A162" s="35">
        <f t="shared" si="44"/>
        <v>105</v>
      </c>
      <c r="B162" s="87"/>
      <c r="C162" s="36">
        <v>46447</v>
      </c>
      <c r="D162" s="69">
        <v>137343.73833333334</v>
      </c>
      <c r="E162" s="78">
        <v>86941.31</v>
      </c>
      <c r="F162" s="78">
        <v>0</v>
      </c>
      <c r="G162" s="37">
        <f t="shared" si="43"/>
        <v>0.05</v>
      </c>
      <c r="H162" s="70">
        <f t="shared" si="63"/>
        <v>-4347.0654999999997</v>
      </c>
      <c r="I162" s="70">
        <f t="shared" si="57"/>
        <v>5211.2435000000005</v>
      </c>
      <c r="J162" s="79">
        <f t="shared" si="61"/>
        <v>120129.61565743224</v>
      </c>
      <c r="K162" s="79">
        <f t="shared" si="62"/>
        <v>86</v>
      </c>
      <c r="L162" s="79">
        <f t="shared" si="46"/>
        <v>345278.84199076559</v>
      </c>
      <c r="M162" s="70"/>
      <c r="N162" s="70"/>
      <c r="O162" s="481"/>
      <c r="P162" s="84">
        <v>0</v>
      </c>
      <c r="Q162" s="80">
        <v>0</v>
      </c>
      <c r="R162" s="81">
        <v>0</v>
      </c>
      <c r="S162" s="81">
        <v>0</v>
      </c>
      <c r="T162" s="81">
        <v>0</v>
      </c>
      <c r="U162" s="81">
        <v>0</v>
      </c>
      <c r="V162" s="81">
        <v>0</v>
      </c>
      <c r="W162" s="80">
        <v>0</v>
      </c>
      <c r="X162" s="82">
        <v>0</v>
      </c>
      <c r="Y162" s="189">
        <v>0</v>
      </c>
      <c r="Z162" s="189">
        <v>0</v>
      </c>
      <c r="AA162" s="85">
        <v>0</v>
      </c>
      <c r="AB162" s="85">
        <v>-1468.5687499999997</v>
      </c>
      <c r="AC162" s="103">
        <v>-1379.02</v>
      </c>
      <c r="AD162" s="85">
        <v>0</v>
      </c>
      <c r="AE162" s="85">
        <v>0</v>
      </c>
      <c r="AF162" s="191">
        <v>0</v>
      </c>
      <c r="AG162" s="83">
        <v>0</v>
      </c>
      <c r="AH162" s="69">
        <f t="shared" si="58"/>
        <v>-21539.476377991745</v>
      </c>
      <c r="AI162" s="288">
        <v>0</v>
      </c>
      <c r="AJ162" s="288">
        <v>-1000</v>
      </c>
      <c r="AK162" s="288">
        <v>-1847.8324275061261</v>
      </c>
      <c r="AL162" s="288">
        <v>0</v>
      </c>
      <c r="AM162" s="288">
        <f t="shared" si="53"/>
        <v>-4307.8952755983491</v>
      </c>
      <c r="AN162" s="288">
        <f t="shared" si="54"/>
        <v>-14359.650918661164</v>
      </c>
      <c r="AO162" s="71"/>
      <c r="AP162" s="84">
        <v>0</v>
      </c>
      <c r="AQ162" s="125">
        <v>0</v>
      </c>
      <c r="AR162" s="133"/>
      <c r="AS162" s="78">
        <f t="shared" si="64"/>
        <v>345278.84199076559</v>
      </c>
      <c r="AT162" s="70">
        <f t="shared" si="65"/>
        <v>-45902.443749757382</v>
      </c>
      <c r="AU162" s="288">
        <f t="shared" si="59"/>
        <v>299376.39824100822</v>
      </c>
      <c r="AV162" s="71">
        <f t="shared" si="60"/>
        <v>203775527.46202219</v>
      </c>
      <c r="AW162" s="289"/>
      <c r="AX162" s="82">
        <v>0</v>
      </c>
      <c r="AY162" s="223">
        <v>-190854.4864619156</v>
      </c>
      <c r="AZ162" s="223">
        <v>-343538.07563144813</v>
      </c>
      <c r="BA162" s="223">
        <v>-17891.068484425206</v>
      </c>
      <c r="BB162" s="223">
        <v>0</v>
      </c>
      <c r="BC162" s="223">
        <v>0</v>
      </c>
      <c r="BD162" s="223">
        <f t="shared" si="68"/>
        <v>-552283.63057778892</v>
      </c>
      <c r="BE162" s="83">
        <f t="shared" si="67"/>
        <v>-552283.63057778892</v>
      </c>
      <c r="BF162" s="78">
        <f t="shared" si="56"/>
        <v>-207004.78858702333</v>
      </c>
      <c r="BG162" s="70">
        <f t="shared" si="66"/>
        <v>-45902.443749757382</v>
      </c>
      <c r="BH162" s="70">
        <f t="shared" si="51"/>
        <v>-252907.2323367807</v>
      </c>
      <c r="BI162" s="71">
        <f t="shared" si="52"/>
        <v>164814206.87217954</v>
      </c>
      <c r="BJ162" s="86"/>
    </row>
    <row r="163" spans="1:62" ht="15" customHeight="1">
      <c r="A163" s="35">
        <f t="shared" si="44"/>
        <v>106</v>
      </c>
      <c r="B163" s="87"/>
      <c r="C163" s="36">
        <v>46478</v>
      </c>
      <c r="D163" s="69">
        <v>129751.82166666666</v>
      </c>
      <c r="E163" s="78">
        <v>64262.75</v>
      </c>
      <c r="F163" s="78">
        <v>0</v>
      </c>
      <c r="G163" s="37">
        <f t="shared" si="43"/>
        <v>0.05</v>
      </c>
      <c r="H163" s="70">
        <f t="shared" si="63"/>
        <v>-3213.1375000000003</v>
      </c>
      <c r="I163" s="70">
        <f t="shared" si="57"/>
        <v>5132.6785000000009</v>
      </c>
      <c r="J163" s="79">
        <f t="shared" si="61"/>
        <v>105406.05992010701</v>
      </c>
      <c r="K163" s="79">
        <f t="shared" si="62"/>
        <v>87</v>
      </c>
      <c r="L163" s="79">
        <f t="shared" si="46"/>
        <v>301340.17258677364</v>
      </c>
      <c r="M163" s="70"/>
      <c r="N163" s="70"/>
      <c r="O163" s="481"/>
      <c r="P163" s="84">
        <v>0</v>
      </c>
      <c r="Q163" s="80">
        <v>0</v>
      </c>
      <c r="R163" s="81">
        <v>0</v>
      </c>
      <c r="S163" s="81">
        <v>0</v>
      </c>
      <c r="T163" s="81">
        <v>0</v>
      </c>
      <c r="U163" s="81">
        <v>0</v>
      </c>
      <c r="V163" s="81">
        <v>0</v>
      </c>
      <c r="W163" s="80">
        <v>0</v>
      </c>
      <c r="X163" s="82">
        <v>0</v>
      </c>
      <c r="Y163" s="189">
        <v>0</v>
      </c>
      <c r="Z163" s="189">
        <v>0</v>
      </c>
      <c r="AA163" s="85">
        <v>0</v>
      </c>
      <c r="AB163" s="85">
        <v>-1334.2484374999999</v>
      </c>
      <c r="AC163" s="103">
        <v>-988.98</v>
      </c>
      <c r="AD163" s="85">
        <v>0</v>
      </c>
      <c r="AE163" s="85">
        <v>0</v>
      </c>
      <c r="AF163" s="191">
        <v>0</v>
      </c>
      <c r="AG163" s="83">
        <v>0</v>
      </c>
      <c r="AH163" s="69">
        <f t="shared" si="58"/>
        <v>-20716.730519445933</v>
      </c>
      <c r="AI163" s="288">
        <v>0</v>
      </c>
      <c r="AJ163" s="288">
        <v>-1000</v>
      </c>
      <c r="AK163" s="288">
        <v>-1588.8984948174877</v>
      </c>
      <c r="AL163" s="288">
        <v>0</v>
      </c>
      <c r="AM163" s="288">
        <f t="shared" si="53"/>
        <v>-4143.3461038891874</v>
      </c>
      <c r="AN163" s="288">
        <f t="shared" si="54"/>
        <v>-13811.153679630625</v>
      </c>
      <c r="AO163" s="71"/>
      <c r="AP163" s="84">
        <v>0</v>
      </c>
      <c r="AQ163" s="125">
        <v>0</v>
      </c>
      <c r="AR163" s="133"/>
      <c r="AS163" s="78">
        <f t="shared" si="64"/>
        <v>301340.17258677364</v>
      </c>
      <c r="AT163" s="70">
        <f t="shared" si="65"/>
        <v>-43583.357235283234</v>
      </c>
      <c r="AU163" s="288">
        <f t="shared" si="59"/>
        <v>257756.8153514904</v>
      </c>
      <c r="AV163" s="71">
        <f t="shared" si="60"/>
        <v>204033284.27737367</v>
      </c>
      <c r="AW163" s="289"/>
      <c r="AX163" s="82">
        <v>0</v>
      </c>
      <c r="AY163" s="223">
        <v>-189033.19770076216</v>
      </c>
      <c r="AZ163" s="223">
        <v>-340259.75586137193</v>
      </c>
      <c r="BA163" s="223">
        <v>-17702.912653808871</v>
      </c>
      <c r="BB163" s="223">
        <v>0</v>
      </c>
      <c r="BC163" s="223">
        <v>0</v>
      </c>
      <c r="BD163" s="223">
        <f t="shared" si="68"/>
        <v>-546995.86621594289</v>
      </c>
      <c r="BE163" s="83">
        <f t="shared" si="67"/>
        <v>-546995.86621594289</v>
      </c>
      <c r="BF163" s="78">
        <f t="shared" si="56"/>
        <v>-245655.69362916931</v>
      </c>
      <c r="BG163" s="70">
        <f t="shared" si="66"/>
        <v>-43583.357235283234</v>
      </c>
      <c r="BH163" s="70">
        <f t="shared" si="51"/>
        <v>-289239.05086445255</v>
      </c>
      <c r="BI163" s="71">
        <f t="shared" si="52"/>
        <v>164524967.82131508</v>
      </c>
      <c r="BJ163" s="86"/>
    </row>
    <row r="164" spans="1:62" ht="15" customHeight="1">
      <c r="A164" s="35">
        <f t="shared" si="44"/>
        <v>107</v>
      </c>
      <c r="B164" s="87"/>
      <c r="C164" s="36">
        <v>46508</v>
      </c>
      <c r="D164" s="69">
        <v>127853.8425</v>
      </c>
      <c r="E164" s="78">
        <v>52207.15</v>
      </c>
      <c r="F164" s="78">
        <v>0</v>
      </c>
      <c r="G164" s="37">
        <f t="shared" si="43"/>
        <v>0.05</v>
      </c>
      <c r="H164" s="70">
        <f t="shared" si="63"/>
        <v>-2610.3575000000001</v>
      </c>
      <c r="I164" s="70">
        <f t="shared" si="57"/>
        <v>4652.2845000000007</v>
      </c>
      <c r="J164" s="79">
        <f t="shared" si="61"/>
        <v>99214.659393176727</v>
      </c>
      <c r="K164" s="79">
        <f t="shared" si="62"/>
        <v>88</v>
      </c>
      <c r="L164" s="79">
        <f t="shared" si="46"/>
        <v>281317.57889317675</v>
      </c>
      <c r="M164" s="70"/>
      <c r="N164" s="70"/>
      <c r="O164" s="481"/>
      <c r="P164" s="84">
        <v>0</v>
      </c>
      <c r="Q164" s="80">
        <v>0</v>
      </c>
      <c r="R164" s="81">
        <v>0</v>
      </c>
      <c r="S164" s="81">
        <v>0</v>
      </c>
      <c r="T164" s="81">
        <v>0</v>
      </c>
      <c r="U164" s="81">
        <v>0</v>
      </c>
      <c r="V164" s="81">
        <v>0</v>
      </c>
      <c r="W164" s="80">
        <v>0</v>
      </c>
      <c r="X164" s="82">
        <v>0</v>
      </c>
      <c r="Y164" s="189">
        <v>0</v>
      </c>
      <c r="Z164" s="189">
        <v>0</v>
      </c>
      <c r="AA164" s="85">
        <v>0</v>
      </c>
      <c r="AB164" s="85">
        <v>-1199.9281249999999</v>
      </c>
      <c r="AC164" s="103">
        <v>-797.96</v>
      </c>
      <c r="AD164" s="85">
        <v>0</v>
      </c>
      <c r="AE164" s="85">
        <v>0</v>
      </c>
      <c r="AF164" s="191">
        <v>0</v>
      </c>
      <c r="AG164" s="83">
        <v>0</v>
      </c>
      <c r="AH164" s="69">
        <f t="shared" si="58"/>
        <v>-18080.410355206419</v>
      </c>
      <c r="AI164" s="288">
        <v>0</v>
      </c>
      <c r="AJ164" s="288">
        <v>-1000</v>
      </c>
      <c r="AK164" s="288">
        <v>-936.68956109666442</v>
      </c>
      <c r="AL164" s="288">
        <v>0</v>
      </c>
      <c r="AM164" s="288">
        <f t="shared" si="53"/>
        <v>-3616.0820710412836</v>
      </c>
      <c r="AN164" s="288">
        <f t="shared" si="54"/>
        <v>-12053.606903470945</v>
      </c>
      <c r="AO164" s="71"/>
      <c r="AP164" s="84">
        <v>0</v>
      </c>
      <c r="AQ164" s="125">
        <v>0</v>
      </c>
      <c r="AR164" s="133"/>
      <c r="AS164" s="78">
        <f t="shared" si="64"/>
        <v>281317.57889317675</v>
      </c>
      <c r="AT164" s="70">
        <f t="shared" si="65"/>
        <v>-37684.677015815316</v>
      </c>
      <c r="AU164" s="288">
        <f t="shared" si="59"/>
        <v>243632.90187736144</v>
      </c>
      <c r="AV164" s="71">
        <f t="shared" si="60"/>
        <v>204276917.17925104</v>
      </c>
      <c r="AW164" s="289"/>
      <c r="AX164" s="82">
        <v>0</v>
      </c>
      <c r="AY164" s="223">
        <v>-187211.90893960872</v>
      </c>
      <c r="AZ164" s="223">
        <v>-336981.43609129568</v>
      </c>
      <c r="BA164" s="223">
        <v>-17520.091640243932</v>
      </c>
      <c r="BB164" s="223">
        <v>0</v>
      </c>
      <c r="BC164" s="223">
        <v>0</v>
      </c>
      <c r="BD164" s="223">
        <f t="shared" si="68"/>
        <v>-541713.43667114829</v>
      </c>
      <c r="BE164" s="83">
        <f t="shared" si="67"/>
        <v>-541713.43667114829</v>
      </c>
      <c r="BF164" s="78">
        <f t="shared" si="56"/>
        <v>-260395.8577779716</v>
      </c>
      <c r="BG164" s="70">
        <f t="shared" si="66"/>
        <v>-37684.677015815316</v>
      </c>
      <c r="BH164" s="70">
        <f t="shared" si="51"/>
        <v>-298080.53479378694</v>
      </c>
      <c r="BI164" s="71">
        <f t="shared" si="52"/>
        <v>164226887.28652129</v>
      </c>
      <c r="BJ164" s="86"/>
    </row>
    <row r="165" spans="1:62" ht="15" customHeight="1">
      <c r="A165" s="35">
        <f t="shared" si="44"/>
        <v>108</v>
      </c>
      <c r="B165" s="87"/>
      <c r="C165" s="36">
        <v>46539</v>
      </c>
      <c r="D165" s="69">
        <v>125955.86333333333</v>
      </c>
      <c r="E165" s="78">
        <v>43673.49</v>
      </c>
      <c r="F165" s="78">
        <v>0</v>
      </c>
      <c r="G165" s="37">
        <f t="shared" si="43"/>
        <v>0.05</v>
      </c>
      <c r="H165" s="70">
        <f t="shared" si="63"/>
        <v>-2183.6745000000001</v>
      </c>
      <c r="I165" s="70">
        <f t="shared" si="57"/>
        <v>4347.0654999999997</v>
      </c>
      <c r="J165" s="79">
        <f t="shared" si="61"/>
        <v>94782.245828248502</v>
      </c>
      <c r="K165" s="79">
        <f t="shared" si="62"/>
        <v>89</v>
      </c>
      <c r="L165" s="79">
        <f t="shared" si="46"/>
        <v>266574.99016158184</v>
      </c>
      <c r="M165" s="70"/>
      <c r="N165" s="70"/>
      <c r="O165" s="481"/>
      <c r="P165" s="84">
        <v>0</v>
      </c>
      <c r="Q165" s="80">
        <v>0</v>
      </c>
      <c r="R165" s="81">
        <v>0</v>
      </c>
      <c r="S165" s="81">
        <v>0</v>
      </c>
      <c r="T165" s="81">
        <v>0</v>
      </c>
      <c r="U165" s="81">
        <v>0</v>
      </c>
      <c r="V165" s="81">
        <v>0</v>
      </c>
      <c r="W165" s="80">
        <v>0</v>
      </c>
      <c r="X165" s="82">
        <v>0</v>
      </c>
      <c r="Y165" s="189">
        <v>0</v>
      </c>
      <c r="Z165" s="189">
        <v>0</v>
      </c>
      <c r="AA165" s="85">
        <v>0</v>
      </c>
      <c r="AB165" s="85">
        <v>-1020.8343749999999</v>
      </c>
      <c r="AC165" s="103">
        <v>-638.80999999999995</v>
      </c>
      <c r="AD165" s="85">
        <v>0</v>
      </c>
      <c r="AE165" s="85">
        <v>0</v>
      </c>
      <c r="AF165" s="191">
        <v>0</v>
      </c>
      <c r="AG165" s="83">
        <v>0</v>
      </c>
      <c r="AH165" s="69">
        <f t="shared" si="58"/>
        <v>-16879.054733590605</v>
      </c>
      <c r="AI165" s="288">
        <v>0</v>
      </c>
      <c r="AJ165" s="288">
        <v>-1000</v>
      </c>
      <c r="AK165" s="288">
        <v>-543.25821074650344</v>
      </c>
      <c r="AL165" s="288">
        <v>0</v>
      </c>
      <c r="AM165" s="288">
        <f t="shared" si="53"/>
        <v>-3375.8109467181212</v>
      </c>
      <c r="AN165" s="288">
        <f t="shared" si="54"/>
        <v>-11252.703155727069</v>
      </c>
      <c r="AO165" s="71"/>
      <c r="AP165" s="84">
        <v>0</v>
      </c>
      <c r="AQ165" s="125">
        <v>0</v>
      </c>
      <c r="AR165" s="133"/>
      <c r="AS165" s="78">
        <f t="shared" si="64"/>
        <v>266574.99016158184</v>
      </c>
      <c r="AT165" s="70">
        <f t="shared" si="65"/>
        <v>-34710.471421782298</v>
      </c>
      <c r="AU165" s="288">
        <f t="shared" si="59"/>
        <v>231864.51873979953</v>
      </c>
      <c r="AV165" s="71">
        <f t="shared" si="60"/>
        <v>204508781.69799083</v>
      </c>
      <c r="AW165" s="289"/>
      <c r="AX165" s="82">
        <v>0</v>
      </c>
      <c r="AY165" s="223">
        <v>-185390.62017845525</v>
      </c>
      <c r="AZ165" s="223">
        <v>-333703.11632121948</v>
      </c>
      <c r="BA165" s="223">
        <v>-17342.45418467624</v>
      </c>
      <c r="BB165" s="223">
        <v>0</v>
      </c>
      <c r="BC165" s="223">
        <v>0</v>
      </c>
      <c r="BD165" s="223">
        <f t="shared" si="68"/>
        <v>-536436.19068435102</v>
      </c>
      <c r="BE165" s="83">
        <f t="shared" si="67"/>
        <v>-536436.19068435102</v>
      </c>
      <c r="BF165" s="78">
        <f t="shared" si="56"/>
        <v>-269861.20052276913</v>
      </c>
      <c r="BG165" s="70">
        <f t="shared" si="66"/>
        <v>-34710.471421782298</v>
      </c>
      <c r="BH165" s="70">
        <f t="shared" si="51"/>
        <v>-304571.6719445514</v>
      </c>
      <c r="BI165" s="71">
        <f t="shared" si="52"/>
        <v>163922315.61457673</v>
      </c>
      <c r="BJ165" s="86"/>
    </row>
    <row r="166" spans="1:62" ht="15" customHeight="1">
      <c r="A166" s="35">
        <f t="shared" si="44"/>
        <v>109</v>
      </c>
      <c r="B166" s="87"/>
      <c r="C166" s="36">
        <v>46569</v>
      </c>
      <c r="D166" s="69">
        <v>122159.90499999998</v>
      </c>
      <c r="E166" s="78">
        <v>21042.89</v>
      </c>
      <c r="F166" s="78">
        <v>0</v>
      </c>
      <c r="G166" s="37">
        <f t="shared" si="43"/>
        <v>0.05</v>
      </c>
      <c r="H166" s="70">
        <f t="shared" si="63"/>
        <v>-1052.1445000000001</v>
      </c>
      <c r="I166" s="70">
        <f t="shared" si="57"/>
        <v>3213.1375000000003</v>
      </c>
      <c r="J166" s="79">
        <f t="shared" si="61"/>
        <v>81132.213550858636</v>
      </c>
      <c r="K166" s="79">
        <f t="shared" si="62"/>
        <v>90</v>
      </c>
      <c r="L166" s="79">
        <f t="shared" si="46"/>
        <v>226496.00155085861</v>
      </c>
      <c r="M166" s="70"/>
      <c r="N166" s="70"/>
      <c r="O166" s="481"/>
      <c r="P166" s="84">
        <v>0</v>
      </c>
      <c r="Q166" s="80">
        <v>0</v>
      </c>
      <c r="R166" s="81">
        <v>0</v>
      </c>
      <c r="S166" s="81">
        <v>0</v>
      </c>
      <c r="T166" s="81">
        <v>0</v>
      </c>
      <c r="U166" s="81">
        <v>0</v>
      </c>
      <c r="V166" s="81">
        <v>0</v>
      </c>
      <c r="W166" s="80">
        <v>0</v>
      </c>
      <c r="X166" s="82">
        <v>0</v>
      </c>
      <c r="Y166" s="189">
        <v>0</v>
      </c>
      <c r="Z166" s="189">
        <v>0</v>
      </c>
      <c r="AA166" s="85">
        <v>0</v>
      </c>
      <c r="AB166" s="85">
        <v>0</v>
      </c>
      <c r="AC166" s="103">
        <v>-264.87</v>
      </c>
      <c r="AD166" s="85">
        <v>0</v>
      </c>
      <c r="AE166" s="85">
        <v>0</v>
      </c>
      <c r="AF166" s="191">
        <v>0</v>
      </c>
      <c r="AG166" s="83">
        <v>0</v>
      </c>
      <c r="AH166" s="69">
        <f t="shared" si="58"/>
        <v>-15994.49940969491</v>
      </c>
      <c r="AI166" s="288">
        <v>0</v>
      </c>
      <c r="AJ166" s="288">
        <v>-1000</v>
      </c>
      <c r="AK166" s="288">
        <v>-291.84258191593267</v>
      </c>
      <c r="AL166" s="288">
        <v>0</v>
      </c>
      <c r="AM166" s="288">
        <f t="shared" si="53"/>
        <v>-3198.8998819389822</v>
      </c>
      <c r="AN166" s="288">
        <f t="shared" si="54"/>
        <v>-10662.999606463274</v>
      </c>
      <c r="AO166" s="71"/>
      <c r="AP166" s="84">
        <v>0</v>
      </c>
      <c r="AQ166" s="125">
        <v>0</v>
      </c>
      <c r="AR166" s="133"/>
      <c r="AS166" s="78">
        <f t="shared" si="64"/>
        <v>226496.00155085861</v>
      </c>
      <c r="AT166" s="70">
        <f t="shared" si="65"/>
        <v>-31413.111480013096</v>
      </c>
      <c r="AU166" s="288">
        <f t="shared" si="59"/>
        <v>195082.89007084552</v>
      </c>
      <c r="AV166" s="71">
        <f t="shared" si="60"/>
        <v>204703864.58806169</v>
      </c>
      <c r="AW166" s="289"/>
      <c r="AX166" s="82">
        <v>0</v>
      </c>
      <c r="AY166" s="223">
        <v>-183569.33141730182</v>
      </c>
      <c r="AZ166" s="223">
        <v>-330424.79655114328</v>
      </c>
      <c r="BA166" s="223">
        <v>-17169.853316727567</v>
      </c>
      <c r="BB166" s="223">
        <v>0</v>
      </c>
      <c r="BC166" s="223">
        <v>0</v>
      </c>
      <c r="BD166" s="223">
        <f t="shared" si="68"/>
        <v>-531163.98128517263</v>
      </c>
      <c r="BE166" s="83">
        <f t="shared" si="67"/>
        <v>-531163.98128517263</v>
      </c>
      <c r="BF166" s="78">
        <f t="shared" si="56"/>
        <v>-304667.97973431408</v>
      </c>
      <c r="BG166" s="70">
        <f t="shared" si="66"/>
        <v>-31413.111480013096</v>
      </c>
      <c r="BH166" s="70">
        <f t="shared" si="51"/>
        <v>-336081.0912143272</v>
      </c>
      <c r="BI166" s="71">
        <f t="shared" si="52"/>
        <v>163586234.5233624</v>
      </c>
      <c r="BJ166" s="86"/>
    </row>
    <row r="167" spans="1:62" ht="15" customHeight="1">
      <c r="A167" s="35">
        <f t="shared" si="44"/>
        <v>110</v>
      </c>
      <c r="B167" s="87"/>
      <c r="C167" s="36">
        <v>46600</v>
      </c>
      <c r="D167" s="69">
        <v>120261.92583333333</v>
      </c>
      <c r="E167" s="78">
        <v>10500.93</v>
      </c>
      <c r="F167" s="78">
        <v>0</v>
      </c>
      <c r="G167" s="37">
        <f t="shared" si="43"/>
        <v>0.05</v>
      </c>
      <c r="H167" s="70">
        <f t="shared" si="63"/>
        <v>-525.04650000000004</v>
      </c>
      <c r="I167" s="70">
        <f t="shared" si="57"/>
        <v>2610.3575000000001</v>
      </c>
      <c r="J167" s="79">
        <f t="shared" si="61"/>
        <v>75108.54362792059</v>
      </c>
      <c r="K167" s="79">
        <f t="shared" si="62"/>
        <v>91</v>
      </c>
      <c r="L167" s="79">
        <f t="shared" si="46"/>
        <v>207956.71046125391</v>
      </c>
      <c r="M167" s="70"/>
      <c r="N167" s="70"/>
      <c r="O167" s="481"/>
      <c r="P167" s="84">
        <v>0</v>
      </c>
      <c r="Q167" s="80">
        <v>0</v>
      </c>
      <c r="R167" s="81">
        <v>0</v>
      </c>
      <c r="S167" s="81">
        <v>0</v>
      </c>
      <c r="T167" s="81">
        <v>0</v>
      </c>
      <c r="U167" s="81">
        <v>0</v>
      </c>
      <c r="V167" s="81">
        <v>0</v>
      </c>
      <c r="W167" s="80">
        <v>0</v>
      </c>
      <c r="X167" s="82">
        <v>0</v>
      </c>
      <c r="Y167" s="189">
        <v>0</v>
      </c>
      <c r="Z167" s="189">
        <v>0</v>
      </c>
      <c r="AA167" s="85">
        <v>0</v>
      </c>
      <c r="AB167" s="85">
        <v>0</v>
      </c>
      <c r="AC167" s="103">
        <v>-97.06</v>
      </c>
      <c r="AD167" s="85">
        <v>0</v>
      </c>
      <c r="AE167" s="85">
        <v>0</v>
      </c>
      <c r="AF167" s="191">
        <v>0</v>
      </c>
      <c r="AG167" s="83">
        <v>0</v>
      </c>
      <c r="AH167" s="69">
        <f t="shared" si="58"/>
        <v>-13589.760093051516</v>
      </c>
      <c r="AI167" s="288">
        <v>0</v>
      </c>
      <c r="AJ167" s="288">
        <v>-1000</v>
      </c>
      <c r="AK167" s="288">
        <v>-92.161636920103533</v>
      </c>
      <c r="AL167" s="288">
        <v>0</v>
      </c>
      <c r="AM167" s="288">
        <f t="shared" si="53"/>
        <v>-2717.9520186103032</v>
      </c>
      <c r="AN167" s="288">
        <f t="shared" si="54"/>
        <v>-9059.8400620343436</v>
      </c>
      <c r="AO167" s="71"/>
      <c r="AP167" s="84">
        <v>0</v>
      </c>
      <c r="AQ167" s="125">
        <v>0</v>
      </c>
      <c r="AR167" s="133"/>
      <c r="AS167" s="78">
        <f t="shared" si="64"/>
        <v>207956.71046125391</v>
      </c>
      <c r="AT167" s="70">
        <f t="shared" si="65"/>
        <v>-26556.773810616265</v>
      </c>
      <c r="AU167" s="288">
        <f t="shared" si="59"/>
        <v>181399.93665063765</v>
      </c>
      <c r="AV167" s="71">
        <f t="shared" si="60"/>
        <v>204885264.52471232</v>
      </c>
      <c r="AW167" s="289"/>
      <c r="AX167" s="82">
        <v>0</v>
      </c>
      <c r="AY167" s="223">
        <v>-181748.04265614835</v>
      </c>
      <c r="AZ167" s="223">
        <v>-327146.47678106703</v>
      </c>
      <c r="BA167" s="223">
        <v>-17002.146233097999</v>
      </c>
      <c r="BB167" s="223">
        <v>0</v>
      </c>
      <c r="BC167" s="223">
        <v>0</v>
      </c>
      <c r="BD167" s="223">
        <f t="shared" si="68"/>
        <v>-525896.66567031341</v>
      </c>
      <c r="BE167" s="83">
        <f t="shared" si="67"/>
        <v>-525896.66567031341</v>
      </c>
      <c r="BF167" s="78">
        <f t="shared" si="56"/>
        <v>-317939.95520905947</v>
      </c>
      <c r="BG167" s="70">
        <f t="shared" si="66"/>
        <v>-26556.773810616265</v>
      </c>
      <c r="BH167" s="70">
        <f t="shared" si="51"/>
        <v>-344496.72901967575</v>
      </c>
      <c r="BI167" s="71">
        <f t="shared" si="52"/>
        <v>163241737.79434273</v>
      </c>
      <c r="BJ167" s="86"/>
    </row>
    <row r="168" spans="1:62" ht="15" customHeight="1">
      <c r="A168" s="35">
        <f t="shared" si="44"/>
        <v>111</v>
      </c>
      <c r="B168" s="87"/>
      <c r="C168" s="36">
        <v>46631</v>
      </c>
      <c r="D168" s="69">
        <v>118363.94666666666</v>
      </c>
      <c r="E168" s="78">
        <v>6017.96</v>
      </c>
      <c r="F168" s="78">
        <v>0</v>
      </c>
      <c r="G168" s="37">
        <f t="shared" si="43"/>
        <v>0.05</v>
      </c>
      <c r="H168" s="70">
        <f t="shared" si="63"/>
        <v>-300.89800000000002</v>
      </c>
      <c r="I168" s="70">
        <f t="shared" si="57"/>
        <v>2183.6745000000001</v>
      </c>
      <c r="J168" s="79">
        <f t="shared" si="61"/>
        <v>72422.533058113404</v>
      </c>
      <c r="K168" s="79">
        <f t="shared" si="62"/>
        <v>92</v>
      </c>
      <c r="L168" s="79">
        <f t="shared" si="46"/>
        <v>198687.21622478004</v>
      </c>
      <c r="M168" s="70"/>
      <c r="N168" s="70"/>
      <c r="O168" s="481"/>
      <c r="P168" s="84">
        <v>0</v>
      </c>
      <c r="Q168" s="80">
        <v>0</v>
      </c>
      <c r="R168" s="81">
        <v>0</v>
      </c>
      <c r="S168" s="81">
        <v>0</v>
      </c>
      <c r="T168" s="81">
        <v>0</v>
      </c>
      <c r="U168" s="81">
        <v>0</v>
      </c>
      <c r="V168" s="81">
        <v>0</v>
      </c>
      <c r="W168" s="80">
        <v>0</v>
      </c>
      <c r="X168" s="82">
        <v>0</v>
      </c>
      <c r="Y168" s="189">
        <v>0</v>
      </c>
      <c r="Z168" s="189">
        <v>0</v>
      </c>
      <c r="AA168" s="85">
        <v>0</v>
      </c>
      <c r="AB168" s="85">
        <v>0</v>
      </c>
      <c r="AC168" s="103">
        <v>-57.26</v>
      </c>
      <c r="AD168" s="85">
        <v>0</v>
      </c>
      <c r="AE168" s="85">
        <v>0</v>
      </c>
      <c r="AF168" s="191">
        <v>0</v>
      </c>
      <c r="AG168" s="83">
        <v>0</v>
      </c>
      <c r="AH168" s="69">
        <f t="shared" si="58"/>
        <v>-12477.402627675234</v>
      </c>
      <c r="AI168" s="288">
        <v>0</v>
      </c>
      <c r="AJ168" s="288">
        <v>-1000</v>
      </c>
      <c r="AK168" s="288">
        <v>-47.753487769806128</v>
      </c>
      <c r="AL168" s="288">
        <v>0</v>
      </c>
      <c r="AM168" s="288">
        <f t="shared" si="53"/>
        <v>-2495.480525535047</v>
      </c>
      <c r="AN168" s="288">
        <f t="shared" si="54"/>
        <v>-8318.2684184501559</v>
      </c>
      <c r="AO168" s="71"/>
      <c r="AP168" s="84">
        <v>0</v>
      </c>
      <c r="AQ168" s="125">
        <v>0</v>
      </c>
      <c r="AS168" s="78">
        <f t="shared" si="64"/>
        <v>198687.21622478004</v>
      </c>
      <c r="AT168" s="70">
        <f t="shared" si="65"/>
        <v>-24396.165059430241</v>
      </c>
      <c r="AU168" s="288">
        <f t="shared" si="59"/>
        <v>174291.05116534981</v>
      </c>
      <c r="AV168" s="71">
        <f t="shared" si="60"/>
        <v>205059555.57587767</v>
      </c>
      <c r="AW168" s="289"/>
      <c r="AX168" s="82">
        <v>0</v>
      </c>
      <c r="AY168" s="223">
        <v>-179926.75389499491</v>
      </c>
      <c r="AZ168" s="223">
        <v>-323868.15701099084</v>
      </c>
      <c r="BA168" s="223">
        <v>-32400.94716746379</v>
      </c>
      <c r="BB168" s="223">
        <v>0</v>
      </c>
      <c r="BC168" s="223">
        <v>0</v>
      </c>
      <c r="BD168" s="223">
        <f t="shared" si="68"/>
        <v>-536195.85807344958</v>
      </c>
      <c r="BE168" s="83">
        <f t="shared" si="67"/>
        <v>-536195.85807344958</v>
      </c>
      <c r="BF168" s="78">
        <f t="shared" si="56"/>
        <v>-337508.6418486695</v>
      </c>
      <c r="BG168" s="70">
        <f t="shared" si="66"/>
        <v>-24396.165059430241</v>
      </c>
      <c r="BH168" s="70">
        <f t="shared" si="51"/>
        <v>-361904.80690809974</v>
      </c>
      <c r="BI168" s="71">
        <f t="shared" si="52"/>
        <v>162879832.98743463</v>
      </c>
      <c r="BJ168" s="86"/>
    </row>
    <row r="169" spans="1:62" ht="15" customHeight="1">
      <c r="A169" s="35">
        <f t="shared" si="44"/>
        <v>112</v>
      </c>
      <c r="B169" s="87"/>
      <c r="C169" s="36">
        <v>46661</v>
      </c>
      <c r="D169" s="69">
        <v>112670.00916666666</v>
      </c>
      <c r="E169" s="78">
        <v>2032.67</v>
      </c>
      <c r="F169" s="78">
        <v>0</v>
      </c>
      <c r="G169" s="37">
        <f t="shared" si="43"/>
        <v>0.05</v>
      </c>
      <c r="H169" s="70">
        <f t="shared" si="63"/>
        <v>-101.63350000000001</v>
      </c>
      <c r="I169" s="70">
        <f t="shared" si="57"/>
        <v>1052.1445000000001</v>
      </c>
      <c r="J169" s="79">
        <f t="shared" si="61"/>
        <v>67694.15891740947</v>
      </c>
      <c r="K169" s="79">
        <f t="shared" si="62"/>
        <v>93</v>
      </c>
      <c r="L169" s="79">
        <f t="shared" si="46"/>
        <v>183347.34908407615</v>
      </c>
      <c r="M169" s="70"/>
      <c r="N169" s="70"/>
      <c r="O169" s="481"/>
      <c r="P169" s="84">
        <v>0</v>
      </c>
      <c r="Q169" s="80">
        <v>0</v>
      </c>
      <c r="R169" s="81">
        <v>0</v>
      </c>
      <c r="S169" s="81">
        <v>0</v>
      </c>
      <c r="T169" s="81">
        <v>0</v>
      </c>
      <c r="U169" s="81">
        <v>0</v>
      </c>
      <c r="V169" s="81">
        <v>0</v>
      </c>
      <c r="W169" s="80">
        <v>0</v>
      </c>
      <c r="X169" s="82">
        <v>0</v>
      </c>
      <c r="Y169" s="189">
        <v>0</v>
      </c>
      <c r="Z169" s="189">
        <v>0</v>
      </c>
      <c r="AA169" s="85">
        <v>0</v>
      </c>
      <c r="AB169" s="85">
        <v>0</v>
      </c>
      <c r="AC169" s="103">
        <v>0</v>
      </c>
      <c r="AD169" s="85">
        <v>0</v>
      </c>
      <c r="AE169" s="85">
        <v>0</v>
      </c>
      <c r="AF169" s="191">
        <v>0</v>
      </c>
      <c r="AG169" s="83">
        <v>0</v>
      </c>
      <c r="AH169" s="69">
        <f t="shared" si="58"/>
        <v>-11921.232973486802</v>
      </c>
      <c r="AI169" s="288">
        <v>0</v>
      </c>
      <c r="AJ169" s="288">
        <v>-1000</v>
      </c>
      <c r="AK169" s="288">
        <v>-18.032479461229666</v>
      </c>
      <c r="AL169" s="288">
        <v>0</v>
      </c>
      <c r="AM169" s="288">
        <f t="shared" si="53"/>
        <v>-2384.2465946973607</v>
      </c>
      <c r="AN169" s="288">
        <f t="shared" si="54"/>
        <v>-7947.4886489912024</v>
      </c>
      <c r="AO169" s="71"/>
      <c r="AP169" s="84">
        <v>0</v>
      </c>
      <c r="AQ169" s="125">
        <v>0</v>
      </c>
      <c r="AS169" s="78">
        <f t="shared" si="64"/>
        <v>183347.34908407615</v>
      </c>
      <c r="AT169" s="70">
        <f t="shared" si="65"/>
        <v>-23271.000696636595</v>
      </c>
      <c r="AU169" s="288">
        <f t="shared" si="59"/>
        <v>160076.34838743956</v>
      </c>
      <c r="AV169" s="71">
        <f t="shared" si="60"/>
        <v>205219631.92426512</v>
      </c>
      <c r="AW169" s="289"/>
      <c r="AX169" s="82">
        <v>0</v>
      </c>
      <c r="AY169" s="223">
        <v>-178105.46513384144</v>
      </c>
      <c r="AZ169" s="223">
        <v>-320589.83724091458</v>
      </c>
      <c r="BA169" s="223">
        <v>-16680.862335438309</v>
      </c>
      <c r="BB169" s="223">
        <v>0</v>
      </c>
      <c r="BC169" s="223">
        <v>0</v>
      </c>
      <c r="BD169" s="223">
        <f t="shared" si="68"/>
        <v>-515376.16471019434</v>
      </c>
      <c r="BE169" s="83">
        <f t="shared" si="67"/>
        <v>-515376.16471019434</v>
      </c>
      <c r="BF169" s="78">
        <f t="shared" si="56"/>
        <v>-332028.81562611816</v>
      </c>
      <c r="BG169" s="70">
        <f t="shared" si="66"/>
        <v>-23271.000696636595</v>
      </c>
      <c r="BH169" s="70">
        <f t="shared" si="51"/>
        <v>-355299.81632275478</v>
      </c>
      <c r="BI169" s="71">
        <f t="shared" si="52"/>
        <v>162524533.17111188</v>
      </c>
      <c r="BJ169" s="86"/>
    </row>
    <row r="170" spans="1:62" ht="15" customHeight="1">
      <c r="A170" s="35">
        <f t="shared" si="44"/>
        <v>113</v>
      </c>
      <c r="B170" s="87"/>
      <c r="C170" s="36">
        <v>46692</v>
      </c>
      <c r="D170" s="69">
        <v>106976.07166666666</v>
      </c>
      <c r="E170" s="78">
        <v>526.19000000000005</v>
      </c>
      <c r="F170" s="78">
        <v>0</v>
      </c>
      <c r="G170" s="37">
        <f t="shared" si="43"/>
        <v>0.05</v>
      </c>
      <c r="H170" s="70">
        <f t="shared" si="63"/>
        <v>-26.309500000000003</v>
      </c>
      <c r="I170" s="70">
        <f t="shared" si="57"/>
        <v>525.04650000000004</v>
      </c>
      <c r="J170" s="79">
        <f t="shared" si="61"/>
        <v>64299.418303927581</v>
      </c>
      <c r="K170" s="79">
        <f t="shared" si="62"/>
        <v>94</v>
      </c>
      <c r="L170" s="79">
        <f t="shared" si="46"/>
        <v>172300.41697059423</v>
      </c>
      <c r="M170" s="70"/>
      <c r="N170" s="70"/>
      <c r="O170" s="481"/>
      <c r="P170" s="84">
        <v>0</v>
      </c>
      <c r="Q170" s="80">
        <v>0</v>
      </c>
      <c r="R170" s="81">
        <v>0</v>
      </c>
      <c r="S170" s="81">
        <v>0</v>
      </c>
      <c r="T170" s="81">
        <v>0</v>
      </c>
      <c r="U170" s="81">
        <v>0</v>
      </c>
      <c r="V170" s="81">
        <v>0</v>
      </c>
      <c r="W170" s="80">
        <v>0</v>
      </c>
      <c r="X170" s="82">
        <v>0</v>
      </c>
      <c r="Y170" s="189">
        <v>0</v>
      </c>
      <c r="Z170" s="189">
        <v>0</v>
      </c>
      <c r="AA170" s="85">
        <v>0</v>
      </c>
      <c r="AB170" s="85">
        <v>0</v>
      </c>
      <c r="AC170" s="103">
        <v>0</v>
      </c>
      <c r="AD170" s="85">
        <v>0</v>
      </c>
      <c r="AE170" s="85">
        <v>0</v>
      </c>
      <c r="AF170" s="191">
        <v>0</v>
      </c>
      <c r="AG170" s="83">
        <v>0</v>
      </c>
      <c r="AH170" s="69">
        <f t="shared" si="58"/>
        <v>-11000.840945044569</v>
      </c>
      <c r="AI170" s="288">
        <v>0</v>
      </c>
      <c r="AJ170" s="288">
        <v>-1000</v>
      </c>
      <c r="AK170" s="288">
        <v>-3.6578731530679836</v>
      </c>
      <c r="AL170" s="288">
        <v>0</v>
      </c>
      <c r="AM170" s="288">
        <f t="shared" si="53"/>
        <v>-2200.1681890089139</v>
      </c>
      <c r="AN170" s="288">
        <f t="shared" si="54"/>
        <v>-7333.8939633630462</v>
      </c>
      <c r="AO170" s="71"/>
      <c r="AP170" s="84">
        <v>0</v>
      </c>
      <c r="AQ170" s="125">
        <v>0</v>
      </c>
      <c r="AS170" s="78">
        <f t="shared" si="64"/>
        <v>172300.41697059423</v>
      </c>
      <c r="AT170" s="70">
        <f t="shared" si="65"/>
        <v>-21538.560970569597</v>
      </c>
      <c r="AU170" s="288">
        <f t="shared" si="59"/>
        <v>150761.85600002465</v>
      </c>
      <c r="AV170" s="71">
        <f t="shared" si="60"/>
        <v>205370393.78026515</v>
      </c>
      <c r="AW170" s="289"/>
      <c r="AX170" s="82">
        <v>0</v>
      </c>
      <c r="AY170" s="223">
        <v>-176284.17637268797</v>
      </c>
      <c r="AZ170" s="223">
        <v>-317311.51747083833</v>
      </c>
      <c r="BA170" s="223">
        <v>-16527.019703505059</v>
      </c>
      <c r="BB170" s="223">
        <v>0</v>
      </c>
      <c r="BC170" s="223">
        <v>0</v>
      </c>
      <c r="BD170" s="223">
        <f t="shared" si="68"/>
        <v>-510122.71354703134</v>
      </c>
      <c r="BE170" s="83">
        <f t="shared" si="67"/>
        <v>-510122.71354703134</v>
      </c>
      <c r="BF170" s="78">
        <f t="shared" si="56"/>
        <v>-337822.29657643713</v>
      </c>
      <c r="BG170" s="70">
        <f t="shared" si="66"/>
        <v>-21538.560970569597</v>
      </c>
      <c r="BH170" s="70">
        <f t="shared" si="51"/>
        <v>-359360.85754700674</v>
      </c>
      <c r="BI170" s="71">
        <f t="shared" si="52"/>
        <v>162165172.31356487</v>
      </c>
      <c r="BJ170" s="86"/>
    </row>
    <row r="171" spans="1:62" ht="15" customHeight="1">
      <c r="A171" s="35">
        <f t="shared" si="44"/>
        <v>114</v>
      </c>
      <c r="B171" s="87"/>
      <c r="C171" s="36">
        <v>46722</v>
      </c>
      <c r="D171" s="69">
        <v>89540.255000000005</v>
      </c>
      <c r="E171" s="78">
        <v>526.19000000000005</v>
      </c>
      <c r="F171" s="78">
        <v>0</v>
      </c>
      <c r="G171" s="37">
        <f t="shared" si="43"/>
        <v>0.05</v>
      </c>
      <c r="H171" s="70">
        <f t="shared" si="63"/>
        <v>-26.309500000000003</v>
      </c>
      <c r="I171" s="70">
        <f t="shared" si="57"/>
        <v>300.89800000000002</v>
      </c>
      <c r="J171" s="79">
        <f t="shared" si="61"/>
        <v>54590.366416656121</v>
      </c>
      <c r="K171" s="79">
        <f t="shared" si="62"/>
        <v>95</v>
      </c>
      <c r="L171" s="79">
        <f t="shared" si="46"/>
        <v>144931.39991665614</v>
      </c>
      <c r="M171" s="70"/>
      <c r="N171" s="70"/>
      <c r="O171" s="481"/>
      <c r="P171" s="84">
        <v>0</v>
      </c>
      <c r="Q171" s="80">
        <v>0</v>
      </c>
      <c r="R171" s="81">
        <v>0</v>
      </c>
      <c r="S171" s="81">
        <v>0</v>
      </c>
      <c r="T171" s="81">
        <v>0</v>
      </c>
      <c r="U171" s="81">
        <v>0</v>
      </c>
      <c r="V171" s="81">
        <v>0</v>
      </c>
      <c r="W171" s="80">
        <v>0</v>
      </c>
      <c r="X171" s="82">
        <v>0</v>
      </c>
      <c r="Y171" s="189">
        <v>0</v>
      </c>
      <c r="Z171" s="189">
        <v>0</v>
      </c>
      <c r="AA171" s="85">
        <v>0</v>
      </c>
      <c r="AB171" s="85">
        <v>0</v>
      </c>
      <c r="AC171" s="103">
        <v>0</v>
      </c>
      <c r="AD171" s="85">
        <v>0</v>
      </c>
      <c r="AE171" s="85">
        <v>0</v>
      </c>
      <c r="AF171" s="191">
        <v>0</v>
      </c>
      <c r="AG171" s="83">
        <v>0</v>
      </c>
      <c r="AH171" s="69">
        <f t="shared" si="58"/>
        <v>-10338.025018235654</v>
      </c>
      <c r="AI171" s="288">
        <v>0</v>
      </c>
      <c r="AJ171" s="288">
        <v>-1000</v>
      </c>
      <c r="AK171" s="288">
        <v>-3.3904981445407358</v>
      </c>
      <c r="AL171" s="288">
        <v>0</v>
      </c>
      <c r="AM171" s="288">
        <f t="shared" si="53"/>
        <v>-2067.6050036471306</v>
      </c>
      <c r="AN171" s="288">
        <f t="shared" si="54"/>
        <v>-6892.0166788237693</v>
      </c>
      <c r="AO171" s="71"/>
      <c r="AP171" s="84">
        <v>0</v>
      </c>
      <c r="AQ171" s="125">
        <v>0</v>
      </c>
      <c r="AS171" s="78">
        <f t="shared" si="64"/>
        <v>144931.39991665614</v>
      </c>
      <c r="AT171" s="70">
        <f t="shared" si="65"/>
        <v>-20301.037198851096</v>
      </c>
      <c r="AU171" s="288">
        <f t="shared" si="59"/>
        <v>124630.36271780505</v>
      </c>
      <c r="AV171" s="71">
        <f t="shared" si="60"/>
        <v>205495024.14298296</v>
      </c>
      <c r="AW171" s="289"/>
      <c r="AX171" s="82">
        <v>0</v>
      </c>
      <c r="AY171" s="223">
        <v>-174462.88761153453</v>
      </c>
      <c r="AZ171" s="223">
        <v>-314033.19770076213</v>
      </c>
      <c r="BA171" s="223">
        <v>-16377.539000157174</v>
      </c>
      <c r="BB171" s="223">
        <v>0</v>
      </c>
      <c r="BC171" s="223">
        <v>0</v>
      </c>
      <c r="BD171" s="223">
        <f t="shared" si="68"/>
        <v>-504873.62431245379</v>
      </c>
      <c r="BE171" s="83">
        <f t="shared" si="67"/>
        <v>-504873.62431245379</v>
      </c>
      <c r="BF171" s="78">
        <f t="shared" si="56"/>
        <v>-359942.2243957977</v>
      </c>
      <c r="BG171" s="70">
        <f t="shared" si="66"/>
        <v>-20301.037198851096</v>
      </c>
      <c r="BH171" s="70">
        <f t="shared" si="51"/>
        <v>-380243.26159464882</v>
      </c>
      <c r="BI171" s="71">
        <f t="shared" si="52"/>
        <v>161784929.05197021</v>
      </c>
      <c r="BJ171" s="86"/>
    </row>
    <row r="172" spans="1:62" ht="15" customHeight="1">
      <c r="A172" s="35">
        <f t="shared" si="44"/>
        <v>115</v>
      </c>
      <c r="B172" s="87"/>
      <c r="C172" s="36">
        <v>46753</v>
      </c>
      <c r="D172" s="69">
        <v>38883.404999999999</v>
      </c>
      <c r="E172" s="78">
        <v>526.19000000000005</v>
      </c>
      <c r="F172" s="78">
        <v>0</v>
      </c>
      <c r="G172" s="37">
        <f t="shared" si="43"/>
        <v>0.05</v>
      </c>
      <c r="H172" s="70">
        <f t="shared" si="63"/>
        <v>-26.309500000000003</v>
      </c>
      <c r="I172" s="70">
        <f t="shared" si="57"/>
        <v>101.63350000000001</v>
      </c>
      <c r="J172" s="79">
        <f t="shared" si="61"/>
        <v>24203.115412644831</v>
      </c>
      <c r="K172" s="79">
        <f t="shared" si="62"/>
        <v>96</v>
      </c>
      <c r="L172" s="79">
        <f>SUM(H172:J172,D172:F172)</f>
        <v>63688.034412644833</v>
      </c>
      <c r="M172" s="70"/>
      <c r="N172" s="70"/>
      <c r="O172" s="481"/>
      <c r="P172" s="84">
        <v>0</v>
      </c>
      <c r="Q172" s="80">
        <v>0</v>
      </c>
      <c r="R172" s="81">
        <v>0</v>
      </c>
      <c r="S172" s="81">
        <v>0</v>
      </c>
      <c r="T172" s="81">
        <v>0</v>
      </c>
      <c r="U172" s="81">
        <v>0</v>
      </c>
      <c r="V172" s="81">
        <v>0</v>
      </c>
      <c r="W172" s="80">
        <v>0</v>
      </c>
      <c r="X172" s="82">
        <v>0</v>
      </c>
      <c r="Y172" s="189">
        <v>0</v>
      </c>
      <c r="Z172" s="189">
        <v>0</v>
      </c>
      <c r="AA172" s="85">
        <v>0</v>
      </c>
      <c r="AB172" s="85">
        <v>0</v>
      </c>
      <c r="AC172" s="103">
        <v>0</v>
      </c>
      <c r="AD172" s="85">
        <v>0</v>
      </c>
      <c r="AE172" s="85">
        <v>0</v>
      </c>
      <c r="AF172" s="191">
        <v>0</v>
      </c>
      <c r="AG172" s="83">
        <v>0</v>
      </c>
      <c r="AH172" s="69">
        <f t="shared" si="58"/>
        <v>-8695.883994999369</v>
      </c>
      <c r="AI172" s="288">
        <v>0</v>
      </c>
      <c r="AJ172" s="288">
        <v>-1000</v>
      </c>
      <c r="AK172" s="288">
        <v>-2.859612100899382</v>
      </c>
      <c r="AL172" s="288">
        <v>0</v>
      </c>
      <c r="AM172" s="288">
        <f t="shared" si="53"/>
        <v>-1739.1767989998737</v>
      </c>
      <c r="AN172" s="288">
        <f t="shared" si="54"/>
        <v>-5797.2559966662457</v>
      </c>
      <c r="AO172" s="71"/>
      <c r="AP172" s="84">
        <v>0</v>
      </c>
      <c r="AQ172" s="125">
        <v>0</v>
      </c>
      <c r="AS172" s="78">
        <f t="shared" si="64"/>
        <v>63688.034412644833</v>
      </c>
      <c r="AT172" s="70">
        <f t="shared" si="65"/>
        <v>-17235.176402766388</v>
      </c>
      <c r="AU172" s="288">
        <f t="shared" si="59"/>
        <v>46452.858009878444</v>
      </c>
      <c r="AV172" s="71">
        <f t="shared" si="60"/>
        <v>205541477.00099283</v>
      </c>
      <c r="AW172" s="289"/>
      <c r="AX172" s="82">
        <v>0</v>
      </c>
      <c r="AY172" s="223">
        <v>-172641.59885038107</v>
      </c>
      <c r="AZ172" s="223">
        <v>-310754.87793068594</v>
      </c>
      <c r="BA172" s="223">
        <v>-16232.296550827052</v>
      </c>
      <c r="BB172" s="223">
        <v>0</v>
      </c>
      <c r="BC172" s="223">
        <v>0</v>
      </c>
      <c r="BD172" s="223">
        <f t="shared" si="68"/>
        <v>-499628.77333189402</v>
      </c>
      <c r="BE172" s="83">
        <f t="shared" si="67"/>
        <v>-499628.77333189402</v>
      </c>
      <c r="BF172" s="78">
        <f t="shared" si="56"/>
        <v>-435940.73891924921</v>
      </c>
      <c r="BG172" s="70">
        <f t="shared" si="66"/>
        <v>-17235.176402766388</v>
      </c>
      <c r="BH172" s="70">
        <f t="shared" si="51"/>
        <v>-453175.91532201559</v>
      </c>
      <c r="BI172" s="71">
        <f t="shared" si="52"/>
        <v>161331753.13664821</v>
      </c>
      <c r="BJ172" s="86"/>
    </row>
    <row r="173" spans="1:62" ht="15" customHeight="1">
      <c r="A173" s="35">
        <f t="shared" si="44"/>
        <v>116</v>
      </c>
      <c r="B173" s="87"/>
      <c r="C173" s="36">
        <v>46784</v>
      </c>
      <c r="D173" s="69">
        <v>31500.48</v>
      </c>
      <c r="E173" s="78">
        <v>0</v>
      </c>
      <c r="F173" s="78">
        <v>0</v>
      </c>
      <c r="G173" s="37">
        <f t="shared" si="43"/>
        <v>0.05</v>
      </c>
      <c r="H173" s="70">
        <f t="shared" si="63"/>
        <v>0</v>
      </c>
      <c r="I173" s="70">
        <f t="shared" si="57"/>
        <v>26.309500000000003</v>
      </c>
      <c r="J173" s="79">
        <f t="shared" si="61"/>
        <v>19600.021455541635</v>
      </c>
      <c r="K173" s="79">
        <f t="shared" si="62"/>
        <v>97</v>
      </c>
      <c r="L173" s="79">
        <f t="shared" si="46"/>
        <v>51126.81095554163</v>
      </c>
      <c r="M173" s="70"/>
      <c r="N173" s="70"/>
      <c r="O173" s="481"/>
      <c r="P173" s="84">
        <v>0</v>
      </c>
      <c r="Q173" s="80">
        <v>0</v>
      </c>
      <c r="R173" s="81">
        <v>0</v>
      </c>
      <c r="S173" s="81">
        <v>0</v>
      </c>
      <c r="T173" s="81">
        <v>0</v>
      </c>
      <c r="U173" s="81">
        <v>0</v>
      </c>
      <c r="V173" s="81">
        <v>0</v>
      </c>
      <c r="W173" s="80">
        <v>0</v>
      </c>
      <c r="X173" s="82">
        <v>0</v>
      </c>
      <c r="Y173" s="189">
        <v>0</v>
      </c>
      <c r="Z173" s="189">
        <v>0</v>
      </c>
      <c r="AA173" s="85">
        <v>0</v>
      </c>
      <c r="AB173" s="85">
        <v>0</v>
      </c>
      <c r="AC173" s="103">
        <v>0</v>
      </c>
      <c r="AD173" s="85">
        <v>0</v>
      </c>
      <c r="AE173" s="85">
        <v>0</v>
      </c>
      <c r="AF173" s="191">
        <v>0</v>
      </c>
      <c r="AG173" s="83">
        <v>0</v>
      </c>
      <c r="AH173" s="69">
        <f t="shared" si="58"/>
        <v>-3821.28206475869</v>
      </c>
      <c r="AI173" s="288">
        <v>0</v>
      </c>
      <c r="AJ173" s="288">
        <v>0</v>
      </c>
      <c r="AK173" s="288">
        <v>-2.8596121008292985</v>
      </c>
      <c r="AL173" s="288">
        <v>0</v>
      </c>
      <c r="AM173" s="288">
        <f t="shared" si="53"/>
        <v>-764.25641295173796</v>
      </c>
      <c r="AN173" s="288">
        <f t="shared" si="54"/>
        <v>-2547.5213765057933</v>
      </c>
      <c r="AO173" s="71"/>
      <c r="AP173" s="84">
        <v>0</v>
      </c>
      <c r="AQ173" s="125">
        <v>0</v>
      </c>
      <c r="AS173" s="78">
        <f t="shared" si="64"/>
        <v>51126.81095554163</v>
      </c>
      <c r="AT173" s="70">
        <f t="shared" si="65"/>
        <v>-7135.919466317051</v>
      </c>
      <c r="AU173" s="288">
        <f t="shared" si="59"/>
        <v>43990.891489224581</v>
      </c>
      <c r="AV173" s="71">
        <f t="shared" si="60"/>
        <v>205585467.89248207</v>
      </c>
      <c r="AW173" s="289"/>
      <c r="AX173" s="82">
        <v>0</v>
      </c>
      <c r="AY173" s="223">
        <v>-170820.31008922763</v>
      </c>
      <c r="AZ173" s="223">
        <v>-307476.55816060968</v>
      </c>
      <c r="BA173" s="223">
        <v>-16091.172187514963</v>
      </c>
      <c r="BB173" s="223">
        <v>0</v>
      </c>
      <c r="BC173" s="223">
        <v>0</v>
      </c>
      <c r="BD173" s="223">
        <f t="shared" si="68"/>
        <v>-494388.04043735226</v>
      </c>
      <c r="BE173" s="83">
        <f t="shared" si="67"/>
        <v>-494388.04043735226</v>
      </c>
      <c r="BF173" s="78">
        <f t="shared" si="56"/>
        <v>-443261.22948181065</v>
      </c>
      <c r="BG173" s="70">
        <f t="shared" si="66"/>
        <v>-7135.919466317051</v>
      </c>
      <c r="BH173" s="70">
        <f t="shared" si="51"/>
        <v>-450397.14894812769</v>
      </c>
      <c r="BI173" s="71">
        <f t="shared" si="52"/>
        <v>160881355.98770007</v>
      </c>
      <c r="BJ173" s="86"/>
    </row>
    <row r="174" spans="1:62" ht="15" customHeight="1">
      <c r="A174" s="35">
        <f t="shared" si="44"/>
        <v>117</v>
      </c>
      <c r="B174" s="87"/>
      <c r="C174" s="36">
        <v>46813</v>
      </c>
      <c r="D174" s="69">
        <v>21656.58</v>
      </c>
      <c r="E174" s="78">
        <v>0</v>
      </c>
      <c r="F174" s="78">
        <v>0</v>
      </c>
      <c r="G174" s="37">
        <f t="shared" si="43"/>
        <v>0.05</v>
      </c>
      <c r="H174" s="70">
        <f t="shared" si="63"/>
        <v>0</v>
      </c>
      <c r="I174" s="70">
        <f t="shared" si="57"/>
        <v>26.309500000000003</v>
      </c>
      <c r="J174" s="79">
        <f t="shared" si="61"/>
        <v>13650.672724438293</v>
      </c>
      <c r="K174" s="79">
        <f t="shared" si="62"/>
        <v>98</v>
      </c>
      <c r="L174" s="79">
        <f t="shared" si="46"/>
        <v>35333.562224438298</v>
      </c>
      <c r="M174" s="70"/>
      <c r="N174" s="70"/>
      <c r="O174" s="481"/>
      <c r="P174" s="84">
        <v>0</v>
      </c>
      <c r="Q174" s="80">
        <v>0</v>
      </c>
      <c r="R174" s="81">
        <v>0</v>
      </c>
      <c r="S174" s="81">
        <v>0</v>
      </c>
      <c r="T174" s="81">
        <v>0</v>
      </c>
      <c r="U174" s="81">
        <v>0</v>
      </c>
      <c r="V174" s="81">
        <v>0</v>
      </c>
      <c r="W174" s="80">
        <v>0</v>
      </c>
      <c r="X174" s="82">
        <v>0</v>
      </c>
      <c r="Y174" s="189">
        <v>0</v>
      </c>
      <c r="Z174" s="189">
        <v>0</v>
      </c>
      <c r="AA174" s="85">
        <v>0</v>
      </c>
      <c r="AB174" s="85">
        <v>0</v>
      </c>
      <c r="AC174" s="103">
        <v>0</v>
      </c>
      <c r="AD174" s="85">
        <v>0</v>
      </c>
      <c r="AE174" s="85">
        <v>0</v>
      </c>
      <c r="AF174" s="191">
        <v>0</v>
      </c>
      <c r="AG174" s="83">
        <v>0</v>
      </c>
      <c r="AH174" s="69">
        <f t="shared" si="58"/>
        <v>-3067.6086573324978</v>
      </c>
      <c r="AI174" s="288">
        <v>0</v>
      </c>
      <c r="AJ174" s="288">
        <v>0</v>
      </c>
      <c r="AK174" s="288">
        <v>-0.28596121010680992</v>
      </c>
      <c r="AL174" s="288">
        <v>0</v>
      </c>
      <c r="AM174" s="288">
        <f t="shared" si="53"/>
        <v>-613.52173146649955</v>
      </c>
      <c r="AN174" s="288">
        <f t="shared" si="54"/>
        <v>-2045.0724382216652</v>
      </c>
      <c r="AO174" s="71"/>
      <c r="AP174" s="84">
        <v>0</v>
      </c>
      <c r="AQ174" s="125">
        <v>0</v>
      </c>
      <c r="AS174" s="78">
        <f t="shared" si="64"/>
        <v>35333.562224438298</v>
      </c>
      <c r="AT174" s="70">
        <f t="shared" si="65"/>
        <v>-5726.4887882307694</v>
      </c>
      <c r="AU174" s="288">
        <f t="shared" si="59"/>
        <v>29607.073436207527</v>
      </c>
      <c r="AV174" s="71">
        <f t="shared" si="60"/>
        <v>205615074.96591827</v>
      </c>
      <c r="AW174" s="289"/>
      <c r="AX174" s="82">
        <v>0</v>
      </c>
      <c r="AY174" s="223">
        <v>-168999.02132807419</v>
      </c>
      <c r="AZ174" s="223">
        <v>-304198.23839053349</v>
      </c>
      <c r="BA174" s="223">
        <v>-15954.049149366696</v>
      </c>
      <c r="BB174" s="223">
        <v>0</v>
      </c>
      <c r="BC174" s="223">
        <v>0</v>
      </c>
      <c r="BD174" s="223">
        <f t="shared" si="68"/>
        <v>-489151.30886797432</v>
      </c>
      <c r="BE174" s="83">
        <f t="shared" si="67"/>
        <v>-489151.30886797432</v>
      </c>
      <c r="BF174" s="78">
        <f t="shared" si="56"/>
        <v>-453817.74664353608</v>
      </c>
      <c r="BG174" s="70">
        <f t="shared" si="66"/>
        <v>-5726.4887882307694</v>
      </c>
      <c r="BH174" s="70">
        <f t="shared" si="51"/>
        <v>-459544.23543176684</v>
      </c>
      <c r="BI174" s="71">
        <f t="shared" si="52"/>
        <v>160421811.75226831</v>
      </c>
      <c r="BJ174" s="86"/>
    </row>
    <row r="175" spans="1:62" ht="15" customHeight="1">
      <c r="A175" s="35">
        <f t="shared" si="44"/>
        <v>118</v>
      </c>
      <c r="B175" s="87"/>
      <c r="C175" s="36">
        <v>46844</v>
      </c>
      <c r="D175" s="69">
        <v>17719.02</v>
      </c>
      <c r="E175" s="78">
        <v>0</v>
      </c>
      <c r="F175" s="78">
        <v>0</v>
      </c>
      <c r="G175" s="37">
        <f t="shared" ref="G175:G185" si="69">+G174</f>
        <v>0.05</v>
      </c>
      <c r="H175" s="70">
        <f t="shared" si="63"/>
        <v>0</v>
      </c>
      <c r="I175" s="70">
        <f t="shared" si="57"/>
        <v>26.309500000000003</v>
      </c>
      <c r="J175" s="79">
        <f t="shared" si="61"/>
        <v>11313.170990231305</v>
      </c>
      <c r="K175" s="79">
        <f t="shared" si="62"/>
        <v>99</v>
      </c>
      <c r="L175" s="79">
        <f t="shared" si="46"/>
        <v>29058.500490231305</v>
      </c>
      <c r="M175" s="70"/>
      <c r="N175" s="70"/>
      <c r="O175" s="481"/>
      <c r="P175" s="84">
        <v>0</v>
      </c>
      <c r="Q175" s="80">
        <v>0</v>
      </c>
      <c r="R175" s="81">
        <v>0</v>
      </c>
      <c r="S175" s="81">
        <v>0</v>
      </c>
      <c r="T175" s="81">
        <v>0</v>
      </c>
      <c r="U175" s="81">
        <v>0</v>
      </c>
      <c r="V175" s="81">
        <v>0</v>
      </c>
      <c r="W175" s="80">
        <v>0</v>
      </c>
      <c r="X175" s="82">
        <v>0</v>
      </c>
      <c r="Y175" s="189">
        <v>0</v>
      </c>
      <c r="Z175" s="189">
        <v>0</v>
      </c>
      <c r="AA175" s="85">
        <v>0</v>
      </c>
      <c r="AB175" s="85">
        <v>0</v>
      </c>
      <c r="AC175" s="103">
        <v>0</v>
      </c>
      <c r="AD175" s="85">
        <v>0</v>
      </c>
      <c r="AE175" s="85">
        <v>0</v>
      </c>
      <c r="AF175" s="191">
        <v>0</v>
      </c>
      <c r="AG175" s="83">
        <v>0</v>
      </c>
      <c r="AH175" s="69">
        <f t="shared" si="58"/>
        <v>-2120.0137334662977</v>
      </c>
      <c r="AI175" s="288">
        <v>0</v>
      </c>
      <c r="AJ175" s="288">
        <v>0</v>
      </c>
      <c r="AK175" s="288">
        <v>-0.28596121014561504</v>
      </c>
      <c r="AL175" s="288">
        <v>0</v>
      </c>
      <c r="AM175" s="288">
        <f t="shared" si="53"/>
        <v>-424.00274669325955</v>
      </c>
      <c r="AN175" s="288">
        <f t="shared" si="54"/>
        <v>-1413.342488977532</v>
      </c>
      <c r="AO175" s="71"/>
      <c r="AP175" s="84">
        <v>0</v>
      </c>
      <c r="AQ175" s="125">
        <v>0</v>
      </c>
      <c r="AS175" s="78">
        <f t="shared" si="64"/>
        <v>29058.500490231305</v>
      </c>
      <c r="AT175" s="70">
        <f t="shared" si="65"/>
        <v>-3957.644930347235</v>
      </c>
      <c r="AU175" s="288">
        <f t="shared" si="59"/>
        <v>25100.855559884068</v>
      </c>
      <c r="AV175" s="71">
        <f t="shared" si="60"/>
        <v>205640175.82147816</v>
      </c>
      <c r="AW175" s="289"/>
      <c r="AX175" s="82">
        <v>0</v>
      </c>
      <c r="AY175" s="223">
        <v>-167177.73256692072</v>
      </c>
      <c r="AZ175" s="223">
        <v>-300919.91862045729</v>
      </c>
      <c r="BA175" s="223">
        <v>-15820.813986070119</v>
      </c>
      <c r="BB175" s="223">
        <v>0</v>
      </c>
      <c r="BC175" s="223">
        <v>0</v>
      </c>
      <c r="BD175" s="223">
        <f t="shared" si="68"/>
        <v>-483918.46517344809</v>
      </c>
      <c r="BE175" s="83">
        <f t="shared" si="67"/>
        <v>-483918.46517344809</v>
      </c>
      <c r="BF175" s="78">
        <f t="shared" si="56"/>
        <v>-454859.96468321682</v>
      </c>
      <c r="BG175" s="70">
        <f t="shared" si="66"/>
        <v>-3957.644930347235</v>
      </c>
      <c r="BH175" s="70">
        <f t="shared" si="51"/>
        <v>-458817.60961356404</v>
      </c>
      <c r="BI175" s="71">
        <f t="shared" si="52"/>
        <v>159962994.14265475</v>
      </c>
      <c r="BJ175" s="86"/>
    </row>
    <row r="176" spans="1:62" ht="15" customHeight="1">
      <c r="A176" s="35">
        <f t="shared" si="44"/>
        <v>119</v>
      </c>
      <c r="B176" s="87" t="s">
        <v>38</v>
      </c>
      <c r="C176" s="36">
        <v>46874</v>
      </c>
      <c r="D176" s="69">
        <v>0</v>
      </c>
      <c r="E176" s="78">
        <v>0</v>
      </c>
      <c r="F176" s="78">
        <v>0</v>
      </c>
      <c r="G176" s="37">
        <f t="shared" si="69"/>
        <v>0.05</v>
      </c>
      <c r="H176" s="70">
        <f t="shared" si="63"/>
        <v>0</v>
      </c>
      <c r="I176" s="70">
        <f t="shared" si="57"/>
        <v>0</v>
      </c>
      <c r="J176" s="79">
        <f t="shared" si="61"/>
        <v>0</v>
      </c>
      <c r="K176" s="79">
        <f t="shared" si="62"/>
        <v>100</v>
      </c>
      <c r="L176" s="79">
        <f t="shared" si="46"/>
        <v>0</v>
      </c>
      <c r="M176" s="70"/>
      <c r="N176" s="70"/>
      <c r="O176" s="481"/>
      <c r="P176" s="84">
        <v>0</v>
      </c>
      <c r="Q176" s="80">
        <v>0</v>
      </c>
      <c r="R176" s="81">
        <v>0</v>
      </c>
      <c r="S176" s="81">
        <v>0</v>
      </c>
      <c r="T176" s="81">
        <v>0</v>
      </c>
      <c r="U176" s="81">
        <v>0</v>
      </c>
      <c r="V176" s="81">
        <v>0</v>
      </c>
      <c r="W176" s="80">
        <v>0</v>
      </c>
      <c r="X176" s="82">
        <v>0</v>
      </c>
      <c r="Y176" s="189">
        <v>0</v>
      </c>
      <c r="Z176" s="189">
        <v>0</v>
      </c>
      <c r="AA176" s="85">
        <v>0</v>
      </c>
      <c r="AB176" s="85">
        <v>0</v>
      </c>
      <c r="AC176" s="103">
        <v>0</v>
      </c>
      <c r="AD176" s="85">
        <v>0</v>
      </c>
      <c r="AE176" s="85">
        <v>0</v>
      </c>
      <c r="AF176" s="191">
        <v>0</v>
      </c>
      <c r="AG176" s="83">
        <v>0</v>
      </c>
      <c r="AH176" s="69">
        <f t="shared" si="58"/>
        <v>-1743.5100294138783</v>
      </c>
      <c r="AI176" s="288">
        <v>0</v>
      </c>
      <c r="AJ176" s="288">
        <v>0</v>
      </c>
      <c r="AK176" s="288">
        <v>-0.28596121002919972</v>
      </c>
      <c r="AL176" s="288">
        <v>0</v>
      </c>
      <c r="AM176" s="288">
        <f t="shared" si="53"/>
        <v>-348.70200588277567</v>
      </c>
      <c r="AN176" s="288">
        <f t="shared" si="54"/>
        <v>-1162.3400196092523</v>
      </c>
      <c r="AO176" s="71"/>
      <c r="AP176" s="84">
        <v>0</v>
      </c>
      <c r="AQ176" s="125">
        <v>0</v>
      </c>
      <c r="AS176" s="78">
        <f t="shared" si="64"/>
        <v>0</v>
      </c>
      <c r="AT176" s="70">
        <f t="shared" si="65"/>
        <v>-3254.8380161159357</v>
      </c>
      <c r="AU176" s="288">
        <f t="shared" si="59"/>
        <v>-3254.8380161159357</v>
      </c>
      <c r="AV176" s="71">
        <f t="shared" si="60"/>
        <v>205636920.98346204</v>
      </c>
      <c r="AW176" s="289"/>
      <c r="AX176" s="82">
        <v>0</v>
      </c>
      <c r="AY176" s="223">
        <v>-165356.44380576728</v>
      </c>
      <c r="AZ176" s="223">
        <v>-297641.59885038109</v>
      </c>
      <c r="BA176" s="223">
        <v>-15691.356463990782</v>
      </c>
      <c r="BB176" s="223">
        <v>0</v>
      </c>
      <c r="BC176" s="223">
        <v>0</v>
      </c>
      <c r="BD176" s="223">
        <f t="shared" si="68"/>
        <v>-478689.39912013913</v>
      </c>
      <c r="BE176" s="83">
        <f t="shared" si="67"/>
        <v>-478689.39912013913</v>
      </c>
      <c r="BF176" s="78">
        <f t="shared" si="56"/>
        <v>-478689.39912013919</v>
      </c>
      <c r="BG176" s="70">
        <f t="shared" si="66"/>
        <v>-3254.8380161159357</v>
      </c>
      <c r="BH176" s="70">
        <f t="shared" si="51"/>
        <v>-481944.23713625513</v>
      </c>
      <c r="BI176" s="71">
        <f t="shared" si="52"/>
        <v>159481049.9055185</v>
      </c>
      <c r="BJ176" s="86"/>
    </row>
    <row r="177" spans="1:62" ht="15" customHeight="1">
      <c r="A177" s="35">
        <f t="shared" si="44"/>
        <v>120</v>
      </c>
      <c r="B177" s="87"/>
      <c r="C177" s="36">
        <v>46905</v>
      </c>
      <c r="D177" s="69">
        <v>0</v>
      </c>
      <c r="E177" s="78">
        <v>0</v>
      </c>
      <c r="F177" s="78">
        <v>0</v>
      </c>
      <c r="G177" s="37">
        <f t="shared" si="69"/>
        <v>0.05</v>
      </c>
      <c r="H177" s="70">
        <v>0</v>
      </c>
      <c r="I177" s="70">
        <f t="shared" si="57"/>
        <v>0</v>
      </c>
      <c r="J177" s="79">
        <f t="shared" si="61"/>
        <v>0</v>
      </c>
      <c r="K177" s="79">
        <f t="shared" si="62"/>
        <v>101</v>
      </c>
      <c r="L177" s="79">
        <f t="shared" si="46"/>
        <v>0</v>
      </c>
      <c r="M177" s="70"/>
      <c r="N177" s="70"/>
      <c r="O177" s="481"/>
      <c r="P177" s="84">
        <v>0</v>
      </c>
      <c r="Q177" s="80">
        <v>0</v>
      </c>
      <c r="R177" s="81">
        <v>0</v>
      </c>
      <c r="S177" s="81">
        <v>0</v>
      </c>
      <c r="T177" s="81">
        <v>0</v>
      </c>
      <c r="U177" s="81">
        <v>0</v>
      </c>
      <c r="V177" s="81">
        <v>0</v>
      </c>
      <c r="W177" s="80">
        <v>0</v>
      </c>
      <c r="X177" s="82">
        <v>0</v>
      </c>
      <c r="Y177" s="189">
        <v>0</v>
      </c>
      <c r="Z177" s="189">
        <v>0</v>
      </c>
      <c r="AA177" s="85">
        <v>0</v>
      </c>
      <c r="AB177" s="85">
        <v>0</v>
      </c>
      <c r="AC177" s="103">
        <v>0</v>
      </c>
      <c r="AD177" s="85">
        <v>0</v>
      </c>
      <c r="AE177" s="85">
        <v>0</v>
      </c>
      <c r="AF177" s="191">
        <v>0</v>
      </c>
      <c r="AG177" s="83">
        <v>0</v>
      </c>
      <c r="AH177" s="69">
        <f t="shared" si="58"/>
        <v>0</v>
      </c>
      <c r="AI177" s="288">
        <v>0</v>
      </c>
      <c r="AJ177" s="288">
        <v>0</v>
      </c>
      <c r="AK177" s="288">
        <v>0</v>
      </c>
      <c r="AL177" s="288">
        <v>0</v>
      </c>
      <c r="AM177" s="288">
        <f t="shared" si="53"/>
        <v>0</v>
      </c>
      <c r="AN177" s="288">
        <f t="shared" si="54"/>
        <v>0</v>
      </c>
      <c r="AO177" s="71"/>
      <c r="AP177" s="84">
        <v>0</v>
      </c>
      <c r="AQ177" s="125">
        <v>0</v>
      </c>
      <c r="AS177" s="78">
        <f t="shared" si="64"/>
        <v>0</v>
      </c>
      <c r="AT177" s="70">
        <f t="shared" si="65"/>
        <v>0</v>
      </c>
      <c r="AU177" s="288">
        <f t="shared" si="59"/>
        <v>0</v>
      </c>
      <c r="AV177" s="71">
        <f t="shared" si="60"/>
        <v>205636920.98346204</v>
      </c>
      <c r="AW177" s="289"/>
      <c r="AX177" s="82">
        <v>0</v>
      </c>
      <c r="AY177" s="223">
        <v>-163535.15504461381</v>
      </c>
      <c r="AZ177" s="223">
        <v>-294363.27908030484</v>
      </c>
      <c r="BA177" s="223">
        <v>-15565.569474968846</v>
      </c>
      <c r="BB177" s="223">
        <v>0</v>
      </c>
      <c r="BC177" s="223">
        <v>0</v>
      </c>
      <c r="BD177" s="223">
        <f t="shared" si="68"/>
        <v>-473464.00359988748</v>
      </c>
      <c r="BE177" s="83">
        <f t="shared" si="67"/>
        <v>-473464.00359988748</v>
      </c>
      <c r="BF177" s="78">
        <f t="shared" si="56"/>
        <v>-473464.00359988748</v>
      </c>
      <c r="BG177" s="70">
        <f t="shared" si="66"/>
        <v>0</v>
      </c>
      <c r="BH177" s="70">
        <f t="shared" si="51"/>
        <v>-473464.00359988748</v>
      </c>
      <c r="BI177" s="71">
        <f t="shared" si="52"/>
        <v>159007585.90191862</v>
      </c>
      <c r="BJ177" s="86"/>
    </row>
    <row r="178" spans="1:62" ht="15" customHeight="1">
      <c r="A178" s="35">
        <f t="shared" si="44"/>
        <v>121</v>
      </c>
      <c r="B178" s="87"/>
      <c r="C178" s="36">
        <v>46935</v>
      </c>
      <c r="D178" s="69">
        <v>0</v>
      </c>
      <c r="E178" s="78">
        <v>0</v>
      </c>
      <c r="F178" s="78">
        <v>0</v>
      </c>
      <c r="G178" s="37">
        <f t="shared" si="69"/>
        <v>0.05</v>
      </c>
      <c r="H178" s="70">
        <v>0</v>
      </c>
      <c r="I178" s="70">
        <f t="shared" si="57"/>
        <v>0</v>
      </c>
      <c r="J178" s="79">
        <f t="shared" si="61"/>
        <v>0</v>
      </c>
      <c r="K178" s="79">
        <f t="shared" si="62"/>
        <v>102</v>
      </c>
      <c r="L178" s="79">
        <f t="shared" si="46"/>
        <v>0</v>
      </c>
      <c r="M178" s="70"/>
      <c r="N178" s="70"/>
      <c r="O178" s="481"/>
      <c r="P178" s="84">
        <v>0</v>
      </c>
      <c r="Q178" s="80">
        <v>0</v>
      </c>
      <c r="R178" s="81">
        <v>0</v>
      </c>
      <c r="S178" s="81">
        <v>0</v>
      </c>
      <c r="T178" s="81">
        <v>0</v>
      </c>
      <c r="U178" s="81">
        <v>0</v>
      </c>
      <c r="V178" s="81">
        <v>0</v>
      </c>
      <c r="W178" s="80">
        <v>0</v>
      </c>
      <c r="X178" s="82">
        <v>0</v>
      </c>
      <c r="Y178" s="189">
        <v>0</v>
      </c>
      <c r="Z178" s="189">
        <v>0</v>
      </c>
      <c r="AA178" s="85">
        <v>0</v>
      </c>
      <c r="AB178" s="85">
        <v>0</v>
      </c>
      <c r="AC178" s="103">
        <v>0</v>
      </c>
      <c r="AD178" s="85">
        <v>0</v>
      </c>
      <c r="AE178" s="85">
        <v>0</v>
      </c>
      <c r="AF178" s="191">
        <v>0</v>
      </c>
      <c r="AG178" s="83">
        <v>0</v>
      </c>
      <c r="AH178" s="69">
        <f t="shared" si="58"/>
        <v>0</v>
      </c>
      <c r="AI178" s="288">
        <v>0</v>
      </c>
      <c r="AJ178" s="288">
        <v>0</v>
      </c>
      <c r="AK178" s="288">
        <v>0</v>
      </c>
      <c r="AL178" s="288">
        <v>0</v>
      </c>
      <c r="AM178" s="288">
        <f t="shared" si="53"/>
        <v>0</v>
      </c>
      <c r="AN178" s="288">
        <f t="shared" si="54"/>
        <v>0</v>
      </c>
      <c r="AO178" s="71"/>
      <c r="AP178" s="84">
        <v>0</v>
      </c>
      <c r="AQ178" s="125">
        <v>0</v>
      </c>
      <c r="AS178" s="78">
        <f t="shared" si="64"/>
        <v>0</v>
      </c>
      <c r="AT178" s="70">
        <f t="shared" si="65"/>
        <v>0</v>
      </c>
      <c r="AU178" s="288">
        <f t="shared" si="59"/>
        <v>0</v>
      </c>
      <c r="AV178" s="71">
        <f t="shared" si="60"/>
        <v>205636920.98346204</v>
      </c>
      <c r="AW178" s="289"/>
      <c r="AX178" s="82">
        <v>0</v>
      </c>
      <c r="AY178" s="223">
        <v>-161713.86628346035</v>
      </c>
      <c r="AZ178" s="223">
        <v>-291084.95931022865</v>
      </c>
      <c r="BA178" s="223">
        <v>-15443.348947701936</v>
      </c>
      <c r="BB178" s="223">
        <v>0</v>
      </c>
      <c r="BC178" s="223">
        <v>0</v>
      </c>
      <c r="BD178" s="223">
        <f t="shared" si="68"/>
        <v>-468242.17454139091</v>
      </c>
      <c r="BE178" s="83">
        <f t="shared" si="67"/>
        <v>-468242.17454139091</v>
      </c>
      <c r="BF178" s="78">
        <f t="shared" si="56"/>
        <v>-468242.17454139097</v>
      </c>
      <c r="BG178" s="70">
        <f t="shared" si="66"/>
        <v>0</v>
      </c>
      <c r="BH178" s="70">
        <f t="shared" si="51"/>
        <v>-468242.17454139097</v>
      </c>
      <c r="BI178" s="71">
        <f t="shared" si="52"/>
        <v>158539343.72737724</v>
      </c>
      <c r="BJ178" s="86"/>
    </row>
    <row r="179" spans="1:62" ht="15" customHeight="1">
      <c r="A179" s="35">
        <f t="shared" si="44"/>
        <v>122</v>
      </c>
      <c r="B179" s="87"/>
      <c r="C179" s="36">
        <v>46966</v>
      </c>
      <c r="D179" s="69">
        <v>0</v>
      </c>
      <c r="E179" s="78">
        <v>0</v>
      </c>
      <c r="F179" s="78">
        <v>0</v>
      </c>
      <c r="G179" s="37">
        <f t="shared" si="69"/>
        <v>0.05</v>
      </c>
      <c r="H179" s="70">
        <v>0</v>
      </c>
      <c r="I179" s="70">
        <f t="shared" si="57"/>
        <v>0</v>
      </c>
      <c r="J179" s="79">
        <f t="shared" si="61"/>
        <v>0</v>
      </c>
      <c r="K179" s="79">
        <f t="shared" si="62"/>
        <v>103</v>
      </c>
      <c r="L179" s="79">
        <f t="shared" si="46"/>
        <v>0</v>
      </c>
      <c r="M179" s="70"/>
      <c r="N179" s="70"/>
      <c r="O179" s="481"/>
      <c r="P179" s="84">
        <v>0</v>
      </c>
      <c r="Q179" s="80">
        <v>0</v>
      </c>
      <c r="R179" s="81">
        <v>0</v>
      </c>
      <c r="S179" s="81">
        <v>0</v>
      </c>
      <c r="T179" s="81">
        <v>0</v>
      </c>
      <c r="U179" s="81">
        <v>0</v>
      </c>
      <c r="V179" s="81">
        <v>0</v>
      </c>
      <c r="W179" s="80">
        <v>0</v>
      </c>
      <c r="X179" s="82">
        <v>0</v>
      </c>
      <c r="Y179" s="189">
        <v>0</v>
      </c>
      <c r="Z179" s="189">
        <v>0</v>
      </c>
      <c r="AA179" s="85">
        <v>0</v>
      </c>
      <c r="AB179" s="85">
        <v>0</v>
      </c>
      <c r="AC179" s="103">
        <v>0</v>
      </c>
      <c r="AD179" s="85">
        <v>0</v>
      </c>
      <c r="AE179" s="85">
        <v>0</v>
      </c>
      <c r="AF179" s="191">
        <v>0</v>
      </c>
      <c r="AG179" s="83">
        <v>0</v>
      </c>
      <c r="AH179" s="69">
        <f t="shared" si="58"/>
        <v>0</v>
      </c>
      <c r="AI179" s="288">
        <v>0</v>
      </c>
      <c r="AJ179" s="288">
        <v>0</v>
      </c>
      <c r="AK179" s="288">
        <v>0</v>
      </c>
      <c r="AL179" s="288">
        <v>0</v>
      </c>
      <c r="AM179" s="288">
        <f t="shared" si="53"/>
        <v>0</v>
      </c>
      <c r="AN179" s="288">
        <f t="shared" si="54"/>
        <v>0</v>
      </c>
      <c r="AO179" s="71"/>
      <c r="AP179" s="84">
        <v>0</v>
      </c>
      <c r="AQ179" s="125">
        <v>0</v>
      </c>
      <c r="AS179" s="78">
        <f t="shared" si="64"/>
        <v>0</v>
      </c>
      <c r="AT179" s="70">
        <f t="shared" si="65"/>
        <v>0</v>
      </c>
      <c r="AU179" s="288">
        <f t="shared" si="59"/>
        <v>0</v>
      </c>
      <c r="AV179" s="71">
        <f t="shared" si="60"/>
        <v>205636920.98346204</v>
      </c>
      <c r="AW179" s="289"/>
      <c r="AX179" s="82">
        <v>0</v>
      </c>
      <c r="AY179" s="223">
        <v>-159892.57752230691</v>
      </c>
      <c r="AZ179" s="223">
        <v>-287806.63954015245</v>
      </c>
      <c r="BA179" s="223">
        <v>-15324.593761640546</v>
      </c>
      <c r="BB179" s="223">
        <v>0</v>
      </c>
      <c r="BC179" s="223">
        <v>0</v>
      </c>
      <c r="BD179" s="223">
        <f t="shared" si="68"/>
        <v>-463023.81082409987</v>
      </c>
      <c r="BE179" s="83">
        <f t="shared" si="67"/>
        <v>-463023.81082409987</v>
      </c>
      <c r="BF179" s="78">
        <f t="shared" si="56"/>
        <v>-463023.81082409993</v>
      </c>
      <c r="BG179" s="70">
        <f t="shared" si="66"/>
        <v>0</v>
      </c>
      <c r="BH179" s="70">
        <f t="shared" si="51"/>
        <v>-463023.81082409993</v>
      </c>
      <c r="BI179" s="71">
        <f t="shared" si="52"/>
        <v>158076319.91655314</v>
      </c>
      <c r="BJ179" s="86"/>
    </row>
    <row r="180" spans="1:62" ht="15" customHeight="1">
      <c r="A180" s="35">
        <f t="shared" si="44"/>
        <v>123</v>
      </c>
      <c r="B180" s="87"/>
      <c r="C180" s="36">
        <v>46997</v>
      </c>
      <c r="D180" s="69">
        <v>0</v>
      </c>
      <c r="E180" s="78">
        <v>0</v>
      </c>
      <c r="F180" s="78">
        <v>0</v>
      </c>
      <c r="G180" s="37">
        <f t="shared" si="69"/>
        <v>0.05</v>
      </c>
      <c r="H180" s="70">
        <v>0</v>
      </c>
      <c r="I180" s="70">
        <f t="shared" si="57"/>
        <v>0</v>
      </c>
      <c r="J180" s="79">
        <f t="shared" si="61"/>
        <v>0</v>
      </c>
      <c r="K180" s="79">
        <f t="shared" si="62"/>
        <v>104</v>
      </c>
      <c r="L180" s="79">
        <f t="shared" si="46"/>
        <v>0</v>
      </c>
      <c r="M180" s="70"/>
      <c r="N180" s="70"/>
      <c r="O180" s="481"/>
      <c r="P180" s="84">
        <v>0</v>
      </c>
      <c r="Q180" s="80">
        <v>0</v>
      </c>
      <c r="R180" s="81">
        <v>0</v>
      </c>
      <c r="S180" s="81">
        <v>0</v>
      </c>
      <c r="T180" s="81">
        <v>0</v>
      </c>
      <c r="U180" s="81">
        <v>0</v>
      </c>
      <c r="V180" s="81">
        <v>0</v>
      </c>
      <c r="W180" s="80">
        <v>0</v>
      </c>
      <c r="X180" s="82">
        <v>0</v>
      </c>
      <c r="Y180" s="189">
        <v>0</v>
      </c>
      <c r="Z180" s="189">
        <v>0</v>
      </c>
      <c r="AA180" s="85">
        <v>0</v>
      </c>
      <c r="AB180" s="85">
        <v>0</v>
      </c>
      <c r="AC180" s="103">
        <v>0</v>
      </c>
      <c r="AD180" s="85">
        <v>0</v>
      </c>
      <c r="AE180" s="85">
        <v>0</v>
      </c>
      <c r="AF180" s="191">
        <v>0</v>
      </c>
      <c r="AG180" s="83">
        <v>0</v>
      </c>
      <c r="AH180" s="69">
        <f t="shared" si="58"/>
        <v>0</v>
      </c>
      <c r="AI180" s="288">
        <v>0</v>
      </c>
      <c r="AJ180" s="288">
        <v>0</v>
      </c>
      <c r="AK180" s="288">
        <v>0</v>
      </c>
      <c r="AL180" s="288">
        <v>0</v>
      </c>
      <c r="AM180" s="288">
        <f t="shared" si="53"/>
        <v>0</v>
      </c>
      <c r="AN180" s="288">
        <f t="shared" si="54"/>
        <v>0</v>
      </c>
      <c r="AO180" s="71"/>
      <c r="AP180" s="84">
        <v>0</v>
      </c>
      <c r="AQ180" s="125">
        <v>0</v>
      </c>
      <c r="AS180" s="78">
        <f t="shared" si="64"/>
        <v>0</v>
      </c>
      <c r="AT180" s="70">
        <f t="shared" si="65"/>
        <v>0</v>
      </c>
      <c r="AU180" s="288">
        <f t="shared" si="59"/>
        <v>0</v>
      </c>
      <c r="AV180" s="71">
        <f t="shared" si="60"/>
        <v>205636920.98346204</v>
      </c>
      <c r="AW180" s="289"/>
      <c r="AX180" s="82"/>
      <c r="AY180" s="223">
        <v>-158071.28876115344</v>
      </c>
      <c r="AZ180" s="223">
        <v>-284528.3197700762</v>
      </c>
      <c r="BA180" s="223">
        <v>-30770.958651372621</v>
      </c>
      <c r="BB180" s="223">
        <v>0</v>
      </c>
      <c r="BC180" s="223">
        <v>2760000</v>
      </c>
      <c r="BD180" s="223">
        <f t="shared" si="68"/>
        <v>-473370.5671826023</v>
      </c>
      <c r="BE180" s="83">
        <f t="shared" si="67"/>
        <v>2286629.4328173976</v>
      </c>
      <c r="BF180" s="78">
        <f t="shared" si="56"/>
        <v>2286629.4328173976</v>
      </c>
      <c r="BG180" s="70">
        <f t="shared" si="66"/>
        <v>0</v>
      </c>
      <c r="BH180" s="70">
        <f t="shared" si="51"/>
        <v>2286629.4328173976</v>
      </c>
      <c r="BI180" s="71">
        <f t="shared" si="52"/>
        <v>160362949.34937054</v>
      </c>
      <c r="BJ180" s="86"/>
    </row>
    <row r="181" spans="1:62" ht="15" customHeight="1">
      <c r="A181" s="35">
        <f t="shared" si="44"/>
        <v>124</v>
      </c>
      <c r="B181" s="87"/>
      <c r="C181" s="36">
        <v>47027</v>
      </c>
      <c r="D181" s="69">
        <v>0</v>
      </c>
      <c r="E181" s="78">
        <v>0</v>
      </c>
      <c r="F181" s="78">
        <v>0</v>
      </c>
      <c r="G181" s="37">
        <f t="shared" si="69"/>
        <v>0.05</v>
      </c>
      <c r="H181" s="70">
        <v>0</v>
      </c>
      <c r="I181" s="70">
        <f t="shared" si="57"/>
        <v>0</v>
      </c>
      <c r="J181" s="79">
        <f t="shared" si="61"/>
        <v>0</v>
      </c>
      <c r="K181" s="79">
        <f t="shared" si="62"/>
        <v>105</v>
      </c>
      <c r="L181" s="79">
        <f t="shared" si="46"/>
        <v>0</v>
      </c>
      <c r="M181" s="70"/>
      <c r="N181" s="70"/>
      <c r="O181" s="481"/>
      <c r="P181" s="84">
        <v>0</v>
      </c>
      <c r="Q181" s="80">
        <v>0</v>
      </c>
      <c r="R181" s="81">
        <v>0</v>
      </c>
      <c r="S181" s="81">
        <v>0</v>
      </c>
      <c r="T181" s="81">
        <v>0</v>
      </c>
      <c r="U181" s="81">
        <v>0</v>
      </c>
      <c r="V181" s="81">
        <v>0</v>
      </c>
      <c r="W181" s="80">
        <v>0</v>
      </c>
      <c r="X181" s="82">
        <v>0</v>
      </c>
      <c r="Y181" s="189">
        <v>0</v>
      </c>
      <c r="Z181" s="189">
        <v>0</v>
      </c>
      <c r="AA181" s="85">
        <v>0</v>
      </c>
      <c r="AB181" s="85">
        <v>0</v>
      </c>
      <c r="AC181" s="103">
        <v>0</v>
      </c>
      <c r="AD181" s="85">
        <v>0</v>
      </c>
      <c r="AE181" s="85">
        <v>0</v>
      </c>
      <c r="AF181" s="191">
        <v>0</v>
      </c>
      <c r="AG181" s="83">
        <v>0</v>
      </c>
      <c r="AH181" s="69">
        <f t="shared" si="58"/>
        <v>0</v>
      </c>
      <c r="AI181" s="288">
        <v>0</v>
      </c>
      <c r="AJ181" s="288">
        <v>0</v>
      </c>
      <c r="AK181" s="288">
        <v>0</v>
      </c>
      <c r="AL181" s="288">
        <v>0</v>
      </c>
      <c r="AM181" s="288">
        <f t="shared" si="53"/>
        <v>0</v>
      </c>
      <c r="AN181" s="288">
        <f t="shared" si="54"/>
        <v>0</v>
      </c>
      <c r="AO181" s="71"/>
      <c r="AP181" s="84">
        <v>0</v>
      </c>
      <c r="AQ181" s="125">
        <v>0</v>
      </c>
      <c r="AS181" s="78">
        <f t="shared" si="64"/>
        <v>0</v>
      </c>
      <c r="AT181" s="70">
        <f t="shared" si="65"/>
        <v>0</v>
      </c>
      <c r="AU181" s="288">
        <f t="shared" si="59"/>
        <v>0</v>
      </c>
      <c r="AV181" s="71">
        <f t="shared" si="60"/>
        <v>205636920.98346204</v>
      </c>
      <c r="AW181" s="289"/>
      <c r="AX181" s="82">
        <v>0</v>
      </c>
      <c r="AY181" s="223">
        <v>0</v>
      </c>
      <c r="AZ181" s="223"/>
      <c r="BA181" s="223">
        <v>0</v>
      </c>
      <c r="BB181" s="223">
        <v>0</v>
      </c>
      <c r="BC181" s="223">
        <v>0</v>
      </c>
      <c r="BD181" s="223">
        <f t="shared" ref="BD181:BD186" si="70">SUM(AX181:BC181)</f>
        <v>0</v>
      </c>
      <c r="BE181" s="83">
        <f t="shared" si="67"/>
        <v>0</v>
      </c>
      <c r="BF181" s="78">
        <f t="shared" si="56"/>
        <v>0</v>
      </c>
      <c r="BG181" s="70">
        <f t="shared" si="66"/>
        <v>0</v>
      </c>
      <c r="BH181" s="70">
        <f t="shared" si="51"/>
        <v>0</v>
      </c>
      <c r="BI181" s="71">
        <v>0</v>
      </c>
      <c r="BJ181" s="86"/>
    </row>
    <row r="182" spans="1:62" ht="15" customHeight="1">
      <c r="A182" s="35">
        <f t="shared" si="44"/>
        <v>125</v>
      </c>
      <c r="B182" s="87"/>
      <c r="C182" s="36">
        <v>47058</v>
      </c>
      <c r="D182" s="69">
        <v>0</v>
      </c>
      <c r="E182" s="78">
        <v>0</v>
      </c>
      <c r="F182" s="78">
        <v>0</v>
      </c>
      <c r="G182" s="37">
        <f t="shared" si="69"/>
        <v>0.05</v>
      </c>
      <c r="H182" s="70">
        <v>0</v>
      </c>
      <c r="I182" s="70">
        <f t="shared" si="57"/>
        <v>0</v>
      </c>
      <c r="J182" s="79">
        <f t="shared" si="61"/>
        <v>0</v>
      </c>
      <c r="K182" s="79">
        <f t="shared" si="62"/>
        <v>106</v>
      </c>
      <c r="L182" s="79">
        <f t="shared" si="46"/>
        <v>0</v>
      </c>
      <c r="M182" s="70"/>
      <c r="N182" s="70"/>
      <c r="O182" s="481"/>
      <c r="P182" s="84">
        <v>0</v>
      </c>
      <c r="Q182" s="80">
        <v>0</v>
      </c>
      <c r="R182" s="81">
        <v>0</v>
      </c>
      <c r="S182" s="81">
        <v>0</v>
      </c>
      <c r="T182" s="81">
        <v>0</v>
      </c>
      <c r="U182" s="81">
        <v>0</v>
      </c>
      <c r="V182" s="81">
        <v>0</v>
      </c>
      <c r="W182" s="80">
        <v>0</v>
      </c>
      <c r="X182" s="82">
        <v>0</v>
      </c>
      <c r="Y182" s="189">
        <v>0</v>
      </c>
      <c r="Z182" s="189">
        <v>0</v>
      </c>
      <c r="AA182" s="85">
        <v>0</v>
      </c>
      <c r="AB182" s="85">
        <v>0</v>
      </c>
      <c r="AC182" s="103">
        <v>0</v>
      </c>
      <c r="AD182" s="85">
        <v>0</v>
      </c>
      <c r="AE182" s="85">
        <v>0</v>
      </c>
      <c r="AF182" s="191">
        <v>0</v>
      </c>
      <c r="AG182" s="83">
        <v>0</v>
      </c>
      <c r="AH182" s="69">
        <f t="shared" si="58"/>
        <v>0</v>
      </c>
      <c r="AI182" s="288">
        <v>0</v>
      </c>
      <c r="AJ182" s="288">
        <v>0</v>
      </c>
      <c r="AK182" s="288">
        <v>0</v>
      </c>
      <c r="AL182" s="288">
        <v>0</v>
      </c>
      <c r="AM182" s="288">
        <f t="shared" si="53"/>
        <v>0</v>
      </c>
      <c r="AN182" s="288">
        <f t="shared" si="54"/>
        <v>0</v>
      </c>
      <c r="AO182" s="71"/>
      <c r="AP182" s="84">
        <v>0</v>
      </c>
      <c r="AQ182" s="125">
        <v>0</v>
      </c>
      <c r="AS182" s="78">
        <f t="shared" si="64"/>
        <v>0</v>
      </c>
      <c r="AT182" s="70">
        <f t="shared" si="65"/>
        <v>0</v>
      </c>
      <c r="AU182" s="288">
        <f t="shared" si="59"/>
        <v>0</v>
      </c>
      <c r="AV182" s="71">
        <f t="shared" si="60"/>
        <v>205636920.98346204</v>
      </c>
      <c r="AW182" s="289"/>
      <c r="AX182" s="82">
        <v>0</v>
      </c>
      <c r="AY182" s="223">
        <v>0</v>
      </c>
      <c r="AZ182" s="223"/>
      <c r="BA182" s="223">
        <v>0</v>
      </c>
      <c r="BB182" s="223">
        <v>0</v>
      </c>
      <c r="BC182" s="223">
        <v>0</v>
      </c>
      <c r="BD182" s="223">
        <f t="shared" si="70"/>
        <v>0</v>
      </c>
      <c r="BE182" s="83">
        <f t="shared" si="67"/>
        <v>0</v>
      </c>
      <c r="BF182" s="78">
        <f t="shared" si="56"/>
        <v>0</v>
      </c>
      <c r="BG182" s="70">
        <f t="shared" si="66"/>
        <v>0</v>
      </c>
      <c r="BH182" s="70">
        <f t="shared" si="51"/>
        <v>0</v>
      </c>
      <c r="BI182" s="71">
        <v>0</v>
      </c>
      <c r="BJ182" s="86"/>
    </row>
    <row r="183" spans="1:62" ht="15" customHeight="1">
      <c r="A183" s="35">
        <f t="shared" si="44"/>
        <v>126</v>
      </c>
      <c r="B183" s="87"/>
      <c r="C183" s="36">
        <v>47088</v>
      </c>
      <c r="D183" s="69">
        <v>0</v>
      </c>
      <c r="E183" s="78">
        <v>0</v>
      </c>
      <c r="F183" s="78">
        <v>0</v>
      </c>
      <c r="G183" s="37">
        <f t="shared" si="69"/>
        <v>0.05</v>
      </c>
      <c r="H183" s="70">
        <v>0</v>
      </c>
      <c r="I183" s="70">
        <f t="shared" si="57"/>
        <v>0</v>
      </c>
      <c r="J183" s="79">
        <f t="shared" si="61"/>
        <v>0</v>
      </c>
      <c r="K183" s="79">
        <f t="shared" si="62"/>
        <v>107</v>
      </c>
      <c r="L183" s="79">
        <f t="shared" si="46"/>
        <v>0</v>
      </c>
      <c r="M183" s="70"/>
      <c r="N183" s="70"/>
      <c r="O183" s="481"/>
      <c r="P183" s="84">
        <v>0</v>
      </c>
      <c r="Q183" s="80">
        <v>0</v>
      </c>
      <c r="R183" s="81">
        <v>0</v>
      </c>
      <c r="S183" s="81">
        <v>0</v>
      </c>
      <c r="T183" s="81">
        <v>0</v>
      </c>
      <c r="U183" s="81">
        <v>0</v>
      </c>
      <c r="V183" s="81">
        <v>0</v>
      </c>
      <c r="W183" s="80">
        <v>0</v>
      </c>
      <c r="X183" s="82">
        <v>0</v>
      </c>
      <c r="Y183" s="189">
        <v>0</v>
      </c>
      <c r="Z183" s="189">
        <v>0</v>
      </c>
      <c r="AA183" s="85">
        <v>0</v>
      </c>
      <c r="AB183" s="85">
        <v>0</v>
      </c>
      <c r="AC183" s="103">
        <v>0</v>
      </c>
      <c r="AD183" s="85">
        <v>0</v>
      </c>
      <c r="AE183" s="85">
        <v>0</v>
      </c>
      <c r="AF183" s="191">
        <v>0</v>
      </c>
      <c r="AG183" s="83">
        <v>0</v>
      </c>
      <c r="AH183" s="69">
        <f t="shared" si="58"/>
        <v>0</v>
      </c>
      <c r="AI183" s="288">
        <v>0</v>
      </c>
      <c r="AJ183" s="288">
        <v>0</v>
      </c>
      <c r="AK183" s="288">
        <v>0</v>
      </c>
      <c r="AL183" s="288">
        <v>0</v>
      </c>
      <c r="AM183" s="288">
        <f t="shared" si="53"/>
        <v>0</v>
      </c>
      <c r="AN183" s="288">
        <f t="shared" si="54"/>
        <v>0</v>
      </c>
      <c r="AO183" s="71"/>
      <c r="AP183" s="84">
        <v>0</v>
      </c>
      <c r="AQ183" s="125">
        <v>0</v>
      </c>
      <c r="AS183" s="78">
        <f t="shared" si="64"/>
        <v>0</v>
      </c>
      <c r="AT183" s="70">
        <f t="shared" si="65"/>
        <v>0</v>
      </c>
      <c r="AU183" s="288">
        <f t="shared" si="59"/>
        <v>0</v>
      </c>
      <c r="AV183" s="71">
        <f t="shared" si="60"/>
        <v>205636920.98346204</v>
      </c>
      <c r="AW183" s="289"/>
      <c r="AX183" s="82">
        <v>0</v>
      </c>
      <c r="AY183" s="223">
        <v>0</v>
      </c>
      <c r="AZ183" s="223"/>
      <c r="BA183" s="223">
        <v>0</v>
      </c>
      <c r="BB183" s="223">
        <v>0</v>
      </c>
      <c r="BC183" s="223">
        <v>0</v>
      </c>
      <c r="BD183" s="223">
        <f t="shared" si="70"/>
        <v>0</v>
      </c>
      <c r="BE183" s="83">
        <f t="shared" si="67"/>
        <v>0</v>
      </c>
      <c r="BF183" s="78">
        <f t="shared" si="56"/>
        <v>0</v>
      </c>
      <c r="BG183" s="70">
        <f t="shared" si="66"/>
        <v>0</v>
      </c>
      <c r="BH183" s="70">
        <f t="shared" si="51"/>
        <v>0</v>
      </c>
      <c r="BI183" s="71">
        <v>0</v>
      </c>
      <c r="BJ183" s="86"/>
    </row>
    <row r="184" spans="1:62" ht="15" customHeight="1">
      <c r="A184" s="35">
        <f t="shared" si="44"/>
        <v>127</v>
      </c>
      <c r="B184" s="87"/>
      <c r="C184" s="36">
        <v>47119</v>
      </c>
      <c r="D184" s="69">
        <v>0</v>
      </c>
      <c r="E184" s="78">
        <v>0</v>
      </c>
      <c r="F184" s="78">
        <v>0</v>
      </c>
      <c r="G184" s="37">
        <f t="shared" si="69"/>
        <v>0.05</v>
      </c>
      <c r="H184" s="70">
        <v>0</v>
      </c>
      <c r="I184" s="70">
        <f t="shared" si="57"/>
        <v>0</v>
      </c>
      <c r="J184" s="79">
        <f t="shared" si="61"/>
        <v>0</v>
      </c>
      <c r="K184" s="79">
        <f t="shared" si="62"/>
        <v>108</v>
      </c>
      <c r="L184" s="79">
        <f t="shared" si="46"/>
        <v>0</v>
      </c>
      <c r="M184" s="70"/>
      <c r="N184" s="70"/>
      <c r="O184" s="481"/>
      <c r="P184" s="84">
        <v>0</v>
      </c>
      <c r="Q184" s="80">
        <v>0</v>
      </c>
      <c r="R184" s="81">
        <v>0</v>
      </c>
      <c r="S184" s="81">
        <v>0</v>
      </c>
      <c r="T184" s="81">
        <v>0</v>
      </c>
      <c r="U184" s="81">
        <v>0</v>
      </c>
      <c r="V184" s="81">
        <v>0</v>
      </c>
      <c r="W184" s="80">
        <v>0</v>
      </c>
      <c r="X184" s="82">
        <v>0</v>
      </c>
      <c r="Y184" s="189">
        <v>0</v>
      </c>
      <c r="Z184" s="189">
        <v>0</v>
      </c>
      <c r="AA184" s="85">
        <v>0</v>
      </c>
      <c r="AB184" s="85">
        <v>0</v>
      </c>
      <c r="AC184" s="103">
        <v>0</v>
      </c>
      <c r="AD184" s="85">
        <v>0</v>
      </c>
      <c r="AE184" s="85">
        <v>0</v>
      </c>
      <c r="AF184" s="191">
        <v>0</v>
      </c>
      <c r="AG184" s="83">
        <v>0</v>
      </c>
      <c r="AH184" s="69">
        <f t="shared" si="58"/>
        <v>0</v>
      </c>
      <c r="AI184" s="288">
        <v>0</v>
      </c>
      <c r="AJ184" s="288">
        <v>0</v>
      </c>
      <c r="AK184" s="288">
        <v>0</v>
      </c>
      <c r="AL184" s="288">
        <v>0</v>
      </c>
      <c r="AM184" s="288">
        <f t="shared" si="53"/>
        <v>0</v>
      </c>
      <c r="AN184" s="288">
        <f t="shared" si="54"/>
        <v>0</v>
      </c>
      <c r="AO184" s="71"/>
      <c r="AP184" s="84">
        <v>0</v>
      </c>
      <c r="AQ184" s="125">
        <v>0</v>
      </c>
      <c r="AS184" s="78">
        <f t="shared" si="64"/>
        <v>0</v>
      </c>
      <c r="AT184" s="70">
        <f t="shared" si="65"/>
        <v>0</v>
      </c>
      <c r="AU184" s="288">
        <f t="shared" si="59"/>
        <v>0</v>
      </c>
      <c r="AV184" s="71">
        <f t="shared" si="60"/>
        <v>205636920.98346204</v>
      </c>
      <c r="AW184" s="289"/>
      <c r="AX184" s="82">
        <v>0</v>
      </c>
      <c r="AY184" s="223">
        <v>0</v>
      </c>
      <c r="AZ184" s="223"/>
      <c r="BA184" s="223">
        <v>0</v>
      </c>
      <c r="BB184" s="223">
        <v>0</v>
      </c>
      <c r="BC184" s="223">
        <v>0</v>
      </c>
      <c r="BD184" s="223">
        <f t="shared" si="70"/>
        <v>0</v>
      </c>
      <c r="BE184" s="83">
        <f t="shared" si="67"/>
        <v>0</v>
      </c>
      <c r="BF184" s="78">
        <f t="shared" si="56"/>
        <v>0</v>
      </c>
      <c r="BG184" s="70">
        <f t="shared" si="66"/>
        <v>0</v>
      </c>
      <c r="BH184" s="70">
        <f t="shared" si="51"/>
        <v>0</v>
      </c>
      <c r="BI184" s="71">
        <v>0</v>
      </c>
      <c r="BJ184" s="86"/>
    </row>
    <row r="185" spans="1:62" ht="15" customHeight="1">
      <c r="A185" s="35">
        <f t="shared" ref="A185" si="71">A184+1</f>
        <v>128</v>
      </c>
      <c r="B185" s="87"/>
      <c r="C185" s="36">
        <v>47150</v>
      </c>
      <c r="D185" s="69">
        <v>0</v>
      </c>
      <c r="E185" s="78">
        <v>0</v>
      </c>
      <c r="F185" s="78">
        <v>0</v>
      </c>
      <c r="G185" s="37">
        <f t="shared" si="69"/>
        <v>0.05</v>
      </c>
      <c r="H185" s="70">
        <v>0</v>
      </c>
      <c r="I185" s="70">
        <f t="shared" si="57"/>
        <v>0</v>
      </c>
      <c r="J185" s="79">
        <f t="shared" si="61"/>
        <v>0</v>
      </c>
      <c r="K185" s="79">
        <f t="shared" si="62"/>
        <v>109</v>
      </c>
      <c r="L185" s="79">
        <f t="shared" si="46"/>
        <v>0</v>
      </c>
      <c r="M185" s="70"/>
      <c r="N185" s="70"/>
      <c r="O185" s="481"/>
      <c r="P185" s="84">
        <v>0</v>
      </c>
      <c r="Q185" s="80">
        <v>0</v>
      </c>
      <c r="R185" s="81">
        <v>0</v>
      </c>
      <c r="S185" s="81">
        <v>0</v>
      </c>
      <c r="T185" s="81">
        <v>0</v>
      </c>
      <c r="U185" s="81">
        <v>0</v>
      </c>
      <c r="V185" s="81">
        <v>0</v>
      </c>
      <c r="W185" s="80">
        <v>0</v>
      </c>
      <c r="X185" s="82">
        <v>0</v>
      </c>
      <c r="Y185" s="189">
        <v>0</v>
      </c>
      <c r="Z185" s="189">
        <v>0</v>
      </c>
      <c r="AA185" s="85">
        <v>0</v>
      </c>
      <c r="AB185" s="85">
        <v>0</v>
      </c>
      <c r="AC185" s="103">
        <v>0</v>
      </c>
      <c r="AD185" s="85">
        <v>0</v>
      </c>
      <c r="AE185" s="85">
        <v>0</v>
      </c>
      <c r="AF185" s="191">
        <v>0</v>
      </c>
      <c r="AG185" s="83">
        <v>0</v>
      </c>
      <c r="AH185" s="69">
        <f t="shared" si="58"/>
        <v>0</v>
      </c>
      <c r="AI185" s="288">
        <v>0</v>
      </c>
      <c r="AJ185" s="288">
        <v>0</v>
      </c>
      <c r="AK185" s="288">
        <v>0</v>
      </c>
      <c r="AL185" s="288">
        <v>0</v>
      </c>
      <c r="AM185" s="288">
        <f t="shared" si="53"/>
        <v>0</v>
      </c>
      <c r="AN185" s="288">
        <f t="shared" si="54"/>
        <v>0</v>
      </c>
      <c r="AO185" s="71"/>
      <c r="AP185" s="84">
        <v>0</v>
      </c>
      <c r="AQ185" s="125">
        <v>0</v>
      </c>
      <c r="AS185" s="78">
        <f t="shared" si="64"/>
        <v>0</v>
      </c>
      <c r="AT185" s="70">
        <f t="shared" si="65"/>
        <v>0</v>
      </c>
      <c r="AU185" s="288">
        <f t="shared" si="59"/>
        <v>0</v>
      </c>
      <c r="AV185" s="71">
        <f t="shared" si="60"/>
        <v>205636920.98346204</v>
      </c>
      <c r="AW185" s="289"/>
      <c r="AX185" s="82">
        <v>0</v>
      </c>
      <c r="AY185" s="223">
        <v>0</v>
      </c>
      <c r="AZ185" s="223"/>
      <c r="BA185" s="223">
        <v>0</v>
      </c>
      <c r="BB185" s="223">
        <v>0</v>
      </c>
      <c r="BC185" s="223">
        <v>0</v>
      </c>
      <c r="BD185" s="223">
        <f t="shared" si="70"/>
        <v>0</v>
      </c>
      <c r="BE185" s="83">
        <f t="shared" si="67"/>
        <v>0</v>
      </c>
      <c r="BF185" s="78">
        <f t="shared" si="56"/>
        <v>0</v>
      </c>
      <c r="BG185" s="70">
        <f t="shared" si="66"/>
        <v>0</v>
      </c>
      <c r="BH185" s="70">
        <f t="shared" si="51"/>
        <v>0</v>
      </c>
      <c r="BI185" s="71">
        <v>0</v>
      </c>
      <c r="BJ185" s="86"/>
    </row>
    <row r="186" spans="1:62" ht="15" customHeight="1" thickBot="1">
      <c r="A186" s="39">
        <f>1+A185</f>
        <v>129</v>
      </c>
      <c r="B186" s="40"/>
      <c r="C186" s="36">
        <v>47178</v>
      </c>
      <c r="D186" s="72">
        <v>0</v>
      </c>
      <c r="E186" s="93">
        <v>0</v>
      </c>
      <c r="F186" s="93">
        <v>0</v>
      </c>
      <c r="G186" s="41">
        <f>+G185</f>
        <v>0.05</v>
      </c>
      <c r="H186" s="73">
        <v>0</v>
      </c>
      <c r="I186" s="73">
        <f t="shared" si="57"/>
        <v>0</v>
      </c>
      <c r="J186" s="73">
        <f t="shared" si="61"/>
        <v>0</v>
      </c>
      <c r="K186" s="73">
        <f t="shared" si="62"/>
        <v>110</v>
      </c>
      <c r="L186" s="94"/>
      <c r="M186" s="73"/>
      <c r="N186" s="73"/>
      <c r="O186" s="482"/>
      <c r="P186" s="99">
        <v>0</v>
      </c>
      <c r="Q186" s="96">
        <v>0</v>
      </c>
      <c r="R186" s="96">
        <v>0</v>
      </c>
      <c r="S186" s="96">
        <v>0</v>
      </c>
      <c r="T186" s="96">
        <v>0</v>
      </c>
      <c r="U186" s="96">
        <v>0</v>
      </c>
      <c r="V186" s="96">
        <v>0</v>
      </c>
      <c r="W186" s="96">
        <v>0</v>
      </c>
      <c r="X186" s="97">
        <v>0</v>
      </c>
      <c r="Y186" s="190">
        <v>0</v>
      </c>
      <c r="Z186" s="190">
        <v>0</v>
      </c>
      <c r="AA186" s="100">
        <v>0</v>
      </c>
      <c r="AB186" s="104">
        <v>0</v>
      </c>
      <c r="AC186" s="104">
        <v>0</v>
      </c>
      <c r="AD186" s="100">
        <v>0</v>
      </c>
      <c r="AE186" s="100">
        <v>0</v>
      </c>
      <c r="AF186" s="192">
        <v>0</v>
      </c>
      <c r="AG186" s="98">
        <v>0</v>
      </c>
      <c r="AH186" s="72">
        <f>-L185*6%</f>
        <v>0</v>
      </c>
      <c r="AI186" s="73">
        <v>0</v>
      </c>
      <c r="AJ186" s="73">
        <v>0</v>
      </c>
      <c r="AK186" s="73">
        <v>0</v>
      </c>
      <c r="AL186" s="73">
        <v>0</v>
      </c>
      <c r="AM186" s="73">
        <f t="shared" si="53"/>
        <v>0</v>
      </c>
      <c r="AN186" s="73">
        <f t="shared" si="54"/>
        <v>0</v>
      </c>
      <c r="AO186" s="74"/>
      <c r="AP186" s="99">
        <v>0</v>
      </c>
      <c r="AQ186" s="126">
        <v>0</v>
      </c>
      <c r="AS186" s="93">
        <f t="shared" si="64"/>
        <v>0</v>
      </c>
      <c r="AT186" s="73">
        <f t="shared" si="65"/>
        <v>0</v>
      </c>
      <c r="AU186" s="73">
        <f t="shared" ref="AU186" si="72">SUM(AS186:AT186)</f>
        <v>0</v>
      </c>
      <c r="AV186" s="74">
        <f>+AU186+AV185</f>
        <v>205636920.98346204</v>
      </c>
      <c r="AX186" s="97"/>
      <c r="AY186" s="100">
        <v>0</v>
      </c>
      <c r="AZ186" s="100"/>
      <c r="BA186" s="100"/>
      <c r="BB186" s="100"/>
      <c r="BC186" s="100">
        <v>0</v>
      </c>
      <c r="BD186" s="100">
        <f t="shared" si="70"/>
        <v>0</v>
      </c>
      <c r="BE186" s="98">
        <f>SUM(AY186:BB186)</f>
        <v>0</v>
      </c>
      <c r="BF186" s="72">
        <f>L186+AX186+AY186+BA186+BB186</f>
        <v>0</v>
      </c>
      <c r="BG186" s="73">
        <f t="shared" si="66"/>
        <v>0</v>
      </c>
      <c r="BH186" s="73">
        <f t="shared" si="51"/>
        <v>0</v>
      </c>
      <c r="BI186" s="74">
        <v>0</v>
      </c>
      <c r="BJ186" s="86"/>
    </row>
    <row r="187" spans="1:62" ht="15" customHeight="1">
      <c r="D187" s="86">
        <v>0</v>
      </c>
      <c r="E187" s="86">
        <v>0</v>
      </c>
      <c r="F187" s="86">
        <f>SUM(F58:F186)</f>
        <v>1382206.7499999998</v>
      </c>
      <c r="H187" s="86">
        <f t="shared" ref="H187:L187" si="73">SUM(H58:H186)</f>
        <v>-11265590.881499996</v>
      </c>
      <c r="I187" s="86">
        <f t="shared" si="73"/>
        <v>11265590.881499996</v>
      </c>
      <c r="J187" s="86">
        <f>SUM(J58:J186)</f>
        <v>43531016.943048485</v>
      </c>
      <c r="K187" s="86"/>
      <c r="L187" s="86">
        <f t="shared" si="73"/>
        <v>327462911.00304848</v>
      </c>
      <c r="M187" s="86"/>
      <c r="N187" s="86"/>
      <c r="O187" s="86"/>
      <c r="P187" s="86">
        <v>0</v>
      </c>
      <c r="Q187" s="86">
        <v>0</v>
      </c>
      <c r="R187" s="86">
        <v>0</v>
      </c>
      <c r="S187" s="86">
        <v>0</v>
      </c>
      <c r="T187" s="86">
        <v>0</v>
      </c>
      <c r="U187" s="86">
        <v>0</v>
      </c>
      <c r="V187" s="86">
        <v>0</v>
      </c>
      <c r="W187" s="86">
        <v>0</v>
      </c>
      <c r="X187" s="86">
        <v>0</v>
      </c>
      <c r="Y187" s="86">
        <v>0</v>
      </c>
      <c r="Z187" s="86">
        <v>0</v>
      </c>
      <c r="AA187" s="86">
        <v>0</v>
      </c>
      <c r="AB187" s="86">
        <v>0</v>
      </c>
      <c r="AC187" s="86">
        <v>0</v>
      </c>
      <c r="AD187" s="86">
        <v>0</v>
      </c>
      <c r="AE187" s="86">
        <v>0</v>
      </c>
      <c r="AF187" s="86">
        <v>0</v>
      </c>
      <c r="AG187" s="86">
        <v>0</v>
      </c>
      <c r="AH187" s="86"/>
      <c r="AI187" s="86"/>
      <c r="AJ187" s="86"/>
      <c r="AK187" s="86">
        <v>0</v>
      </c>
      <c r="AL187" s="86"/>
      <c r="AM187" s="86"/>
      <c r="AN187" s="86"/>
      <c r="AO187" s="86"/>
      <c r="AP187" s="23">
        <v>0</v>
      </c>
      <c r="AQ187" s="23">
        <v>0</v>
      </c>
      <c r="AV187" s="86"/>
    </row>
    <row r="188" spans="1:62" ht="15" customHeight="1">
      <c r="AU188" s="186"/>
      <c r="AV188" s="86"/>
    </row>
    <row r="189" spans="1:62" ht="15" customHeight="1">
      <c r="AP189" s="101"/>
      <c r="AQ189" s="101"/>
      <c r="AU189" s="185"/>
      <c r="AV189" s="86"/>
    </row>
  </sheetData>
  <mergeCells count="11">
    <mergeCell ref="AS2:AV2"/>
    <mergeCell ref="AX2:BE2"/>
    <mergeCell ref="BF2:BI2"/>
    <mergeCell ref="X2:AG2"/>
    <mergeCell ref="AP2:AQ2"/>
    <mergeCell ref="AH2:AO2"/>
    <mergeCell ref="A3:C3"/>
    <mergeCell ref="G4:H4"/>
    <mergeCell ref="A2:C2"/>
    <mergeCell ref="P2:W2"/>
    <mergeCell ref="D2:O2"/>
  </mergeCells>
  <conditionalFormatting sqref="A58 AS5:AW186 C58 A5:C57 K5:L58 P5:AQ58 AP59:AQ186 A59:AG186">
    <cfRule type="expression" dxfId="150" priority="200">
      <formula>#REF!=SMALL(#REF!,1)</formula>
    </cfRule>
  </conditionalFormatting>
  <conditionalFormatting sqref="AX80:AZ178 AX180:AZ182 BB84:BC84 AX61:AZ63 BB61:BB75 AX64:AX79 AX60:BC60 BB77:BB83 BB85:BB182 AY61:BA183 AX183:BB185 BC61:BC186 AZ60:AZ63">
    <cfRule type="expression" dxfId="149" priority="167">
      <formula>#REF!=SMALL(#REF!,1)</formula>
    </cfRule>
  </conditionalFormatting>
  <conditionalFormatting sqref="BI60:BI76 BI78:BI186">
    <cfRule type="expression" dxfId="148" priority="153">
      <formula>#REF!=SMALL(#REF!,1)</formula>
    </cfRule>
  </conditionalFormatting>
  <conditionalFormatting sqref="BD60:BE186">
    <cfRule type="expression" dxfId="147" priority="146">
      <formula>#REF!=SMALL(#REF!,1)</formula>
    </cfRule>
  </conditionalFormatting>
  <conditionalFormatting sqref="BD5:BE59">
    <cfRule type="expression" dxfId="146" priority="104">
      <formula>#REF!=SMALL(#REF!,1)</formula>
    </cfRule>
  </conditionalFormatting>
  <conditionalFormatting sqref="BF186">
    <cfRule type="expression" dxfId="145" priority="90">
      <formula>#REF!=SMALL(#REF!,1)</formula>
    </cfRule>
  </conditionalFormatting>
  <conditionalFormatting sqref="BF5:BI57 BF58:BG58 AX5:BC59 AX186:BB186">
    <cfRule type="expression" dxfId="144" priority="118">
      <formula>#REF!=SMALL(#REF!,1)</formula>
    </cfRule>
  </conditionalFormatting>
  <conditionalFormatting sqref="BH59:BI59 BF58:BI58 BH60:BH186 BF59:BG186">
    <cfRule type="expression" dxfId="143" priority="111">
      <formula>#REF!=SMALL(#REF!,1)</formula>
    </cfRule>
  </conditionalFormatting>
  <conditionalFormatting sqref="B58">
    <cfRule type="expression" dxfId="142" priority="83">
      <formula>#REF!=SMALL(#REF!,1)</formula>
    </cfRule>
  </conditionalFormatting>
  <conditionalFormatting sqref="BI60:BI76 BI78:BI186 BH59:BI59 BF58:BI58 BH60:BH186 AX80:AZ178 AX180:AZ182 BB84:BC84 AX61:AZ63 BB61:BB75 AX64:AX79 AX58:BE60 AX5:BI57 BB77:BB83 BB85:BB182 AY61:BA183 AX183:BB186 BC61:BE186 AY60:AZ179 BF58:BG186">
    <cfRule type="expression" dxfId="141" priority="3455">
      <formula>$B5="FIM CARTEIRA"</formula>
    </cfRule>
    <cfRule type="expression" dxfId="140" priority="3456">
      <formula>$B5="INÍCIO OBRA"</formula>
    </cfRule>
    <cfRule type="expression" dxfId="139" priority="3457">
      <formula>$B5="FIM OBRA"</formula>
    </cfRule>
    <cfRule type="expression" dxfId="138" priority="3458">
      <formula>#REF!=SMALL(#REF!,1)</formula>
    </cfRule>
    <cfRule type="expression" dxfId="137" priority="3459">
      <formula>$B5="LANÇAMENTO"</formula>
    </cfRule>
    <cfRule type="expression" dxfId="136" priority="3460">
      <formula>$B5="ACOMPANHAMENTO"</formula>
    </cfRule>
  </conditionalFormatting>
  <conditionalFormatting sqref="B58">
    <cfRule type="expression" dxfId="135" priority="3539">
      <formula>$B58="FIM CARTEIRA"</formula>
    </cfRule>
    <cfRule type="expression" dxfId="134" priority="3540">
      <formula>$B58="INÍCIO OBRA"</formula>
    </cfRule>
    <cfRule type="expression" dxfId="133" priority="3541">
      <formula>$B58="FIM OBRA"</formula>
    </cfRule>
    <cfRule type="expression" dxfId="132" priority="3542">
      <formula>#REF!=SMALL(#REF!,1)</formula>
    </cfRule>
    <cfRule type="expression" dxfId="131" priority="3543">
      <formula>$B58="LANÇAMENTO"</formula>
    </cfRule>
    <cfRule type="expression" dxfId="130" priority="3544">
      <formula>$B58="ACOMPANHAMENTO"</formula>
    </cfRule>
  </conditionalFormatting>
  <conditionalFormatting sqref="AX179">
    <cfRule type="expression" dxfId="129" priority="54">
      <formula>#REF!=SMALL(#REF!,1)</formula>
    </cfRule>
  </conditionalFormatting>
  <conditionalFormatting sqref="AW77:AW78 A58 C58 A5:C57 AS5:AV186 K5:L58 P5:AQ58 AP59:AQ186 A59:AG186">
    <cfRule type="expression" dxfId="128" priority="3661">
      <formula>$B5="FIM CARTEIRA"</formula>
    </cfRule>
    <cfRule type="expression" dxfId="127" priority="3662">
      <formula>$B5="INÍCIO OBRA"</formula>
    </cfRule>
    <cfRule type="expression" dxfId="126" priority="3663">
      <formula>$B5="FIM OBRA"</formula>
    </cfRule>
    <cfRule type="expression" dxfId="125" priority="3664">
      <formula>$AV5=SMALL($AV$58:$AV$186,1)</formula>
    </cfRule>
    <cfRule type="expression" dxfId="124" priority="3665">
      <formula>$B5="LANÇAMENTO"</formula>
    </cfRule>
    <cfRule type="expression" dxfId="123" priority="3666">
      <formula>$B5="ACOMPANHAMENTO"</formula>
    </cfRule>
  </conditionalFormatting>
  <conditionalFormatting sqref="AH59:AO186">
    <cfRule type="expression" dxfId="122" priority="47">
      <formula>#REF!=SMALL(#REF!,1)</formula>
    </cfRule>
  </conditionalFormatting>
  <conditionalFormatting sqref="AH59:AO186">
    <cfRule type="expression" dxfId="121" priority="48">
      <formula>$B59="FIM CARTEIRA"</formula>
    </cfRule>
    <cfRule type="expression" dxfId="120" priority="49">
      <formula>$B59="INÍCIO OBRA"</formula>
    </cfRule>
    <cfRule type="expression" dxfId="119" priority="50">
      <formula>$B59="FIM OBRA"</formula>
    </cfRule>
    <cfRule type="expression" dxfId="118" priority="51">
      <formula>$AV59=SMALL($AV$5:$AV$133,1)</formula>
    </cfRule>
    <cfRule type="expression" dxfId="117" priority="52">
      <formula>$B59="LANÇAMENTO"</formula>
    </cfRule>
    <cfRule type="expression" dxfId="116" priority="53">
      <formula>$B59="ACOMPANHAMENTO"</formula>
    </cfRule>
  </conditionalFormatting>
  <conditionalFormatting sqref="AY60:AZ60">
    <cfRule type="expression" dxfId="115" priority="46">
      <formula>#REF!=SMALL(#REF!,1)</formula>
    </cfRule>
  </conditionalFormatting>
  <conditionalFormatting sqref="AX179">
    <cfRule type="expression" dxfId="114" priority="3911">
      <formula>$B179="FIM CARTEIRA"</formula>
    </cfRule>
    <cfRule type="expression" dxfId="113" priority="3912">
      <formula>$B179="INÍCIO OBRA"</formula>
    </cfRule>
    <cfRule type="expression" dxfId="112" priority="3913">
      <formula>$B179="FIM OBRA"</formula>
    </cfRule>
    <cfRule type="expression" dxfId="111" priority="3914">
      <formula>$BL179=SMALL($BL$10:$BL$190,1)</formula>
    </cfRule>
    <cfRule type="expression" dxfId="110" priority="3915">
      <formula>$B179="LANÇAMENTO"</formula>
    </cfRule>
    <cfRule type="expression" dxfId="109" priority="3916">
      <formula>$B179="ACOMPANHAMENTO"</formula>
    </cfRule>
  </conditionalFormatting>
  <conditionalFormatting sqref="BC186">
    <cfRule type="expression" dxfId="108" priority="38">
      <formula>#REF!=SMALL(#REF!,1)</formula>
    </cfRule>
  </conditionalFormatting>
  <conditionalFormatting sqref="BD186">
    <cfRule type="expression" dxfId="107" priority="37">
      <formula>#REF!=SMALL(#REF!,1)</formula>
    </cfRule>
  </conditionalFormatting>
  <conditionalFormatting sqref="BD186">
    <cfRule type="expression" dxfId="106" priority="36">
      <formula>#REF!=SMALL(#REF!,1)</formula>
    </cfRule>
  </conditionalFormatting>
  <conditionalFormatting sqref="D5:J55 E56:I57">
    <cfRule type="expression" dxfId="105" priority="23">
      <formula>#REF!=SMALL(#REF!,1)</formula>
    </cfRule>
  </conditionalFormatting>
  <conditionalFormatting sqref="D56:D57">
    <cfRule type="expression" dxfId="104" priority="22">
      <formula>#REF!=SMALL(#REF!,1)</formula>
    </cfRule>
  </conditionalFormatting>
  <conditionalFormatting sqref="J56:J57">
    <cfRule type="expression" dxfId="103" priority="21">
      <formula>#REF!=SMALL(#REF!,1)</formula>
    </cfRule>
  </conditionalFormatting>
  <conditionalFormatting sqref="E58:I58">
    <cfRule type="expression" dxfId="102" priority="20">
      <formula>#REF!=SMALL(#REF!,1)</formula>
    </cfRule>
  </conditionalFormatting>
  <conditionalFormatting sqref="D58">
    <cfRule type="expression" dxfId="101" priority="19">
      <formula>#REF!=SMALL(#REF!,1)</formula>
    </cfRule>
  </conditionalFormatting>
  <conditionalFormatting sqref="J58">
    <cfRule type="expression" dxfId="100" priority="18">
      <formula>#REF!=SMALL(#REF!,1)</formula>
    </cfRule>
  </conditionalFormatting>
  <conditionalFormatting sqref="D56:D58 J56:J58">
    <cfRule type="expression" dxfId="99" priority="24">
      <formula>$B56="FIM CARTEIRA"</formula>
    </cfRule>
    <cfRule type="expression" dxfId="98" priority="25">
      <formula>$B56="INÍCIO OBRA"</formula>
    </cfRule>
    <cfRule type="expression" dxfId="97" priority="26">
      <formula>$B56="FIM OBRA"</formula>
    </cfRule>
    <cfRule type="expression" dxfId="96" priority="27">
      <formula>$BG56=SMALL($BG$9:$BG$189,1)</formula>
    </cfRule>
    <cfRule type="expression" dxfId="95" priority="28">
      <formula>$B56="LANÇAMENTO"</formula>
    </cfRule>
    <cfRule type="expression" dxfId="94" priority="29">
      <formula>$B56="ACOMPANHAMENTO"</formula>
    </cfRule>
  </conditionalFormatting>
  <conditionalFormatting sqref="D5:J55 E56:I58">
    <cfRule type="expression" dxfId="93" priority="30">
      <formula>$B5="FIM CARTEIRA"</formula>
    </cfRule>
    <cfRule type="expression" dxfId="92" priority="31">
      <formula>$B5="INÍCIO OBRA"</formula>
    </cfRule>
    <cfRule type="expression" dxfId="91" priority="32">
      <formula>$B5="FIM OBRA"</formula>
    </cfRule>
    <cfRule type="expression" dxfId="90" priority="33">
      <formula>$BN5=SMALL($BN$9:$BN$189,1)</formula>
    </cfRule>
    <cfRule type="expression" dxfId="89" priority="34">
      <formula>$B5="LANÇAMENTO"</formula>
    </cfRule>
    <cfRule type="expression" dxfId="88" priority="35">
      <formula>$B5="ACOMPANHAMENTO"</formula>
    </cfRule>
  </conditionalFormatting>
  <conditionalFormatting sqref="M5:N57 O5:O55">
    <cfRule type="expression" dxfId="87" priority="5">
      <formula>#REF!=SMALL(#REF!,1)</formula>
    </cfRule>
  </conditionalFormatting>
  <conditionalFormatting sqref="O56:O57">
    <cfRule type="expression" dxfId="86" priority="4">
      <formula>#REF!=SMALL(#REF!,1)</formula>
    </cfRule>
  </conditionalFormatting>
  <conditionalFormatting sqref="M58:N58">
    <cfRule type="expression" dxfId="85" priority="3">
      <formula>#REF!=SMALL(#REF!,1)</formula>
    </cfRule>
  </conditionalFormatting>
  <conditionalFormatting sqref="O58">
    <cfRule type="expression" dxfId="84" priority="2">
      <formula>#REF!=SMALL(#REF!,1)</formula>
    </cfRule>
  </conditionalFormatting>
  <conditionalFormatting sqref="O56:O58">
    <cfRule type="expression" dxfId="83" priority="6">
      <formula>$B56="FIM CARTEIRA"</formula>
    </cfRule>
    <cfRule type="expression" dxfId="82" priority="7">
      <formula>$B56="INÍCIO OBRA"</formula>
    </cfRule>
    <cfRule type="expression" dxfId="81" priority="8">
      <formula>$B56="FIM OBRA"</formula>
    </cfRule>
    <cfRule type="expression" dxfId="80" priority="9">
      <formula>$BD56=SMALL($BD$9:$BD$189,1)</formula>
    </cfRule>
    <cfRule type="expression" dxfId="79" priority="10">
      <formula>$B56="LANÇAMENTO"</formula>
    </cfRule>
    <cfRule type="expression" dxfId="78" priority="11">
      <formula>$B56="ACOMPANHAMENTO"</formula>
    </cfRule>
  </conditionalFormatting>
  <conditionalFormatting sqref="M5:O55 M56:N58">
    <cfRule type="expression" dxfId="77" priority="12">
      <formula>$B5="FIM CARTEIRA"</formula>
    </cfRule>
    <cfRule type="expression" dxfId="76" priority="13">
      <formula>$B5="INÍCIO OBRA"</formula>
    </cfRule>
    <cfRule type="expression" dxfId="75" priority="14">
      <formula>$B5="FIM OBRA"</formula>
    </cfRule>
    <cfRule type="expression" dxfId="74" priority="15">
      <formula>$BK5=SMALL($BK$9:$BK$189,1)</formula>
    </cfRule>
    <cfRule type="expression" dxfId="73" priority="16">
      <formula>$B5="LANÇAMENTO"</formula>
    </cfRule>
    <cfRule type="expression" dxfId="72" priority="17">
      <formula>$B5="ACOMPANHAMENTO"</formula>
    </cfRule>
  </conditionalFormatting>
  <conditionalFormatting sqref="AY61:AZ61">
    <cfRule type="expression" dxfId="71" priority="1">
      <formula>#REF!=SMALL(#REF!,1)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L186 AP3 L59:L171 BE186 J77:J187 L4 L173:L181 P3:W3 X3:AG3 AK3 BE3:BE185 L182:L185 BD3:BD180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1E62-712B-4E12-AE6B-9047E0A1AC78}">
  <dimension ref="A1:U61"/>
  <sheetViews>
    <sheetView showGridLines="0" showWhiteSpace="0" topLeftCell="A37" zoomScale="115" zoomScaleNormal="115" zoomScaleSheetLayoutView="90" zoomScalePageLayoutView="60" workbookViewId="0">
      <selection activeCell="O10" sqref="O10:R10"/>
    </sheetView>
  </sheetViews>
  <sheetFormatPr defaultColWidth="8.85546875" defaultRowHeight="15" customHeight="1"/>
  <cols>
    <col min="1" max="1" width="2" style="273" customWidth="1"/>
    <col min="2" max="9" width="6.7109375" style="272" customWidth="1"/>
    <col min="10" max="10" width="3.42578125" style="272" customWidth="1"/>
    <col min="11" max="18" width="6.7109375" style="272" customWidth="1"/>
    <col min="19" max="19" width="2.5703125" style="273" customWidth="1"/>
    <col min="20" max="20" width="18.7109375" style="272" customWidth="1"/>
    <col min="21" max="21" width="15.140625" style="272" bestFit="1" customWidth="1"/>
    <col min="22" max="16384" width="8.85546875" style="272"/>
  </cols>
  <sheetData>
    <row r="1" spans="1:21" s="286" customFormat="1" ht="3.6" customHeight="1">
      <c r="A1" s="287"/>
      <c r="S1" s="287"/>
    </row>
    <row r="2" spans="1:21" s="286" customFormat="1" ht="3.6" customHeight="1" thickBot="1">
      <c r="A2" s="287"/>
      <c r="S2" s="287"/>
    </row>
    <row r="3" spans="1:21" s="280" customFormat="1" ht="15" customHeight="1" thickBot="1">
      <c r="A3" s="281"/>
      <c r="B3" s="555" t="s">
        <v>117</v>
      </c>
      <c r="C3" s="556"/>
      <c r="D3" s="556"/>
      <c r="E3" s="556"/>
      <c r="F3" s="556"/>
      <c r="G3" s="556"/>
      <c r="H3" s="556"/>
      <c r="I3" s="557"/>
      <c r="J3" s="282"/>
      <c r="K3" s="555" t="s">
        <v>116</v>
      </c>
      <c r="L3" s="556"/>
      <c r="M3" s="556"/>
      <c r="N3" s="556"/>
      <c r="O3" s="556"/>
      <c r="P3" s="556"/>
      <c r="Q3" s="556"/>
      <c r="R3" s="557"/>
      <c r="S3" s="281"/>
      <c r="T3" s="343" t="s">
        <v>115</v>
      </c>
    </row>
    <row r="4" spans="1:21" s="280" customFormat="1" ht="15" customHeight="1">
      <c r="A4" s="281"/>
      <c r="B4" s="542" t="s">
        <v>114</v>
      </c>
      <c r="C4" s="543"/>
      <c r="D4" s="543"/>
      <c r="E4" s="543"/>
      <c r="F4" s="553">
        <f>'Fluxo Consolidado'!L3</f>
        <v>369418810.57304853</v>
      </c>
      <c r="G4" s="553"/>
      <c r="H4" s="553"/>
      <c r="I4" s="554"/>
      <c r="K4" s="542" t="s">
        <v>114</v>
      </c>
      <c r="L4" s="543"/>
      <c r="M4" s="543"/>
      <c r="N4" s="543"/>
      <c r="O4" s="553">
        <f>+F4</f>
        <v>369418810.57304853</v>
      </c>
      <c r="P4" s="553"/>
      <c r="Q4" s="553"/>
      <c r="R4" s="554"/>
      <c r="S4" s="281"/>
      <c r="T4" s="486">
        <f>+O4-F4</f>
        <v>0</v>
      </c>
      <c r="U4" s="285"/>
    </row>
    <row r="5" spans="1:21" s="280" customFormat="1" ht="15" customHeight="1">
      <c r="A5" s="281"/>
      <c r="B5" s="542" t="s">
        <v>113</v>
      </c>
      <c r="C5" s="543"/>
      <c r="D5" s="543"/>
      <c r="E5" s="543"/>
      <c r="F5" s="553">
        <f>'Fluxo Consolidado'!M3+'Fluxo Consolidado'!N3</f>
        <v>2493512.0300000003</v>
      </c>
      <c r="G5" s="553"/>
      <c r="H5" s="553"/>
      <c r="I5" s="554"/>
      <c r="K5" s="542" t="s">
        <v>113</v>
      </c>
      <c r="L5" s="543"/>
      <c r="M5" s="543"/>
      <c r="N5" s="543"/>
      <c r="O5" s="553">
        <f>+F5</f>
        <v>2493512.0300000003</v>
      </c>
      <c r="P5" s="553"/>
      <c r="Q5" s="553"/>
      <c r="R5" s="554"/>
      <c r="S5" s="281"/>
      <c r="T5" s="486">
        <f>+O5-F5</f>
        <v>0</v>
      </c>
      <c r="U5" s="285"/>
    </row>
    <row r="6" spans="1:21" s="280" customFormat="1" ht="15" customHeight="1">
      <c r="A6" s="281"/>
      <c r="B6" s="542" t="s">
        <v>112</v>
      </c>
      <c r="C6" s="543"/>
      <c r="D6" s="543"/>
      <c r="E6" s="543"/>
      <c r="F6" s="553">
        <f>'Fluxo Consolidado'!AT3</f>
        <v>-169815330.1895864</v>
      </c>
      <c r="G6" s="553"/>
      <c r="H6" s="553"/>
      <c r="I6" s="554"/>
      <c r="K6" s="542" t="s">
        <v>112</v>
      </c>
      <c r="L6" s="543"/>
      <c r="M6" s="543"/>
      <c r="N6" s="543"/>
      <c r="O6" s="553">
        <f>'Fluxo Consolidado'!BG3+'Fluxo Consolidado'!BD3</f>
        <v>-215089301.82367793</v>
      </c>
      <c r="P6" s="553"/>
      <c r="Q6" s="553"/>
      <c r="R6" s="554"/>
      <c r="S6" s="281"/>
      <c r="T6" s="487">
        <f>+O6-F6</f>
        <v>-45273971.634091526</v>
      </c>
      <c r="U6" s="285"/>
    </row>
    <row r="7" spans="1:21" s="280" customFormat="1" ht="15" customHeight="1">
      <c r="A7" s="281"/>
      <c r="B7" s="542" t="s">
        <v>111</v>
      </c>
      <c r="C7" s="543"/>
      <c r="D7" s="543"/>
      <c r="E7" s="543"/>
      <c r="F7" s="553">
        <f>+F4+F6+F5</f>
        <v>202096992.41346213</v>
      </c>
      <c r="G7" s="553"/>
      <c r="H7" s="553"/>
      <c r="I7" s="554"/>
      <c r="J7" s="282"/>
      <c r="K7" s="542" t="s">
        <v>111</v>
      </c>
      <c r="L7" s="543"/>
      <c r="M7" s="543"/>
      <c r="N7" s="543"/>
      <c r="O7" s="553">
        <f>SUM(O4:R6)</f>
        <v>156823020.77937058</v>
      </c>
      <c r="P7" s="553"/>
      <c r="Q7" s="553"/>
      <c r="R7" s="554"/>
      <c r="S7" s="281"/>
      <c r="T7" s="487">
        <f>+O7-F7</f>
        <v>-45273971.634091556</v>
      </c>
      <c r="U7" s="284"/>
    </row>
    <row r="8" spans="1:21" s="280" customFormat="1" ht="15" customHeight="1">
      <c r="A8" s="281"/>
      <c r="B8" s="542" t="s">
        <v>110</v>
      </c>
      <c r="C8" s="543"/>
      <c r="D8" s="543"/>
      <c r="E8" s="543"/>
      <c r="F8" s="553">
        <f>MIN('Fluxo Consolidado'!AV59:AV186)</f>
        <v>-16571541.864616895</v>
      </c>
      <c r="G8" s="553"/>
      <c r="H8" s="553"/>
      <c r="I8" s="554"/>
      <c r="K8" s="542" t="s">
        <v>110</v>
      </c>
      <c r="L8" s="543"/>
      <c r="M8" s="543"/>
      <c r="N8" s="543"/>
      <c r="O8" s="553">
        <f>MIN('Fluxo Consolidado'!BI59:BI186)</f>
        <v>-1228124.9393060533</v>
      </c>
      <c r="P8" s="553"/>
      <c r="Q8" s="553"/>
      <c r="R8" s="554"/>
      <c r="S8" s="281"/>
      <c r="T8" s="487">
        <f>+O8-F8</f>
        <v>15343416.925310843</v>
      </c>
      <c r="U8" s="283"/>
    </row>
    <row r="9" spans="1:21" s="280" customFormat="1" ht="15" customHeight="1">
      <c r="A9" s="281"/>
      <c r="B9" s="542" t="s">
        <v>109</v>
      </c>
      <c r="C9" s="543"/>
      <c r="D9" s="543"/>
      <c r="E9" s="543"/>
      <c r="F9" s="560">
        <f>'Fluxo Consolidado'!C75</f>
        <v>43800</v>
      </c>
      <c r="G9" s="560"/>
      <c r="H9" s="560"/>
      <c r="I9" s="561"/>
      <c r="K9" s="542" t="s">
        <v>109</v>
      </c>
      <c r="L9" s="543"/>
      <c r="M9" s="543"/>
      <c r="N9" s="543"/>
      <c r="O9" s="560">
        <f>'Fluxo Consolidado'!C59</f>
        <v>43313</v>
      </c>
      <c r="P9" s="560"/>
      <c r="Q9" s="560"/>
      <c r="R9" s="561"/>
      <c r="S9" s="281"/>
      <c r="T9" s="487">
        <f>+(O9-F9)/30</f>
        <v>-16.233333333333334</v>
      </c>
    </row>
    <row r="10" spans="1:21" s="280" customFormat="1" ht="15" customHeight="1">
      <c r="A10" s="281"/>
      <c r="B10" s="542" t="s">
        <v>108</v>
      </c>
      <c r="C10" s="543"/>
      <c r="D10" s="543"/>
      <c r="E10" s="543"/>
      <c r="F10" s="560">
        <f>'Fluxo Consolidado'!C84</f>
        <v>44075</v>
      </c>
      <c r="G10" s="560"/>
      <c r="H10" s="560"/>
      <c r="I10" s="561"/>
      <c r="J10" s="282"/>
      <c r="K10" s="542" t="s">
        <v>108</v>
      </c>
      <c r="L10" s="543"/>
      <c r="M10" s="543"/>
      <c r="N10" s="543"/>
      <c r="O10" s="560">
        <f>'Fluxo Consolidado'!C60</f>
        <v>43344</v>
      </c>
      <c r="P10" s="560"/>
      <c r="Q10" s="560"/>
      <c r="R10" s="561"/>
      <c r="S10" s="281"/>
      <c r="T10" s="487">
        <f>+(O10-F10)/30</f>
        <v>-24.366666666666667</v>
      </c>
    </row>
    <row r="11" spans="1:21" s="280" customFormat="1" ht="15" customHeight="1">
      <c r="A11" s="281"/>
      <c r="B11" s="542" t="s">
        <v>107</v>
      </c>
      <c r="C11" s="543"/>
      <c r="D11" s="543"/>
      <c r="E11" s="543"/>
      <c r="F11" s="558">
        <f>'DRE - Grafico'!L35</f>
        <v>2.8510763757261026E-2</v>
      </c>
      <c r="G11" s="558"/>
      <c r="H11" s="558">
        <f>(1+F11)^12-1</f>
        <v>0.40121924452323054</v>
      </c>
      <c r="I11" s="559"/>
      <c r="K11" s="542" t="s">
        <v>107</v>
      </c>
      <c r="L11" s="543"/>
      <c r="M11" s="543"/>
      <c r="N11" s="543"/>
      <c r="O11" s="558">
        <f>'DRE - Grafico'!L40</f>
        <v>3.0839069049735546E-2</v>
      </c>
      <c r="P11" s="558"/>
      <c r="Q11" s="558">
        <f>(1+O11)^12-1</f>
        <v>0.43976111731132006</v>
      </c>
      <c r="R11" s="559"/>
      <c r="S11" s="281"/>
      <c r="T11" s="487"/>
    </row>
    <row r="12" spans="1:21" s="280" customFormat="1" ht="15" customHeight="1">
      <c r="A12" s="281"/>
      <c r="B12" s="542" t="s">
        <v>106</v>
      </c>
      <c r="C12" s="543"/>
      <c r="D12" s="543"/>
      <c r="E12" s="543"/>
      <c r="F12" s="544">
        <f>F7/F4</f>
        <v>0.5470674113750893</v>
      </c>
      <c r="G12" s="544"/>
      <c r="H12" s="544"/>
      <c r="I12" s="545"/>
      <c r="K12" s="542" t="s">
        <v>106</v>
      </c>
      <c r="L12" s="543"/>
      <c r="M12" s="543"/>
      <c r="N12" s="543"/>
      <c r="O12" s="544">
        <f>O7/O4</f>
        <v>0.4245128193014972</v>
      </c>
      <c r="P12" s="544"/>
      <c r="Q12" s="544"/>
      <c r="R12" s="545"/>
      <c r="S12" s="281"/>
      <c r="T12" s="488">
        <f>+O12-F12</f>
        <v>-0.12255459207359209</v>
      </c>
    </row>
    <row r="13" spans="1:21" s="280" customFormat="1" ht="15" customHeight="1" thickBot="1">
      <c r="A13" s="281"/>
      <c r="B13" s="546" t="s">
        <v>105</v>
      </c>
      <c r="C13" s="547"/>
      <c r="D13" s="547"/>
      <c r="E13" s="547"/>
      <c r="F13" s="548">
        <f>F7/-F8</f>
        <v>12.195424786933925</v>
      </c>
      <c r="G13" s="548"/>
      <c r="H13" s="548"/>
      <c r="I13" s="549"/>
      <c r="K13" s="546" t="s">
        <v>105</v>
      </c>
      <c r="L13" s="547"/>
      <c r="M13" s="547"/>
      <c r="N13" s="547"/>
      <c r="O13" s="548">
        <f>O7/-O8</f>
        <v>127.6930512200027</v>
      </c>
      <c r="P13" s="548"/>
      <c r="Q13" s="548"/>
      <c r="R13" s="549"/>
      <c r="S13" s="281"/>
      <c r="T13" s="489">
        <f>+O13-F13</f>
        <v>115.49762643306877</v>
      </c>
    </row>
    <row r="14" spans="1:21" s="280" customFormat="1" ht="15" customHeight="1" thickBot="1">
      <c r="A14" s="281"/>
      <c r="B14" s="282"/>
      <c r="C14" s="282"/>
      <c r="D14" s="282"/>
      <c r="E14" s="282"/>
      <c r="F14" s="493"/>
      <c r="G14" s="493"/>
      <c r="H14" s="493"/>
      <c r="I14" s="493"/>
      <c r="K14" s="282"/>
      <c r="L14" s="282"/>
      <c r="M14" s="282"/>
      <c r="N14" s="282"/>
      <c r="O14" s="493"/>
      <c r="P14" s="493"/>
      <c r="Q14" s="493"/>
      <c r="R14" s="493"/>
      <c r="S14" s="281"/>
      <c r="T14" s="494"/>
    </row>
    <row r="15" spans="1:21" ht="17.25" customHeight="1" thickBot="1">
      <c r="B15" s="550" t="s">
        <v>104</v>
      </c>
      <c r="C15" s="551"/>
      <c r="D15" s="551"/>
      <c r="E15" s="551"/>
      <c r="F15" s="551"/>
      <c r="G15" s="551"/>
      <c r="H15" s="551"/>
      <c r="I15" s="551"/>
      <c r="J15" s="551"/>
      <c r="K15" s="551"/>
      <c r="L15" s="551"/>
      <c r="M15" s="551"/>
      <c r="N15" s="551"/>
      <c r="O15" s="551"/>
      <c r="P15" s="551"/>
      <c r="Q15" s="551"/>
      <c r="R15" s="552"/>
      <c r="S15" s="272"/>
    </row>
    <row r="16" spans="1:21" ht="17.25" customHeight="1">
      <c r="B16" s="282"/>
      <c r="C16" s="282"/>
      <c r="D16" s="282"/>
      <c r="E16" s="282"/>
      <c r="F16" s="282"/>
      <c r="G16" s="282"/>
      <c r="H16" s="282"/>
      <c r="I16" s="282"/>
      <c r="J16" s="282"/>
      <c r="L16" s="280"/>
      <c r="M16" s="281"/>
      <c r="N16" s="280"/>
      <c r="S16" s="272"/>
    </row>
    <row r="17" spans="1:21" ht="17.25" customHeight="1">
      <c r="B17" s="282"/>
      <c r="C17" s="282"/>
      <c r="D17" s="282"/>
      <c r="E17" s="282"/>
      <c r="F17" s="282"/>
      <c r="G17" s="282"/>
      <c r="H17" s="282"/>
      <c r="I17" s="282"/>
      <c r="J17" s="282"/>
      <c r="L17" s="280"/>
      <c r="M17" s="281"/>
      <c r="N17" s="280"/>
      <c r="S17" s="272"/>
    </row>
    <row r="18" spans="1:21" ht="17.25" customHeight="1">
      <c r="B18" s="282"/>
      <c r="C18" s="282"/>
      <c r="D18" s="282"/>
      <c r="E18" s="282"/>
      <c r="F18" s="282"/>
      <c r="G18" s="282"/>
      <c r="H18" s="282"/>
      <c r="I18" s="282"/>
      <c r="J18" s="282"/>
      <c r="L18" s="280"/>
      <c r="M18" s="281"/>
      <c r="N18" s="280"/>
      <c r="S18" s="272"/>
    </row>
    <row r="19" spans="1:21" ht="17.25" customHeight="1">
      <c r="B19" s="282"/>
      <c r="C19" s="282"/>
      <c r="D19" s="282"/>
      <c r="E19" s="282"/>
      <c r="F19" s="282"/>
      <c r="G19" s="282"/>
      <c r="H19" s="282"/>
      <c r="I19" s="282"/>
      <c r="J19" s="282"/>
      <c r="L19" s="280"/>
      <c r="M19" s="281"/>
      <c r="N19" s="280"/>
      <c r="S19" s="272"/>
    </row>
    <row r="20" spans="1:21" ht="17.25" customHeight="1">
      <c r="B20" s="282"/>
      <c r="C20" s="282"/>
      <c r="D20" s="282"/>
      <c r="E20" s="282"/>
      <c r="F20" s="282"/>
      <c r="G20" s="282"/>
      <c r="H20" s="282"/>
      <c r="I20" s="282"/>
      <c r="J20" s="282"/>
      <c r="L20" s="280"/>
      <c r="M20" s="281"/>
      <c r="N20" s="280"/>
      <c r="S20" s="272"/>
    </row>
    <row r="21" spans="1:21" ht="17.25" customHeight="1">
      <c r="B21" s="282"/>
      <c r="C21" s="282"/>
      <c r="D21" s="282"/>
      <c r="E21" s="282"/>
      <c r="F21" s="282"/>
      <c r="G21" s="282"/>
      <c r="H21" s="282"/>
      <c r="I21" s="282"/>
      <c r="J21" s="282"/>
      <c r="L21" s="280"/>
      <c r="M21" s="281"/>
      <c r="N21" s="280"/>
      <c r="S21" s="272"/>
    </row>
    <row r="22" spans="1:21" ht="17.25" customHeight="1">
      <c r="B22" s="282"/>
      <c r="C22" s="282"/>
      <c r="D22" s="282"/>
      <c r="E22" s="282"/>
      <c r="F22" s="282"/>
      <c r="G22" s="282"/>
      <c r="H22" s="282"/>
      <c r="I22" s="282"/>
      <c r="J22" s="282"/>
      <c r="L22" s="280"/>
      <c r="M22" s="281"/>
      <c r="N22" s="280"/>
      <c r="S22" s="272"/>
    </row>
    <row r="23" spans="1:21" ht="17.25" customHeight="1">
      <c r="B23" s="282"/>
      <c r="C23" s="282"/>
      <c r="D23" s="282"/>
      <c r="E23" s="282"/>
      <c r="F23" s="282"/>
      <c r="G23" s="282"/>
      <c r="H23" s="282"/>
      <c r="I23" s="282"/>
      <c r="J23" s="282"/>
      <c r="L23" s="280"/>
      <c r="M23" s="281"/>
      <c r="N23" s="280"/>
      <c r="S23" s="272"/>
    </row>
    <row r="24" spans="1:21" ht="17.25" customHeight="1">
      <c r="B24" s="282"/>
      <c r="C24" s="282"/>
      <c r="D24" s="282"/>
      <c r="E24" s="282"/>
      <c r="F24" s="282"/>
      <c r="G24" s="282"/>
      <c r="H24" s="282"/>
      <c r="I24" s="282"/>
      <c r="J24" s="282"/>
      <c r="L24" s="280"/>
      <c r="M24" s="281"/>
      <c r="N24" s="280"/>
      <c r="S24" s="272"/>
    </row>
    <row r="25" spans="1:21" ht="17.25" customHeight="1">
      <c r="B25" s="282"/>
      <c r="C25" s="282"/>
      <c r="D25" s="282"/>
      <c r="E25" s="282"/>
      <c r="F25" s="282"/>
      <c r="G25" s="282"/>
      <c r="H25" s="282"/>
      <c r="I25" s="282"/>
      <c r="J25" s="282"/>
      <c r="L25" s="280"/>
      <c r="M25" s="281"/>
      <c r="N25" s="280"/>
      <c r="S25" s="272"/>
    </row>
    <row r="26" spans="1:21" ht="17.25" customHeight="1">
      <c r="B26" s="282"/>
      <c r="C26" s="282"/>
      <c r="D26" s="282"/>
      <c r="E26" s="282"/>
      <c r="F26" s="282"/>
      <c r="G26" s="282"/>
      <c r="H26" s="282"/>
      <c r="I26" s="282"/>
      <c r="J26" s="282"/>
      <c r="L26" s="280"/>
      <c r="M26" s="281"/>
      <c r="N26" s="280"/>
      <c r="S26" s="272"/>
    </row>
    <row r="27" spans="1:21" ht="17.25" customHeight="1">
      <c r="B27" s="282"/>
      <c r="C27" s="282"/>
      <c r="D27" s="282"/>
      <c r="E27" s="282"/>
      <c r="F27" s="282"/>
      <c r="G27" s="282"/>
      <c r="H27" s="282"/>
      <c r="I27" s="282"/>
      <c r="J27" s="282"/>
      <c r="L27" s="280"/>
      <c r="M27" s="281"/>
      <c r="N27" s="280"/>
      <c r="S27" s="272"/>
    </row>
    <row r="28" spans="1:21" ht="17.25" customHeight="1">
      <c r="B28" s="282"/>
      <c r="C28" s="282"/>
      <c r="D28" s="282"/>
      <c r="E28" s="282"/>
      <c r="F28" s="282"/>
      <c r="G28" s="282"/>
      <c r="H28" s="282"/>
      <c r="I28" s="282"/>
      <c r="J28" s="282"/>
      <c r="L28" s="280"/>
      <c r="M28" s="281"/>
      <c r="N28" s="280"/>
      <c r="S28" s="272"/>
    </row>
    <row r="29" spans="1:21" ht="17.25" customHeight="1" thickBot="1">
      <c r="B29" s="282"/>
      <c r="C29" s="282"/>
      <c r="D29" s="282"/>
      <c r="E29" s="282"/>
      <c r="F29" s="491"/>
      <c r="G29" s="492"/>
      <c r="H29" s="492"/>
      <c r="I29" s="282"/>
      <c r="J29" s="282"/>
      <c r="K29" s="282"/>
      <c r="L29" s="282"/>
      <c r="M29" s="282"/>
      <c r="N29" s="282"/>
      <c r="O29" s="282"/>
      <c r="P29" s="282"/>
      <c r="R29" s="280"/>
      <c r="S29" s="281"/>
      <c r="T29" s="280"/>
    </row>
    <row r="30" spans="1:21" s="280" customFormat="1" ht="15" customHeight="1" thickBot="1">
      <c r="A30" s="281"/>
      <c r="B30" s="550" t="s">
        <v>104</v>
      </c>
      <c r="C30" s="55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1"/>
      <c r="O30" s="551"/>
      <c r="P30" s="551"/>
      <c r="Q30" s="551"/>
      <c r="R30" s="552"/>
      <c r="S30" s="281"/>
    </row>
    <row r="31" spans="1:21" ht="15" customHeight="1">
      <c r="B31" s="534" t="s">
        <v>35</v>
      </c>
      <c r="C31" s="535"/>
      <c r="D31" s="535"/>
      <c r="E31" s="535"/>
      <c r="F31" s="535" t="s">
        <v>103</v>
      </c>
      <c r="G31" s="535"/>
      <c r="H31" s="535"/>
      <c r="I31" s="535"/>
      <c r="J31" s="535"/>
      <c r="K31" s="535"/>
      <c r="L31" s="535" t="s">
        <v>102</v>
      </c>
      <c r="M31" s="535"/>
      <c r="N31" s="535"/>
      <c r="O31" s="535"/>
      <c r="P31" s="535"/>
      <c r="Q31" s="535"/>
      <c r="R31" s="536"/>
    </row>
    <row r="32" spans="1:21" ht="15" customHeight="1">
      <c r="B32" s="526">
        <v>2012</v>
      </c>
      <c r="C32" s="527"/>
      <c r="D32" s="527"/>
      <c r="E32" s="527"/>
      <c r="F32" s="537">
        <v>0</v>
      </c>
      <c r="G32" s="537"/>
      <c r="H32" s="537"/>
      <c r="I32" s="537"/>
      <c r="J32" s="537"/>
      <c r="K32" s="537"/>
      <c r="L32" s="537">
        <v>0</v>
      </c>
      <c r="M32" s="537"/>
      <c r="N32" s="537"/>
      <c r="O32" s="537"/>
      <c r="P32" s="537"/>
      <c r="Q32" s="537"/>
      <c r="R32" s="538"/>
      <c r="U32" s="279"/>
    </row>
    <row r="33" spans="2:21" ht="15" customHeight="1">
      <c r="B33" s="526">
        <f t="shared" ref="B33:B50" si="0">B32+1</f>
        <v>2013</v>
      </c>
      <c r="C33" s="527"/>
      <c r="D33" s="527"/>
      <c r="E33" s="527"/>
      <c r="F33" s="539">
        <v>0</v>
      </c>
      <c r="G33" s="540"/>
      <c r="H33" s="540"/>
      <c r="I33" s="540"/>
      <c r="J33" s="540"/>
      <c r="K33" s="541"/>
      <c r="L33" s="528">
        <v>0</v>
      </c>
      <c r="M33" s="528"/>
      <c r="N33" s="528"/>
      <c r="O33" s="528"/>
      <c r="P33" s="528"/>
      <c r="Q33" s="528"/>
      <c r="R33" s="529"/>
    </row>
    <row r="34" spans="2:21" ht="15" customHeight="1">
      <c r="B34" s="526">
        <f t="shared" si="0"/>
        <v>2014</v>
      </c>
      <c r="C34" s="527"/>
      <c r="D34" s="527"/>
      <c r="E34" s="527"/>
      <c r="F34" s="528">
        <f>'Resumo Ano'!E6</f>
        <v>68299.790000000503</v>
      </c>
      <c r="G34" s="528"/>
      <c r="H34" s="528"/>
      <c r="I34" s="528"/>
      <c r="J34" s="528"/>
      <c r="K34" s="528"/>
      <c r="L34" s="528">
        <f>'Resumo Ano'!K6</f>
        <v>68299.790000000503</v>
      </c>
      <c r="M34" s="528"/>
      <c r="N34" s="528"/>
      <c r="O34" s="528"/>
      <c r="P34" s="528"/>
      <c r="Q34" s="528"/>
      <c r="R34" s="529"/>
    </row>
    <row r="35" spans="2:21" ht="15" customHeight="1">
      <c r="B35" s="526">
        <f t="shared" si="0"/>
        <v>2015</v>
      </c>
      <c r="C35" s="527"/>
      <c r="D35" s="527"/>
      <c r="E35" s="527"/>
      <c r="F35" s="528">
        <f>'Resumo Ano'!E7</f>
        <v>-13246.930000000633</v>
      </c>
      <c r="G35" s="528"/>
      <c r="H35" s="528"/>
      <c r="I35" s="528"/>
      <c r="J35" s="528"/>
      <c r="K35" s="528"/>
      <c r="L35" s="528">
        <f>'Resumo Ano'!K7</f>
        <v>-13246.930000000633</v>
      </c>
      <c r="M35" s="528"/>
      <c r="N35" s="528"/>
      <c r="O35" s="528"/>
      <c r="P35" s="528"/>
      <c r="Q35" s="528"/>
      <c r="R35" s="529"/>
    </row>
    <row r="36" spans="2:21" ht="15" customHeight="1">
      <c r="B36" s="526">
        <f t="shared" si="0"/>
        <v>2016</v>
      </c>
      <c r="C36" s="527"/>
      <c r="D36" s="527"/>
      <c r="E36" s="527"/>
      <c r="F36" s="528">
        <f>'Resumo Ano'!E8</f>
        <v>42146.140000002459</v>
      </c>
      <c r="G36" s="528"/>
      <c r="H36" s="528"/>
      <c r="I36" s="528"/>
      <c r="J36" s="528"/>
      <c r="K36" s="528"/>
      <c r="L36" s="528">
        <f>'Resumo Ano'!K8</f>
        <v>42146.140000002459</v>
      </c>
      <c r="M36" s="528"/>
      <c r="N36" s="528"/>
      <c r="O36" s="528"/>
      <c r="P36" s="528"/>
      <c r="Q36" s="528"/>
      <c r="R36" s="529"/>
    </row>
    <row r="37" spans="2:21" ht="15" customHeight="1">
      <c r="B37" s="526">
        <f t="shared" si="0"/>
        <v>2017</v>
      </c>
      <c r="C37" s="527"/>
      <c r="D37" s="527"/>
      <c r="E37" s="527"/>
      <c r="F37" s="528">
        <f>'Resumo Ano'!E9</f>
        <v>-27785.75</v>
      </c>
      <c r="G37" s="528"/>
      <c r="H37" s="528"/>
      <c r="I37" s="528"/>
      <c r="J37" s="528"/>
      <c r="K37" s="528"/>
      <c r="L37" s="528">
        <f>'Resumo Ano'!K9</f>
        <v>-27785.75</v>
      </c>
      <c r="M37" s="528"/>
      <c r="N37" s="528"/>
      <c r="O37" s="528"/>
      <c r="P37" s="528"/>
      <c r="Q37" s="528"/>
      <c r="R37" s="529"/>
    </row>
    <row r="38" spans="2:21" ht="15" customHeight="1">
      <c r="B38" s="526">
        <f t="shared" si="0"/>
        <v>2018</v>
      </c>
      <c r="C38" s="527"/>
      <c r="D38" s="527"/>
      <c r="E38" s="527"/>
      <c r="F38" s="528">
        <f>'Resumo Ano'!E10</f>
        <v>-7436490.6498652473</v>
      </c>
      <c r="G38" s="528"/>
      <c r="H38" s="528"/>
      <c r="I38" s="528"/>
      <c r="J38" s="528"/>
      <c r="K38" s="528"/>
      <c r="L38" s="528">
        <f>'Resumo Ano'!K10</f>
        <v>4573149.7927359305</v>
      </c>
      <c r="M38" s="528"/>
      <c r="N38" s="528"/>
      <c r="O38" s="528"/>
      <c r="P38" s="528"/>
      <c r="Q38" s="528"/>
      <c r="R38" s="529"/>
    </row>
    <row r="39" spans="2:21" s="273" customFormat="1" ht="15" customHeight="1">
      <c r="B39" s="526">
        <f t="shared" si="0"/>
        <v>2019</v>
      </c>
      <c r="C39" s="527"/>
      <c r="D39" s="527"/>
      <c r="E39" s="527"/>
      <c r="F39" s="528">
        <f>'Resumo Ano'!E11</f>
        <v>-9204464.4647516608</v>
      </c>
      <c r="G39" s="528"/>
      <c r="H39" s="528"/>
      <c r="I39" s="528"/>
      <c r="J39" s="528"/>
      <c r="K39" s="528"/>
      <c r="L39" s="528">
        <f>'Resumo Ano'!K11</f>
        <v>7625157.5620084889</v>
      </c>
      <c r="M39" s="528"/>
      <c r="N39" s="528"/>
      <c r="O39" s="528"/>
      <c r="P39" s="528"/>
      <c r="Q39" s="528"/>
      <c r="R39" s="529"/>
      <c r="T39" s="272"/>
      <c r="U39" s="272"/>
    </row>
    <row r="40" spans="2:21" s="273" customFormat="1" ht="15" customHeight="1">
      <c r="B40" s="526">
        <f t="shared" si="0"/>
        <v>2020</v>
      </c>
      <c r="C40" s="527"/>
      <c r="D40" s="527"/>
      <c r="E40" s="527"/>
      <c r="F40" s="528">
        <f>'Resumo Ano'!E12</f>
        <v>26678324.60523288</v>
      </c>
      <c r="G40" s="528"/>
      <c r="H40" s="528"/>
      <c r="I40" s="528"/>
      <c r="J40" s="528"/>
      <c r="K40" s="528"/>
      <c r="L40" s="528">
        <f>'Resumo Ano'!K12</f>
        <v>18545152.814764455</v>
      </c>
      <c r="M40" s="528"/>
      <c r="N40" s="528"/>
      <c r="O40" s="528"/>
      <c r="P40" s="528"/>
      <c r="Q40" s="528"/>
      <c r="R40" s="529"/>
      <c r="T40" s="272"/>
      <c r="U40" s="272"/>
    </row>
    <row r="41" spans="2:21" s="273" customFormat="1" ht="15" customHeight="1">
      <c r="B41" s="526">
        <f t="shared" si="0"/>
        <v>2021</v>
      </c>
      <c r="C41" s="527"/>
      <c r="D41" s="527"/>
      <c r="E41" s="527"/>
      <c r="F41" s="528">
        <f>'Resumo Ano'!E13</f>
        <v>40254086.303621016</v>
      </c>
      <c r="G41" s="528"/>
      <c r="H41" s="528"/>
      <c r="I41" s="528"/>
      <c r="J41" s="528"/>
      <c r="K41" s="528"/>
      <c r="L41" s="528">
        <f>'Resumo Ano'!K13</f>
        <v>28924881.414849799</v>
      </c>
      <c r="M41" s="528"/>
      <c r="N41" s="528"/>
      <c r="O41" s="528"/>
      <c r="P41" s="528"/>
      <c r="Q41" s="528"/>
      <c r="R41" s="529"/>
      <c r="T41" s="272"/>
      <c r="U41" s="272"/>
    </row>
    <row r="42" spans="2:21" s="273" customFormat="1" ht="15" customHeight="1">
      <c r="B42" s="526">
        <f t="shared" si="0"/>
        <v>2022</v>
      </c>
      <c r="C42" s="527"/>
      <c r="D42" s="527"/>
      <c r="E42" s="527"/>
      <c r="F42" s="528">
        <f>'Resumo Ano'!E14</f>
        <v>39707619.792631976</v>
      </c>
      <c r="G42" s="528"/>
      <c r="H42" s="528"/>
      <c r="I42" s="528"/>
      <c r="J42" s="528"/>
      <c r="K42" s="528"/>
      <c r="L42" s="528">
        <f>'Resumo Ano'!K14</f>
        <v>29280301.53784471</v>
      </c>
      <c r="M42" s="528"/>
      <c r="N42" s="528"/>
      <c r="O42" s="528"/>
      <c r="P42" s="528"/>
      <c r="Q42" s="528"/>
      <c r="R42" s="529"/>
      <c r="T42" s="272"/>
      <c r="U42" s="272"/>
    </row>
    <row r="43" spans="2:21" s="273" customFormat="1" ht="15" customHeight="1">
      <c r="B43" s="526">
        <f t="shared" si="0"/>
        <v>2023</v>
      </c>
      <c r="C43" s="527"/>
      <c r="D43" s="527"/>
      <c r="E43" s="527"/>
      <c r="F43" s="528">
        <f>'Resumo Ano'!E15</f>
        <v>38226745.118557811</v>
      </c>
      <c r="G43" s="528"/>
      <c r="H43" s="528"/>
      <c r="I43" s="528"/>
      <c r="J43" s="528"/>
      <c r="K43" s="528"/>
      <c r="L43" s="528">
        <f>'Resumo Ano'!K15</f>
        <v>28652409.492834974</v>
      </c>
      <c r="M43" s="528"/>
      <c r="N43" s="528"/>
      <c r="O43" s="528"/>
      <c r="P43" s="528"/>
      <c r="Q43" s="528"/>
      <c r="R43" s="529"/>
      <c r="T43" s="272"/>
      <c r="U43" s="272"/>
    </row>
    <row r="44" spans="2:21" s="273" customFormat="1" ht="15" customHeight="1">
      <c r="B44" s="526">
        <f t="shared" si="0"/>
        <v>2024</v>
      </c>
      <c r="C44" s="527"/>
      <c r="D44" s="527"/>
      <c r="E44" s="527"/>
      <c r="F44" s="528">
        <f>'Resumo Ano'!E16</f>
        <v>36479902.999464869</v>
      </c>
      <c r="G44" s="528"/>
      <c r="H44" s="528"/>
      <c r="I44" s="528"/>
      <c r="J44" s="528"/>
      <c r="K44" s="528"/>
      <c r="L44" s="528">
        <f>'Resumo Ano'!K16</f>
        <v>27723920.551994525</v>
      </c>
      <c r="M44" s="528"/>
      <c r="N44" s="528"/>
      <c r="O44" s="528"/>
      <c r="P44" s="528"/>
      <c r="Q44" s="528"/>
      <c r="R44" s="529"/>
      <c r="T44" s="272"/>
      <c r="U44" s="272"/>
    </row>
    <row r="45" spans="2:21" s="273" customFormat="1" ht="15" customHeight="1">
      <c r="B45" s="526">
        <f t="shared" si="0"/>
        <v>2025</v>
      </c>
      <c r="C45" s="527"/>
      <c r="D45" s="527"/>
      <c r="E45" s="527"/>
      <c r="F45" s="528">
        <f>'Resumo Ano'!E17</f>
        <v>27624713.29638705</v>
      </c>
      <c r="G45" s="528"/>
      <c r="H45" s="528"/>
      <c r="I45" s="528"/>
      <c r="J45" s="528"/>
      <c r="K45" s="528"/>
      <c r="L45" s="528">
        <f>'Resumo Ano'!K17</f>
        <v>19662562.5413418</v>
      </c>
      <c r="M45" s="528"/>
      <c r="N45" s="528"/>
      <c r="O45" s="528"/>
      <c r="P45" s="528"/>
      <c r="Q45" s="528"/>
      <c r="R45" s="529"/>
      <c r="T45" s="272"/>
      <c r="U45" s="272"/>
    </row>
    <row r="46" spans="2:21" s="273" customFormat="1" ht="15" customHeight="1">
      <c r="B46" s="526">
        <f t="shared" si="0"/>
        <v>2026</v>
      </c>
      <c r="C46" s="527"/>
      <c r="D46" s="527"/>
      <c r="E46" s="527"/>
      <c r="F46" s="528">
        <f>'Resumo Ano'!E18</f>
        <v>10445698.45764875</v>
      </c>
      <c r="G46" s="528"/>
      <c r="H46" s="528"/>
      <c r="I46" s="528"/>
      <c r="J46" s="528"/>
      <c r="K46" s="528"/>
      <c r="L46" s="528">
        <f>'Resumo Ano'!K18</f>
        <v>3260015.4677041788</v>
      </c>
      <c r="M46" s="528"/>
      <c r="N46" s="528"/>
      <c r="O46" s="528"/>
      <c r="P46" s="528"/>
      <c r="Q46" s="528"/>
      <c r="R46" s="529"/>
      <c r="T46" s="272"/>
      <c r="U46" s="272"/>
    </row>
    <row r="47" spans="2:21" s="273" customFormat="1" ht="15" customHeight="1">
      <c r="B47" s="526">
        <f t="shared" si="0"/>
        <v>2027</v>
      </c>
      <c r="C47" s="527"/>
      <c r="D47" s="527"/>
      <c r="E47" s="527"/>
      <c r="F47" s="528">
        <f>'Resumo Ano'!E19</f>
        <v>2649475.4340554574</v>
      </c>
      <c r="G47" s="528"/>
      <c r="H47" s="528"/>
      <c r="I47" s="528"/>
      <c r="J47" s="528"/>
      <c r="K47" s="528"/>
      <c r="L47" s="528">
        <f>'Resumo Ano'!K19</f>
        <v>-3772035.3741087113</v>
      </c>
      <c r="M47" s="528"/>
      <c r="N47" s="528"/>
      <c r="O47" s="528"/>
      <c r="P47" s="528"/>
      <c r="Q47" s="528"/>
      <c r="R47" s="529"/>
      <c r="T47" s="272"/>
      <c r="U47" s="272"/>
    </row>
    <row r="48" spans="2:21" s="273" customFormat="1" ht="15" customHeight="1">
      <c r="B48" s="526">
        <f t="shared" si="0"/>
        <v>2028</v>
      </c>
      <c r="C48" s="527"/>
      <c r="D48" s="527"/>
      <c r="E48" s="527"/>
      <c r="F48" s="528">
        <f>'Resumo Ano'!E20</f>
        <v>141896.8404790787</v>
      </c>
      <c r="G48" s="528"/>
      <c r="H48" s="528"/>
      <c r="I48" s="528"/>
      <c r="J48" s="528"/>
      <c r="K48" s="528"/>
      <c r="L48" s="528">
        <f>'Resumo Ano'!K20</f>
        <v>-4181979.7025997089</v>
      </c>
      <c r="M48" s="528"/>
      <c r="N48" s="528"/>
      <c r="O48" s="528"/>
      <c r="P48" s="528"/>
      <c r="Q48" s="528"/>
      <c r="R48" s="529"/>
      <c r="T48" s="272"/>
      <c r="U48" s="272"/>
    </row>
    <row r="49" spans="2:21" s="273" customFormat="1" ht="15" customHeight="1">
      <c r="B49" s="526">
        <f t="shared" si="0"/>
        <v>2029</v>
      </c>
      <c r="C49" s="527"/>
      <c r="D49" s="527"/>
      <c r="E49" s="527"/>
      <c r="F49" s="528">
        <f>'Resumo Ano'!E21</f>
        <v>0</v>
      </c>
      <c r="G49" s="528"/>
      <c r="H49" s="528"/>
      <c r="I49" s="528"/>
      <c r="J49" s="528"/>
      <c r="K49" s="528"/>
      <c r="L49" s="528">
        <f>'Resumo Ano'!K21</f>
        <v>0</v>
      </c>
      <c r="M49" s="528"/>
      <c r="N49" s="528"/>
      <c r="O49" s="528"/>
      <c r="P49" s="528"/>
      <c r="Q49" s="528"/>
      <c r="R49" s="529"/>
      <c r="T49" s="272"/>
      <c r="U49" s="272"/>
    </row>
    <row r="50" spans="2:21" s="273" customFormat="1" ht="15" customHeight="1">
      <c r="B50" s="526">
        <f t="shared" si="0"/>
        <v>2030</v>
      </c>
      <c r="C50" s="527"/>
      <c r="D50" s="527"/>
      <c r="E50" s="527"/>
      <c r="F50" s="528">
        <f>'Resumo Ano'!E22</f>
        <v>0</v>
      </c>
      <c r="G50" s="528"/>
      <c r="H50" s="528"/>
      <c r="I50" s="528"/>
      <c r="J50" s="528"/>
      <c r="K50" s="528"/>
      <c r="L50" s="528">
        <f>'Resumo Ano'!K22</f>
        <v>0</v>
      </c>
      <c r="M50" s="528"/>
      <c r="N50" s="528"/>
      <c r="O50" s="528"/>
      <c r="P50" s="528"/>
      <c r="Q50" s="528"/>
      <c r="R50" s="529"/>
      <c r="T50" s="272"/>
      <c r="U50" s="272"/>
    </row>
    <row r="51" spans="2:21" s="273" customFormat="1" ht="15" customHeight="1" thickBot="1">
      <c r="B51" s="530" t="s">
        <v>101</v>
      </c>
      <c r="C51" s="531"/>
      <c r="D51" s="531"/>
      <c r="E51" s="531"/>
      <c r="F51" s="532">
        <f>SUM(F32:K50)</f>
        <v>205636920.98346198</v>
      </c>
      <c r="G51" s="532"/>
      <c r="H51" s="532"/>
      <c r="I51" s="532"/>
      <c r="J51" s="532"/>
      <c r="K51" s="532"/>
      <c r="L51" s="532">
        <f>SUM(L32:R50)</f>
        <v>160362949.34937045</v>
      </c>
      <c r="M51" s="532"/>
      <c r="N51" s="532"/>
      <c r="O51" s="532"/>
      <c r="P51" s="532"/>
      <c r="Q51" s="532"/>
      <c r="R51" s="533"/>
      <c r="T51" s="272"/>
      <c r="U51" s="272"/>
    </row>
    <row r="52" spans="2:21" s="273" customFormat="1" ht="15" customHeight="1">
      <c r="B52" s="275"/>
      <c r="C52" s="275"/>
      <c r="D52" s="275"/>
      <c r="E52" s="275"/>
      <c r="F52" s="275"/>
      <c r="G52" s="275"/>
      <c r="H52" s="275"/>
      <c r="I52" s="278"/>
      <c r="J52" s="275"/>
      <c r="K52" s="275"/>
      <c r="L52" s="275"/>
      <c r="M52" s="274"/>
      <c r="N52" s="274"/>
      <c r="O52" s="277"/>
      <c r="P52" s="274"/>
      <c r="Q52" s="272"/>
      <c r="R52" s="272"/>
      <c r="T52" s="272"/>
      <c r="U52" s="272"/>
    </row>
    <row r="53" spans="2:21" s="273" customFormat="1" ht="15" customHeight="1"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6"/>
      <c r="N53" s="274"/>
      <c r="O53" s="274"/>
      <c r="P53" s="274"/>
      <c r="Q53" s="272"/>
      <c r="R53" s="272"/>
      <c r="T53" s="272"/>
      <c r="U53" s="272"/>
    </row>
    <row r="54" spans="2:21" s="273" customFormat="1" ht="15" customHeight="1"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4"/>
      <c r="N54" s="274"/>
      <c r="O54" s="274"/>
      <c r="P54" s="274"/>
      <c r="Q54" s="272"/>
      <c r="R54" s="272"/>
      <c r="T54" s="272"/>
      <c r="U54" s="272"/>
    </row>
    <row r="55" spans="2:21" ht="15" customHeight="1"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4"/>
      <c r="N55" s="274"/>
      <c r="O55" s="274"/>
      <c r="P55" s="274"/>
    </row>
    <row r="56" spans="2:21" ht="15" customHeight="1"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4"/>
      <c r="N56" s="274"/>
      <c r="O56" s="274"/>
      <c r="P56" s="274"/>
    </row>
    <row r="57" spans="2:21" ht="15" customHeight="1"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4"/>
      <c r="N57" s="274"/>
      <c r="O57" s="274"/>
      <c r="P57" s="274"/>
    </row>
    <row r="58" spans="2:21" ht="15" customHeight="1"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4"/>
      <c r="N58" s="274"/>
      <c r="O58" s="274"/>
      <c r="P58" s="274"/>
    </row>
    <row r="59" spans="2:21" ht="15" customHeight="1"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4"/>
      <c r="N59" s="274"/>
      <c r="O59" s="274"/>
      <c r="P59" s="274"/>
    </row>
    <row r="60" spans="2:21" ht="15" customHeight="1"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4"/>
      <c r="N60" s="274"/>
      <c r="O60" s="274"/>
      <c r="P60" s="274"/>
    </row>
    <row r="61" spans="2:21" ht="15" customHeight="1"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4"/>
      <c r="N61" s="274"/>
      <c r="O61" s="274"/>
      <c r="P61" s="274"/>
    </row>
  </sheetData>
  <mergeCells count="109">
    <mergeCell ref="B7:E7"/>
    <mergeCell ref="F7:I7"/>
    <mergeCell ref="K7:N7"/>
    <mergeCell ref="O7:R7"/>
    <mergeCell ref="B8:E8"/>
    <mergeCell ref="F8:I8"/>
    <mergeCell ref="K8:N8"/>
    <mergeCell ref="O8:R8"/>
    <mergeCell ref="B11:E11"/>
    <mergeCell ref="F11:G11"/>
    <mergeCell ref="H11:I11"/>
    <mergeCell ref="K11:N11"/>
    <mergeCell ref="O11:P11"/>
    <mergeCell ref="Q11:R11"/>
    <mergeCell ref="B9:E9"/>
    <mergeCell ref="F9:I9"/>
    <mergeCell ref="K9:N9"/>
    <mergeCell ref="O9:R9"/>
    <mergeCell ref="B10:E10"/>
    <mergeCell ref="F10:I10"/>
    <mergeCell ref="K10:N10"/>
    <mergeCell ref="O10:R10"/>
    <mergeCell ref="K5:N5"/>
    <mergeCell ref="O5:R5"/>
    <mergeCell ref="B3:I3"/>
    <mergeCell ref="K3:R3"/>
    <mergeCell ref="B4:E4"/>
    <mergeCell ref="F4:I4"/>
    <mergeCell ref="K4:N4"/>
    <mergeCell ref="O4:R4"/>
    <mergeCell ref="B6:E6"/>
    <mergeCell ref="F6:I6"/>
    <mergeCell ref="K6:N6"/>
    <mergeCell ref="O6:R6"/>
    <mergeCell ref="B5:E5"/>
    <mergeCell ref="F5:I5"/>
    <mergeCell ref="B12:E12"/>
    <mergeCell ref="F12:I12"/>
    <mergeCell ref="K12:N12"/>
    <mergeCell ref="O12:R12"/>
    <mergeCell ref="B13:E13"/>
    <mergeCell ref="F13:I13"/>
    <mergeCell ref="K13:N13"/>
    <mergeCell ref="O13:R13"/>
    <mergeCell ref="B30:R30"/>
    <mergeCell ref="B15:R15"/>
    <mergeCell ref="B31:E31"/>
    <mergeCell ref="F31:K31"/>
    <mergeCell ref="L31:R31"/>
    <mergeCell ref="B32:E32"/>
    <mergeCell ref="F32:K32"/>
    <mergeCell ref="L32:R32"/>
    <mergeCell ref="B33:E33"/>
    <mergeCell ref="F33:K33"/>
    <mergeCell ref="L33:R33"/>
    <mergeCell ref="B34:E34"/>
    <mergeCell ref="F34:K34"/>
    <mergeCell ref="L34:R34"/>
    <mergeCell ref="B35:E35"/>
    <mergeCell ref="F35:K35"/>
    <mergeCell ref="L35:R35"/>
    <mergeCell ref="B36:E36"/>
    <mergeCell ref="F36:K36"/>
    <mergeCell ref="L36:R36"/>
    <mergeCell ref="B37:E37"/>
    <mergeCell ref="F37:K37"/>
    <mergeCell ref="L37:R37"/>
    <mergeCell ref="B38:E38"/>
    <mergeCell ref="F38:K38"/>
    <mergeCell ref="L38:R38"/>
    <mergeCell ref="B39:E39"/>
    <mergeCell ref="F39:K39"/>
    <mergeCell ref="L39:R39"/>
    <mergeCell ref="B40:E40"/>
    <mergeCell ref="F40:K40"/>
    <mergeCell ref="L40:R40"/>
    <mergeCell ref="B41:E41"/>
    <mergeCell ref="F41:K41"/>
    <mergeCell ref="L41:R41"/>
    <mergeCell ref="B42:E42"/>
    <mergeCell ref="F42:K42"/>
    <mergeCell ref="L42:R42"/>
    <mergeCell ref="B51:E51"/>
    <mergeCell ref="F51:K51"/>
    <mergeCell ref="L51:R51"/>
    <mergeCell ref="B49:E49"/>
    <mergeCell ref="F49:K49"/>
    <mergeCell ref="L49:R49"/>
    <mergeCell ref="B50:E50"/>
    <mergeCell ref="F50:K50"/>
    <mergeCell ref="L50:R50"/>
    <mergeCell ref="B48:E48"/>
    <mergeCell ref="F48:K48"/>
    <mergeCell ref="L48:R48"/>
    <mergeCell ref="B43:E43"/>
    <mergeCell ref="F43:K43"/>
    <mergeCell ref="L43:R43"/>
    <mergeCell ref="B44:E44"/>
    <mergeCell ref="F44:K44"/>
    <mergeCell ref="L44:R44"/>
    <mergeCell ref="B45:E45"/>
    <mergeCell ref="F45:K45"/>
    <mergeCell ref="L45:R45"/>
    <mergeCell ref="B46:E46"/>
    <mergeCell ref="F46:K46"/>
    <mergeCell ref="L46:R46"/>
    <mergeCell ref="B47:E47"/>
    <mergeCell ref="F47:K47"/>
    <mergeCell ref="L47:R47"/>
  </mergeCells>
  <printOptions horizontalCentered="1"/>
  <pageMargins left="0" right="0" top="0" bottom="0" header="0" footer="0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194"/>
  <sheetViews>
    <sheetView showGridLines="0" zoomScaleNormal="100" workbookViewId="0">
      <pane xSplit="3" ySplit="9" topLeftCell="N52" activePane="bottomRight" state="frozen"/>
      <selection pane="topRight" activeCell="C1" sqref="C1"/>
      <selection pane="bottomLeft" activeCell="A4" sqref="A4"/>
      <selection pane="bottomRight" activeCell="X61" sqref="X61"/>
    </sheetView>
  </sheetViews>
  <sheetFormatPr defaultColWidth="8.85546875" defaultRowHeight="15" customHeight="1" outlineLevelRow="1" outlineLevelCol="1"/>
  <cols>
    <col min="1" max="1" width="8.85546875" style="23"/>
    <col min="2" max="2" width="16.42578125" style="23" customWidth="1"/>
    <col min="3" max="3" width="11.140625" style="23" customWidth="1"/>
    <col min="4" max="7" width="13.28515625" style="23" hidden="1" customWidth="1" outlineLevel="1"/>
    <col min="8" max="10" width="13.42578125" style="23" hidden="1" customWidth="1" outlineLevel="1"/>
    <col min="11" max="11" width="15.42578125" style="23" customWidth="1" collapsed="1"/>
    <col min="12" max="12" width="15.42578125" style="23" customWidth="1"/>
    <col min="13" max="13" width="19.140625" style="23" customWidth="1"/>
    <col min="14" max="14" width="13.7109375" style="23" customWidth="1"/>
    <col min="15" max="15" width="6.28515625" style="185" customWidth="1"/>
    <col min="16" max="16" width="13" style="23" customWidth="1"/>
    <col min="17" max="17" width="15" style="23" customWidth="1"/>
    <col min="18" max="18" width="15.42578125" style="23" customWidth="1"/>
    <col min="19" max="19" width="5.28515625" style="23" hidden="1" customWidth="1"/>
    <col min="20" max="20" width="15.42578125" style="23" customWidth="1"/>
    <col min="21" max="21" width="4.7109375" style="23" hidden="1" customWidth="1"/>
    <col min="22" max="25" width="15.42578125" style="23" customWidth="1"/>
    <col min="26" max="26" width="12.42578125" style="23" customWidth="1"/>
    <col min="27" max="27" width="15.140625" style="23" customWidth="1"/>
    <col min="28" max="28" width="14.140625" style="23" customWidth="1"/>
    <col min="29" max="29" width="14.85546875" style="23" customWidth="1"/>
    <col min="30" max="30" width="13.7109375" style="23" customWidth="1"/>
    <col min="31" max="31" width="15.140625" style="23" customWidth="1"/>
    <col min="32" max="32" width="14.5703125" style="23" customWidth="1"/>
    <col min="33" max="33" width="14" style="23" customWidth="1"/>
    <col min="34" max="35" width="16" style="23" customWidth="1"/>
    <col min="36" max="36" width="18.85546875" style="23" customWidth="1"/>
    <col min="37" max="42" width="19.5703125" style="23" customWidth="1"/>
    <col min="43" max="48" width="22.140625" style="23" customWidth="1"/>
    <col min="49" max="49" width="23.7109375" style="23" customWidth="1"/>
    <col min="50" max="50" width="21.5703125" style="23" customWidth="1"/>
    <col min="51" max="51" width="17.42578125" style="23" customWidth="1"/>
    <col min="52" max="56" width="18.5703125" style="23" customWidth="1"/>
    <col min="57" max="57" width="4.28515625" style="134" customWidth="1"/>
    <col min="58" max="59" width="20.140625" style="23" customWidth="1"/>
    <col min="60" max="60" width="18.140625" style="23" customWidth="1"/>
    <col min="61" max="61" width="20.140625" style="23" customWidth="1"/>
    <col min="62" max="62" width="9.7109375" style="199" customWidth="1"/>
    <col min="63" max="63" width="10.28515625" style="23" customWidth="1"/>
    <col min="64" max="67" width="15.140625" style="23" customWidth="1"/>
    <col min="68" max="68" width="3.85546875" style="23" customWidth="1"/>
    <col min="69" max="69" width="20.140625" style="23" customWidth="1"/>
    <col min="70" max="70" width="14" style="23" customWidth="1"/>
    <col min="71" max="71" width="14.42578125" style="23" customWidth="1"/>
    <col min="72" max="72" width="14.85546875" style="23" customWidth="1"/>
    <col min="73" max="80" width="14" style="23" customWidth="1"/>
    <col min="81" max="81" width="8.42578125" style="267" customWidth="1"/>
    <col min="82" max="82" width="4.85546875" style="23" customWidth="1"/>
    <col min="83" max="83" width="17.85546875" style="23" customWidth="1"/>
    <col min="84" max="84" width="16.5703125" style="23" customWidth="1"/>
    <col min="85" max="85" width="9.140625" style="23" bestFit="1" customWidth="1"/>
    <col min="86" max="16384" width="8.85546875" style="23"/>
  </cols>
  <sheetData>
    <row r="1" spans="1:88" s="1" customFormat="1" ht="15" hidden="1" customHeight="1" outlineLevel="1" thickBot="1">
      <c r="D1" s="2">
        <f>+D8+E8+F8+G8</f>
        <v>8142</v>
      </c>
      <c r="E1" s="12"/>
      <c r="F1" s="12"/>
      <c r="G1" s="12"/>
      <c r="H1" s="179"/>
      <c r="I1" s="43"/>
      <c r="J1" s="43"/>
      <c r="K1" s="43"/>
      <c r="L1" s="43"/>
      <c r="M1" s="43"/>
      <c r="N1" s="43"/>
      <c r="O1" s="237"/>
      <c r="Q1" s="3"/>
      <c r="R1" s="3"/>
      <c r="S1" s="3"/>
      <c r="T1" s="4">
        <v>1</v>
      </c>
      <c r="U1" s="4"/>
      <c r="V1" s="3"/>
      <c r="W1" s="3"/>
      <c r="X1" s="3"/>
      <c r="Y1" s="3"/>
      <c r="Z1" s="44"/>
      <c r="AA1" s="2">
        <v>542145.24</v>
      </c>
      <c r="AB1" s="2"/>
      <c r="AC1" s="2"/>
      <c r="AD1" s="2"/>
      <c r="AE1" s="2"/>
      <c r="AF1" s="2"/>
      <c r="AG1" s="2"/>
      <c r="AH1" s="2">
        <v>0</v>
      </c>
      <c r="AI1" s="244"/>
      <c r="AJ1" s="45">
        <v>-1400</v>
      </c>
      <c r="AK1" s="45"/>
      <c r="AL1" s="45"/>
      <c r="AM1" s="45"/>
      <c r="AN1" s="105" t="e">
        <f>+AN8/AN4</f>
        <v>#DIV/0!</v>
      </c>
      <c r="AO1" s="105"/>
      <c r="AP1" s="46" t="e">
        <f>+#REF!*0.5%</f>
        <v>#REF!</v>
      </c>
      <c r="AQ1" s="47"/>
      <c r="AR1" s="117"/>
      <c r="AS1" s="182"/>
      <c r="AT1" s="183"/>
      <c r="AU1" s="182"/>
      <c r="AV1" s="184"/>
      <c r="AW1" s="47"/>
      <c r="AX1" s="7"/>
      <c r="AY1" s="9">
        <v>0.04</v>
      </c>
      <c r="AZ1" s="6"/>
      <c r="BA1" s="124"/>
      <c r="BB1" s="124"/>
      <c r="BC1" s="124"/>
      <c r="BD1" s="124"/>
      <c r="BE1" s="127"/>
      <c r="BF1" s="7"/>
      <c r="BG1" s="7"/>
      <c r="BH1" s="7"/>
      <c r="BI1" s="10"/>
      <c r="BJ1" s="197"/>
      <c r="BK1" s="7"/>
      <c r="BL1" s="7"/>
      <c r="BM1" s="7"/>
      <c r="BN1" s="7"/>
      <c r="BO1" s="10"/>
      <c r="BQ1" s="211"/>
      <c r="BR1" s="212"/>
      <c r="BS1" s="212"/>
      <c r="BT1" s="212"/>
      <c r="BU1" s="212"/>
      <c r="BV1" s="212"/>
      <c r="BW1" s="215" t="e">
        <f>IRR(BW64:BW189,1%)</f>
        <v>#VALUE!</v>
      </c>
      <c r="BX1" s="213" t="s">
        <v>85</v>
      </c>
      <c r="BY1" s="219"/>
      <c r="BZ1" s="219"/>
      <c r="CA1" s="221"/>
      <c r="CC1" s="265"/>
    </row>
    <row r="2" spans="1:88" s="1" customFormat="1" ht="15" hidden="1" customHeight="1" outlineLevel="1">
      <c r="D2" s="11"/>
      <c r="E2" s="11"/>
      <c r="F2" s="11"/>
      <c r="G2" s="11"/>
      <c r="H2" s="179"/>
      <c r="I2" s="13"/>
      <c r="J2" s="43"/>
      <c r="K2" s="43"/>
      <c r="L2" s="43"/>
      <c r="M2" s="43"/>
      <c r="N2" s="43"/>
      <c r="O2" s="237"/>
      <c r="Q2" s="5"/>
      <c r="R2" s="5"/>
      <c r="S2" s="5"/>
      <c r="T2" s="5"/>
      <c r="U2" s="5"/>
      <c r="V2" s="3"/>
      <c r="W2" s="3"/>
      <c r="X2" s="3"/>
      <c r="Y2" s="3"/>
      <c r="Z2" s="44"/>
      <c r="AA2" s="44"/>
      <c r="AB2" s="8"/>
      <c r="AC2" s="8"/>
      <c r="AD2" s="8"/>
      <c r="AE2" s="8"/>
      <c r="AF2" s="8"/>
      <c r="AJ2" s="13"/>
      <c r="AK2" s="13"/>
      <c r="AL2" s="13"/>
      <c r="AM2" s="13"/>
      <c r="AN2" s="13"/>
      <c r="AO2" s="13"/>
      <c r="AP2" s="12">
        <v>25</v>
      </c>
      <c r="AQ2" s="13">
        <v>-0.06</v>
      </c>
      <c r="AR2" s="14"/>
      <c r="AS2" s="14"/>
      <c r="AT2" s="14"/>
      <c r="AU2" s="14"/>
      <c r="AV2" s="8"/>
      <c r="AW2" s="13">
        <v>1.2E-2</v>
      </c>
      <c r="AX2" s="8"/>
      <c r="AY2" s="181">
        <v>6.7299999999999999E-2</v>
      </c>
      <c r="AZ2" s="8"/>
      <c r="BA2" s="8"/>
      <c r="BB2" s="8"/>
      <c r="BC2" s="8"/>
      <c r="BD2" s="8"/>
      <c r="BE2" s="128"/>
      <c r="BF2" s="8"/>
      <c r="BG2" s="8"/>
      <c r="BH2" s="8"/>
      <c r="BI2" s="15"/>
      <c r="BJ2" s="197"/>
      <c r="BK2" s="8"/>
      <c r="BL2" s="8"/>
      <c r="BM2" s="8"/>
      <c r="BN2" s="8"/>
      <c r="BO2" s="15"/>
      <c r="CC2" s="265"/>
    </row>
    <row r="3" spans="1:88" s="20" customFormat="1" ht="5.0999999999999996" hidden="1" customHeight="1" outlineLevel="1" thickBot="1">
      <c r="A3" s="16"/>
      <c r="B3" s="16"/>
      <c r="C3" s="16"/>
      <c r="D3" s="17"/>
      <c r="E3" s="17"/>
      <c r="F3" s="17"/>
      <c r="G3" s="17"/>
      <c r="H3" s="17"/>
      <c r="I3" s="17"/>
      <c r="J3" s="17"/>
      <c r="K3" s="18"/>
      <c r="L3" s="18"/>
      <c r="M3" s="18"/>
      <c r="N3" s="18"/>
      <c r="O3" s="23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7"/>
      <c r="AC3" s="207"/>
      <c r="AD3" s="17"/>
      <c r="AE3" s="17"/>
      <c r="AF3" s="207"/>
      <c r="AG3" s="17"/>
      <c r="AH3" s="17"/>
      <c r="AI3" s="207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29"/>
      <c r="BF3" s="8"/>
      <c r="BG3" s="8"/>
      <c r="BH3" s="8"/>
      <c r="BI3" s="8"/>
      <c r="BJ3" s="198"/>
      <c r="BK3" s="8"/>
      <c r="BL3" s="8"/>
      <c r="BM3" s="8"/>
      <c r="BN3" s="8"/>
      <c r="BO3" s="8"/>
      <c r="BQ3" s="214"/>
      <c r="BR3" s="214"/>
      <c r="BS3" s="214"/>
      <c r="BT3" s="214"/>
      <c r="BU3" s="214"/>
      <c r="BV3" s="214"/>
      <c r="BW3" s="214"/>
      <c r="BX3" s="214"/>
      <c r="BY3" s="8"/>
      <c r="BZ3" s="8"/>
      <c r="CA3" s="8"/>
      <c r="CC3" s="266"/>
    </row>
    <row r="4" spans="1:88" ht="15" hidden="1" customHeight="1" outlineLevel="1" thickBot="1">
      <c r="A4" s="574" t="s">
        <v>12</v>
      </c>
      <c r="B4" s="575"/>
      <c r="C4" s="576"/>
      <c r="D4" s="48"/>
      <c r="E4" s="59"/>
      <c r="F4" s="59"/>
      <c r="G4" s="59"/>
      <c r="H4" s="50"/>
      <c r="I4" s="50"/>
      <c r="J4" s="51"/>
      <c r="K4" s="52"/>
      <c r="L4" s="53"/>
      <c r="M4" s="53"/>
      <c r="N4" s="54"/>
      <c r="O4" s="239"/>
      <c r="P4" s="55"/>
      <c r="Q4" s="55"/>
      <c r="R4" s="56"/>
      <c r="S4" s="56"/>
      <c r="T4" s="21">
        <v>0</v>
      </c>
      <c r="U4" s="21"/>
      <c r="V4" s="56"/>
      <c r="W4" s="56"/>
      <c r="X4" s="56"/>
      <c r="Y4" s="57"/>
      <c r="Z4" s="52"/>
      <c r="AA4" s="53"/>
      <c r="AB4" s="49"/>
      <c r="AC4" s="49"/>
      <c r="AD4" s="49"/>
      <c r="AE4" s="49"/>
      <c r="AF4" s="49"/>
      <c r="AG4" s="49"/>
      <c r="AH4" s="58"/>
      <c r="AI4" s="245"/>
      <c r="AJ4" s="48"/>
      <c r="AK4" s="102"/>
      <c r="AL4" s="102"/>
      <c r="AM4" s="102"/>
      <c r="AN4" s="102"/>
      <c r="AO4" s="102"/>
      <c r="AP4" s="51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102"/>
      <c r="BB4" s="102"/>
      <c r="BC4" s="102"/>
      <c r="BD4" s="102"/>
      <c r="BE4" s="130"/>
      <c r="BF4" s="22"/>
      <c r="BG4" s="22"/>
      <c r="BH4" s="22"/>
      <c r="BI4" s="22"/>
      <c r="BK4" s="22"/>
      <c r="BL4" s="60">
        <f>BL8-BF8</f>
        <v>0</v>
      </c>
      <c r="BM4" s="60" t="e">
        <f t="shared" ref="BM4:BN4" si="0">BM8-BG8</f>
        <v>#REF!</v>
      </c>
      <c r="BN4" s="60" t="e">
        <f t="shared" si="0"/>
        <v>#REF!</v>
      </c>
      <c r="BO4" s="22"/>
      <c r="BQ4" s="48"/>
      <c r="BR4" s="49"/>
      <c r="BS4" s="49"/>
      <c r="BT4" s="49"/>
      <c r="BU4" s="49"/>
      <c r="BV4" s="49"/>
      <c r="BW4" s="215" t="e">
        <f>(1+BW1)^12-1</f>
        <v>#VALUE!</v>
      </c>
      <c r="BX4" s="216" t="s">
        <v>86</v>
      </c>
      <c r="BY4" s="220"/>
      <c r="BZ4" s="220"/>
      <c r="CA4" s="222"/>
    </row>
    <row r="5" spans="1:88" s="20" customFormat="1" ht="15" hidden="1" customHeight="1" outlineLevel="1" thickBot="1">
      <c r="A5" s="16"/>
      <c r="B5" s="16"/>
      <c r="C5" s="16"/>
      <c r="D5" s="24"/>
      <c r="E5" s="24"/>
      <c r="F5" s="24"/>
      <c r="G5" s="178">
        <f>+G8+F8+E8+D8</f>
        <v>8142</v>
      </c>
      <c r="H5" s="24"/>
      <c r="I5" s="24"/>
      <c r="J5" s="24"/>
      <c r="K5" s="18"/>
      <c r="L5" s="18"/>
      <c r="M5" s="18"/>
      <c r="N5" s="18"/>
      <c r="O5" s="238"/>
      <c r="P5" s="18"/>
      <c r="Q5" s="18"/>
      <c r="R5" s="18"/>
      <c r="S5" s="18"/>
      <c r="T5" s="18"/>
      <c r="U5" s="18"/>
      <c r="V5" s="291">
        <f>+V8+T8</f>
        <v>367166026.46304852</v>
      </c>
      <c r="W5" s="61"/>
      <c r="X5" s="61"/>
      <c r="Y5" s="292">
        <f>+V5+Y8</f>
        <v>370712464.21304852</v>
      </c>
      <c r="Z5" s="18"/>
      <c r="AA5" s="61"/>
      <c r="AB5" s="17"/>
      <c r="AC5" s="207"/>
      <c r="AD5" s="17"/>
      <c r="AE5" s="17"/>
      <c r="AF5" s="207"/>
      <c r="AG5" s="17"/>
      <c r="AH5" s="17"/>
      <c r="AI5" s="207"/>
      <c r="AJ5" s="25"/>
      <c r="AK5" s="25"/>
      <c r="AL5" s="25"/>
      <c r="AM5" s="25"/>
      <c r="AN5" s="25">
        <v>3.5000000000000003E-2</v>
      </c>
      <c r="AO5" s="25"/>
      <c r="AP5" s="25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29"/>
      <c r="BF5" s="19"/>
      <c r="BG5" s="19"/>
      <c r="BH5" s="19"/>
      <c r="BI5" s="19"/>
      <c r="BJ5" s="198"/>
      <c r="BK5" s="19"/>
      <c r="BL5" s="19"/>
      <c r="BM5" s="19"/>
      <c r="BN5" s="19"/>
      <c r="BO5" s="19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66"/>
      <c r="CE5" s="232">
        <v>0.01</v>
      </c>
    </row>
    <row r="6" spans="1:88" s="20" customFormat="1" ht="15" customHeight="1" collapsed="1" thickBot="1">
      <c r="A6" s="16"/>
      <c r="B6" s="16"/>
      <c r="C6" s="16"/>
      <c r="D6" s="24"/>
      <c r="E6" s="24"/>
      <c r="F6" s="24"/>
      <c r="G6" s="178"/>
      <c r="H6" s="24"/>
      <c r="I6" s="24"/>
      <c r="J6" s="24"/>
      <c r="K6" s="257"/>
      <c r="L6" s="257"/>
      <c r="M6" s="257"/>
      <c r="N6" s="257"/>
      <c r="O6" s="258"/>
      <c r="P6" s="257"/>
      <c r="Q6" s="257"/>
      <c r="R6" s="257"/>
      <c r="S6" s="257"/>
      <c r="T6" s="257"/>
      <c r="U6" s="257"/>
      <c r="V6" s="259"/>
      <c r="W6" s="259"/>
      <c r="X6" s="259"/>
      <c r="Y6" s="260"/>
      <c r="Z6" s="257"/>
      <c r="AA6" s="259"/>
      <c r="AB6" s="207"/>
      <c r="AC6" s="207"/>
      <c r="AD6" s="207"/>
      <c r="AE6" s="207"/>
      <c r="AF6" s="207"/>
      <c r="AG6" s="207"/>
      <c r="AH6" s="207"/>
      <c r="AI6" s="207"/>
      <c r="AJ6" s="261"/>
      <c r="AK6" s="261"/>
      <c r="AL6" s="261"/>
      <c r="AM6" s="261"/>
      <c r="AN6" s="261"/>
      <c r="AO6" s="261"/>
      <c r="AP6" s="261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62"/>
      <c r="BF6" s="214"/>
      <c r="BG6" s="214"/>
      <c r="BH6" s="214"/>
      <c r="BI6" s="214"/>
      <c r="BJ6" s="198"/>
      <c r="BK6" s="214"/>
      <c r="BL6" s="214"/>
      <c r="BM6" s="214"/>
      <c r="BN6" s="214"/>
      <c r="BO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71" t="e">
        <f>MIN(CB64:CB190)</f>
        <v>#REF!</v>
      </c>
      <c r="CC6" s="271" t="e">
        <f>MIN(CC64:CC190)</f>
        <v>#REF!</v>
      </c>
      <c r="CE6" s="232"/>
    </row>
    <row r="7" spans="1:88" s="251" customFormat="1" ht="15" customHeight="1" thickBot="1">
      <c r="D7" s="577" t="s">
        <v>13</v>
      </c>
      <c r="E7" s="578"/>
      <c r="F7" s="578"/>
      <c r="G7" s="578"/>
      <c r="H7" s="579"/>
      <c r="I7" s="579"/>
      <c r="J7" s="580"/>
      <c r="K7" s="562" t="s">
        <v>1</v>
      </c>
      <c r="L7" s="563"/>
      <c r="M7" s="563"/>
      <c r="N7" s="563"/>
      <c r="O7" s="563"/>
      <c r="P7" s="563"/>
      <c r="Q7" s="563"/>
      <c r="R7" s="563"/>
      <c r="S7" s="563"/>
      <c r="T7" s="563"/>
      <c r="U7" s="563"/>
      <c r="V7" s="563"/>
      <c r="W7" s="563"/>
      <c r="X7" s="563"/>
      <c r="Y7" s="564"/>
      <c r="Z7" s="571" t="s">
        <v>6</v>
      </c>
      <c r="AA7" s="572"/>
      <c r="AB7" s="572"/>
      <c r="AC7" s="572"/>
      <c r="AD7" s="572"/>
      <c r="AE7" s="572"/>
      <c r="AF7" s="572"/>
      <c r="AG7" s="572"/>
      <c r="AH7" s="572"/>
      <c r="AI7" s="573"/>
      <c r="AJ7" s="581" t="s">
        <v>14</v>
      </c>
      <c r="AK7" s="582"/>
      <c r="AL7" s="582"/>
      <c r="AM7" s="582"/>
      <c r="AN7" s="582"/>
      <c r="AO7" s="582"/>
      <c r="AP7" s="583"/>
      <c r="AQ7" s="568" t="s">
        <v>48</v>
      </c>
      <c r="AR7" s="569"/>
      <c r="AS7" s="569"/>
      <c r="AT7" s="569"/>
      <c r="AU7" s="570"/>
      <c r="AV7" s="252" t="s">
        <v>16</v>
      </c>
      <c r="AW7" s="253" t="s">
        <v>17</v>
      </c>
      <c r="AX7" s="254" t="s">
        <v>18</v>
      </c>
      <c r="AY7" s="255" t="s">
        <v>4</v>
      </c>
      <c r="AZ7" s="571" t="s">
        <v>19</v>
      </c>
      <c r="BA7" s="572"/>
      <c r="BB7" s="572"/>
      <c r="BC7" s="572"/>
      <c r="BD7" s="573"/>
      <c r="BE7" s="256"/>
      <c r="BF7" s="562" t="s">
        <v>20</v>
      </c>
      <c r="BG7" s="563"/>
      <c r="BH7" s="563"/>
      <c r="BI7" s="564"/>
      <c r="BK7" s="565" t="s">
        <v>21</v>
      </c>
      <c r="BL7" s="566"/>
      <c r="BM7" s="566"/>
      <c r="BN7" s="566"/>
      <c r="BO7" s="567"/>
      <c r="BQ7" s="581" t="s">
        <v>93</v>
      </c>
      <c r="BR7" s="582"/>
      <c r="BS7" s="582"/>
      <c r="BT7" s="582"/>
      <c r="BU7" s="582"/>
      <c r="BV7" s="582"/>
      <c r="BW7" s="582"/>
      <c r="BX7" s="582"/>
      <c r="BY7" s="569" t="s">
        <v>95</v>
      </c>
      <c r="BZ7" s="569"/>
      <c r="CA7" s="569"/>
      <c r="CB7" s="584"/>
      <c r="CC7" s="268"/>
      <c r="CE7" s="569" t="s">
        <v>98</v>
      </c>
      <c r="CF7" s="569"/>
    </row>
    <row r="8" spans="1:88" s="1" customFormat="1" ht="15" customHeight="1" thickBot="1">
      <c r="A8" s="495" t="s">
        <v>82</v>
      </c>
      <c r="B8" s="496"/>
      <c r="C8" s="497"/>
      <c r="D8" s="62">
        <f t="shared" ref="D8:N8" si="1">SUM(D10:D190)</f>
        <v>2005</v>
      </c>
      <c r="E8" s="109">
        <f t="shared" si="1"/>
        <v>3964</v>
      </c>
      <c r="F8" s="109">
        <f t="shared" si="1"/>
        <v>728</v>
      </c>
      <c r="G8" s="109">
        <f t="shared" si="1"/>
        <v>1445</v>
      </c>
      <c r="H8" s="64">
        <f t="shared" si="1"/>
        <v>128600806.64999999</v>
      </c>
      <c r="I8" s="64">
        <f t="shared" si="1"/>
        <v>34610760.330000006</v>
      </c>
      <c r="J8" s="65">
        <f t="shared" si="1"/>
        <v>147269639.10999998</v>
      </c>
      <c r="K8" s="66">
        <f t="shared" si="1"/>
        <v>109049742.93000011</v>
      </c>
      <c r="L8" s="63">
        <f t="shared" si="1"/>
        <v>171490386.31000003</v>
      </c>
      <c r="M8" s="63">
        <f t="shared" si="1"/>
        <v>1382206.7499999998</v>
      </c>
      <c r="N8" s="67">
        <f t="shared" si="1"/>
        <v>42199125.609999999</v>
      </c>
      <c r="O8" s="240"/>
      <c r="P8" s="67">
        <f>SUM(P10:P190)</f>
        <v>-11265590.881499996</v>
      </c>
      <c r="Q8" s="63">
        <f>SUM(Q10:Q190)</f>
        <v>11265590.881499996</v>
      </c>
      <c r="R8" s="263">
        <v>5.0000000000000001E-3</v>
      </c>
      <c r="S8" s="63"/>
      <c r="T8" s="63">
        <f>SUM(T10:T190)</f>
        <v>-243226.03999999995</v>
      </c>
      <c r="U8" s="64"/>
      <c r="V8" s="64">
        <f t="shared" ref="V8:BD8" si="2">SUM(V10:V190)</f>
        <v>367409252.50304854</v>
      </c>
      <c r="W8" s="64">
        <f t="shared" si="2"/>
        <v>1000000</v>
      </c>
      <c r="X8" s="64">
        <f t="shared" si="2"/>
        <v>1493512.03</v>
      </c>
      <c r="Y8" s="65">
        <f t="shared" si="2"/>
        <v>3546437.7500000005</v>
      </c>
      <c r="Z8" s="248">
        <f t="shared" si="2"/>
        <v>1</v>
      </c>
      <c r="AA8" s="63">
        <f t="shared" si="2"/>
        <v>-542145.24</v>
      </c>
      <c r="AB8" s="63">
        <f t="shared" si="2"/>
        <v>-50570767.981691532</v>
      </c>
      <c r="AC8" s="63">
        <f>SUM(AC10:AC190)</f>
        <v>-3617594.8720702506</v>
      </c>
      <c r="AD8" s="63">
        <f>SUM(AD10:AD190)</f>
        <v>-13729000.000000002</v>
      </c>
      <c r="AE8" s="63">
        <f t="shared" si="2"/>
        <v>-600000</v>
      </c>
      <c r="AF8" s="63">
        <f t="shared" si="2"/>
        <v>-600000</v>
      </c>
      <c r="AG8" s="63">
        <f t="shared" si="2"/>
        <v>-1452857.9882499999</v>
      </c>
      <c r="AH8" s="63">
        <f t="shared" si="2"/>
        <v>-1384763.0844976241</v>
      </c>
      <c r="AI8" s="115" t="e">
        <f>SUM(AI10:AI190)</f>
        <v>#REF!</v>
      </c>
      <c r="AJ8" s="116">
        <f t="shared" si="2"/>
        <v>-313443.88</v>
      </c>
      <c r="AK8" s="63">
        <f t="shared" si="2"/>
        <v>-398337.31</v>
      </c>
      <c r="AL8" s="63">
        <f t="shared" si="2"/>
        <v>-19266513.16635</v>
      </c>
      <c r="AM8" s="63">
        <f t="shared" si="2"/>
        <v>-6849151.2181249997</v>
      </c>
      <c r="AN8" s="68">
        <f t="shared" si="2"/>
        <v>-903311</v>
      </c>
      <c r="AO8" s="115">
        <f t="shared" si="2"/>
        <v>-6354400.0299999993</v>
      </c>
      <c r="AP8" s="65">
        <f t="shared" si="2"/>
        <v>-2465945.0599999996</v>
      </c>
      <c r="AQ8" s="116">
        <f t="shared" si="2"/>
        <v>-22116474.030182905</v>
      </c>
      <c r="AR8" s="63">
        <f t="shared" si="2"/>
        <v>-1276820.9700000046</v>
      </c>
      <c r="AS8" s="63">
        <f t="shared" si="2"/>
        <v>-987691.06</v>
      </c>
      <c r="AT8" s="63">
        <f t="shared" si="2"/>
        <v>-252308.51000000007</v>
      </c>
      <c r="AU8" s="63">
        <f t="shared" si="2"/>
        <v>-1657019.6513624459</v>
      </c>
      <c r="AV8" s="66">
        <f t="shared" si="2"/>
        <v>-4098906.3699999992</v>
      </c>
      <c r="AW8" s="66">
        <f t="shared" si="2"/>
        <v>-4659551.953036583</v>
      </c>
      <c r="AX8" s="66">
        <f t="shared" si="2"/>
        <v>-7026198.54</v>
      </c>
      <c r="AY8" s="66">
        <f t="shared" si="2"/>
        <v>-15593737.350121943</v>
      </c>
      <c r="AZ8" s="66">
        <f t="shared" si="2"/>
        <v>-174962.81</v>
      </c>
      <c r="BA8" s="115"/>
      <c r="BB8" s="115">
        <f t="shared" si="2"/>
        <v>-16649.28</v>
      </c>
      <c r="BC8" s="115">
        <f t="shared" si="2"/>
        <v>-1416300</v>
      </c>
      <c r="BD8" s="65">
        <f t="shared" si="2"/>
        <v>-1290090.46</v>
      </c>
      <c r="BE8" s="131"/>
      <c r="BF8" s="68">
        <f>SUM(BF10:BF190)</f>
        <v>373449202.28304851</v>
      </c>
      <c r="BG8" s="63" t="e">
        <f>SUM(BG10:BG190)</f>
        <v>#REF!</v>
      </c>
      <c r="BH8" s="63" t="e">
        <f>SUM(BH10:BH190)</f>
        <v>#REF!</v>
      </c>
      <c r="BI8" s="63"/>
      <c r="BJ8" s="197"/>
      <c r="BK8" s="66"/>
      <c r="BL8" s="63">
        <f>SUM(BL10:BL28)</f>
        <v>373449202.28304851</v>
      </c>
      <c r="BM8" s="63" t="e">
        <f>SUM(BM10:BM28)</f>
        <v>#REF!</v>
      </c>
      <c r="BN8" s="63" t="e">
        <f>+BL8+BM8</f>
        <v>#REF!</v>
      </c>
      <c r="BO8" s="65"/>
      <c r="BQ8" s="224">
        <f t="shared" ref="BQ8:BY8" si="3">SUM(BQ10:BQ190)</f>
        <v>45000000</v>
      </c>
      <c r="BR8" s="225" t="e">
        <f t="shared" si="3"/>
        <v>#REF!</v>
      </c>
      <c r="BS8" s="225">
        <f t="shared" si="3"/>
        <v>-5183823.9263434513</v>
      </c>
      <c r="BT8" s="225">
        <f t="shared" si="3"/>
        <v>-5878257.7800000003</v>
      </c>
      <c r="BU8" s="225">
        <f>SUM(BU10:BU190)</f>
        <v>-322876820.05625015</v>
      </c>
      <c r="BV8" s="225">
        <f>SUM(BV10:BV190)</f>
        <v>319876819.65825015</v>
      </c>
      <c r="BW8" s="225" t="e">
        <f t="shared" si="3"/>
        <v>#REF!</v>
      </c>
      <c r="BX8" s="226" t="e">
        <f t="shared" si="3"/>
        <v>#REF!</v>
      </c>
      <c r="BY8" s="115" t="e">
        <f t="shared" si="3"/>
        <v>#REF!</v>
      </c>
      <c r="BZ8" s="115" t="e">
        <f t="shared" ref="BZ8:CA8" si="4">SUM(BZ10:BZ190)</f>
        <v>#REF!</v>
      </c>
      <c r="CA8" s="115" t="e">
        <f t="shared" si="4"/>
        <v>#REF!</v>
      </c>
      <c r="CB8" s="65"/>
      <c r="CC8" s="269"/>
      <c r="CD8" s="233"/>
      <c r="CE8" s="116" t="e">
        <f>SUM(CE10:CE190)</f>
        <v>#REF!</v>
      </c>
      <c r="CF8" s="234" t="e">
        <f>SUM(CF10:CF190)</f>
        <v>#REF!</v>
      </c>
      <c r="CG8" s="233"/>
    </row>
    <row r="9" spans="1:88" s="1" customFormat="1" ht="42" customHeight="1" thickBot="1">
      <c r="A9" s="26" t="s">
        <v>22</v>
      </c>
      <c r="B9" s="27" t="s">
        <v>8</v>
      </c>
      <c r="C9" s="28" t="s">
        <v>23</v>
      </c>
      <c r="D9" s="112" t="s">
        <v>57</v>
      </c>
      <c r="E9" s="175" t="s">
        <v>58</v>
      </c>
      <c r="F9" s="177" t="s">
        <v>59</v>
      </c>
      <c r="G9" s="113" t="s">
        <v>60</v>
      </c>
      <c r="H9" s="176" t="s">
        <v>61</v>
      </c>
      <c r="I9" s="176" t="s">
        <v>62</v>
      </c>
      <c r="J9" s="28" t="s">
        <v>24</v>
      </c>
      <c r="K9" s="26" t="s">
        <v>25</v>
      </c>
      <c r="L9" s="27" t="s">
        <v>26</v>
      </c>
      <c r="M9" s="29" t="s">
        <v>27</v>
      </c>
      <c r="N9" s="30" t="s">
        <v>28</v>
      </c>
      <c r="O9" s="498" t="s">
        <v>29</v>
      </c>
      <c r="P9" s="499"/>
      <c r="Q9" s="29" t="s">
        <v>30</v>
      </c>
      <c r="R9" s="195" t="s">
        <v>76</v>
      </c>
      <c r="S9" s="195"/>
      <c r="T9" s="106" t="s">
        <v>73</v>
      </c>
      <c r="U9" s="114"/>
      <c r="V9" s="135" t="s">
        <v>31</v>
      </c>
      <c r="W9" s="107" t="s">
        <v>54</v>
      </c>
      <c r="X9" s="136" t="s">
        <v>55</v>
      </c>
      <c r="Y9" s="28" t="s">
        <v>2</v>
      </c>
      <c r="Z9" s="26" t="s">
        <v>9</v>
      </c>
      <c r="AA9" s="31" t="s">
        <v>39</v>
      </c>
      <c r="AB9" s="29" t="s">
        <v>32</v>
      </c>
      <c r="AC9" s="29" t="s">
        <v>80</v>
      </c>
      <c r="AD9" s="29" t="s">
        <v>40</v>
      </c>
      <c r="AE9" s="29" t="s">
        <v>63</v>
      </c>
      <c r="AF9" s="29" t="s">
        <v>79</v>
      </c>
      <c r="AG9" s="29" t="s">
        <v>3</v>
      </c>
      <c r="AH9" s="230" t="s">
        <v>41</v>
      </c>
      <c r="AI9" s="28" t="s">
        <v>56</v>
      </c>
      <c r="AJ9" s="32" t="s">
        <v>42</v>
      </c>
      <c r="AK9" s="29" t="s">
        <v>43</v>
      </c>
      <c r="AL9" s="29" t="s">
        <v>44</v>
      </c>
      <c r="AM9" s="29" t="s">
        <v>45</v>
      </c>
      <c r="AN9" s="209" t="s">
        <v>46</v>
      </c>
      <c r="AO9" s="29" t="s">
        <v>47</v>
      </c>
      <c r="AP9" s="33" t="s">
        <v>5</v>
      </c>
      <c r="AQ9" s="118" t="s">
        <v>15</v>
      </c>
      <c r="AR9" s="121" t="s">
        <v>49</v>
      </c>
      <c r="AS9" s="121" t="s">
        <v>53</v>
      </c>
      <c r="AT9" s="121" t="s">
        <v>51</v>
      </c>
      <c r="AU9" s="121" t="s">
        <v>50</v>
      </c>
      <c r="AV9" s="32" t="s">
        <v>16</v>
      </c>
      <c r="AW9" s="32" t="s">
        <v>17</v>
      </c>
      <c r="AX9" s="26" t="s">
        <v>18</v>
      </c>
      <c r="AY9" s="32" t="s">
        <v>4</v>
      </c>
      <c r="AZ9" s="26" t="s">
        <v>52</v>
      </c>
      <c r="BA9" s="27" t="s">
        <v>72</v>
      </c>
      <c r="BB9" s="29" t="s">
        <v>19</v>
      </c>
      <c r="BC9" s="29" t="s">
        <v>74</v>
      </c>
      <c r="BD9" s="28" t="s">
        <v>55</v>
      </c>
      <c r="BE9" s="132"/>
      <c r="BF9" s="108" t="s">
        <v>33</v>
      </c>
      <c r="BG9" s="29" t="s">
        <v>10</v>
      </c>
      <c r="BH9" s="29" t="s">
        <v>34</v>
      </c>
      <c r="BI9" s="28" t="s">
        <v>11</v>
      </c>
      <c r="BJ9" s="200"/>
      <c r="BK9" s="26" t="s">
        <v>35</v>
      </c>
      <c r="BL9" s="29" t="s">
        <v>33</v>
      </c>
      <c r="BM9" s="29" t="s">
        <v>10</v>
      </c>
      <c r="BN9" s="29" t="s">
        <v>34</v>
      </c>
      <c r="BO9" s="28" t="s">
        <v>11</v>
      </c>
      <c r="BQ9" s="227" t="s">
        <v>100</v>
      </c>
      <c r="BR9" s="228" t="s">
        <v>91</v>
      </c>
      <c r="BS9" s="228" t="s">
        <v>99</v>
      </c>
      <c r="BT9" s="228" t="s">
        <v>87</v>
      </c>
      <c r="BU9" s="228" t="s">
        <v>92</v>
      </c>
      <c r="BV9" s="228" t="s">
        <v>94</v>
      </c>
      <c r="BW9" s="228" t="s">
        <v>88</v>
      </c>
      <c r="BX9" s="229" t="s">
        <v>89</v>
      </c>
      <c r="BY9" s="249" t="s">
        <v>33</v>
      </c>
      <c r="BZ9" s="29" t="s">
        <v>10</v>
      </c>
      <c r="CA9" s="250" t="s">
        <v>34</v>
      </c>
      <c r="CB9" s="28" t="s">
        <v>90</v>
      </c>
      <c r="CE9" s="235" t="s">
        <v>96</v>
      </c>
      <c r="CF9" s="28" t="s">
        <v>97</v>
      </c>
      <c r="CG9" s="181"/>
      <c r="CJ9" s="265"/>
    </row>
    <row r="10" spans="1:88" s="161" customFormat="1" ht="15" customHeight="1" outlineLevel="1">
      <c r="A10" s="137">
        <v>0</v>
      </c>
      <c r="B10" s="138"/>
      <c r="C10" s="139">
        <v>41671</v>
      </c>
      <c r="D10" s="140">
        <v>0</v>
      </c>
      <c r="E10" s="141">
        <v>0</v>
      </c>
      <c r="F10" s="141">
        <v>0</v>
      </c>
      <c r="G10" s="141">
        <v>0</v>
      </c>
      <c r="H10" s="142">
        <v>0</v>
      </c>
      <c r="I10" s="142">
        <v>0</v>
      </c>
      <c r="J10" s="143">
        <v>0</v>
      </c>
      <c r="K10" s="144">
        <v>0</v>
      </c>
      <c r="L10" s="145">
        <v>0</v>
      </c>
      <c r="M10" s="145">
        <v>0</v>
      </c>
      <c r="N10" s="146">
        <v>0</v>
      </c>
      <c r="O10" s="241">
        <v>0</v>
      </c>
      <c r="P10" s="146">
        <v>0</v>
      </c>
      <c r="Q10" s="146">
        <v>0</v>
      </c>
      <c r="R10" s="147"/>
      <c r="S10" s="147"/>
      <c r="T10" s="147">
        <v>0</v>
      </c>
      <c r="U10" s="147"/>
      <c r="V10" s="147">
        <f t="shared" ref="V10:V48" si="5">SUM(P10:T10,K10:N10)</f>
        <v>0</v>
      </c>
      <c r="W10" s="147">
        <v>0</v>
      </c>
      <c r="X10" s="147">
        <v>0</v>
      </c>
      <c r="Y10" s="148">
        <v>1000</v>
      </c>
      <c r="Z10" s="149">
        <f t="shared" ref="Z10:Z48" si="6">IFERROR(SUM(AA10:AH10)/SUM($AA$8:$AH$8),0)</f>
        <v>0</v>
      </c>
      <c r="AA10" s="150">
        <v>0</v>
      </c>
      <c r="AB10" s="151">
        <v>0</v>
      </c>
      <c r="AC10" s="204"/>
      <c r="AD10" s="151">
        <v>0</v>
      </c>
      <c r="AE10" s="151">
        <v>0</v>
      </c>
      <c r="AF10" s="204"/>
      <c r="AG10" s="151">
        <v>0</v>
      </c>
      <c r="AH10" s="193">
        <v>0</v>
      </c>
      <c r="AI10" s="159">
        <v>0</v>
      </c>
      <c r="AJ10" s="152">
        <v>0</v>
      </c>
      <c r="AK10" s="153">
        <v>0</v>
      </c>
      <c r="AL10" s="153">
        <v>0</v>
      </c>
      <c r="AM10" s="153">
        <v>0</v>
      </c>
      <c r="AN10" s="154">
        <v>0</v>
      </c>
      <c r="AO10" s="153">
        <v>0</v>
      </c>
      <c r="AP10" s="155">
        <v>0</v>
      </c>
      <c r="AQ10" s="157">
        <v>0</v>
      </c>
      <c r="AR10" s="153">
        <v>0</v>
      </c>
      <c r="AS10" s="153">
        <v>0</v>
      </c>
      <c r="AT10" s="153">
        <v>0</v>
      </c>
      <c r="AU10" s="153">
        <v>0</v>
      </c>
      <c r="AV10" s="156">
        <v>0</v>
      </c>
      <c r="AW10" s="152">
        <v>0</v>
      </c>
      <c r="AX10" s="152">
        <v>-3900000</v>
      </c>
      <c r="AY10" s="152">
        <v>0</v>
      </c>
      <c r="AZ10" s="156">
        <v>0</v>
      </c>
      <c r="BA10" s="158">
        <v>0</v>
      </c>
      <c r="BB10" s="151">
        <v>0</v>
      </c>
      <c r="BC10" s="151">
        <v>0</v>
      </c>
      <c r="BD10" s="159">
        <v>0</v>
      </c>
      <c r="BE10" s="160"/>
      <c r="BF10" s="145">
        <f t="shared" ref="BF10:BF41" si="7">V10+Y10+W10+X10</f>
        <v>1000</v>
      </c>
      <c r="BG10" s="146">
        <f t="shared" ref="BG10:BG41" si="8">+SUM(AA10:BD10)</f>
        <v>-3900000</v>
      </c>
      <c r="BH10" s="146">
        <f>SUM(BF10:BG10)</f>
        <v>-3899000</v>
      </c>
      <c r="BI10" s="148">
        <f>+BH10</f>
        <v>-3899000</v>
      </c>
      <c r="BJ10" s="201">
        <f>+BI10-$AX$8</f>
        <v>3127198.54</v>
      </c>
      <c r="BK10" s="166">
        <v>2014</v>
      </c>
      <c r="BL10" s="172">
        <f t="shared" ref="BL10:BL28" si="9">SUMIFS($BF$10:$BF$208,$C$10:$C$208,"&gt;="&amp;DATE(BK10,1,1),$C$10:$C$208,"&lt;="&amp;DATE(BK10,12,31))</f>
        <v>1964633.9600000004</v>
      </c>
      <c r="BM10" s="172">
        <f t="shared" ref="BM10:BM28" si="10">SUMIFS($BG$10:$BG$208,$C$10:$C$208,"&gt;="&amp;DATE(BK10,1,1),$C$10:$C$208,"&lt;="&amp;DATE(BK10,12,31))</f>
        <v>-8922532.7100000009</v>
      </c>
      <c r="BN10" s="172">
        <f>SUM(BL10:BM10)</f>
        <v>-6957898.75</v>
      </c>
      <c r="BO10" s="167">
        <f>BN10</f>
        <v>-6957898.75</v>
      </c>
      <c r="BQ10" s="82">
        <v>0</v>
      </c>
      <c r="BR10" s="223">
        <v>0</v>
      </c>
      <c r="BS10" s="223">
        <v>0</v>
      </c>
      <c r="BT10" s="223">
        <v>0</v>
      </c>
      <c r="BU10" s="223">
        <v>0</v>
      </c>
      <c r="BV10" s="223"/>
      <c r="BW10" s="223">
        <f>SUM(BQ10:BU10)</f>
        <v>0</v>
      </c>
      <c r="BX10" s="83">
        <v>0</v>
      </c>
      <c r="BY10" s="78">
        <f>BF10</f>
        <v>1000</v>
      </c>
      <c r="BZ10" s="70">
        <f t="shared" ref="BZ10:CA10" si="11">BG10</f>
        <v>-3900000</v>
      </c>
      <c r="CA10" s="70">
        <f t="shared" si="11"/>
        <v>-3899000</v>
      </c>
      <c r="CB10" s="71">
        <f>BI10</f>
        <v>-3899000</v>
      </c>
      <c r="CC10" s="270"/>
      <c r="CD10" s="201"/>
      <c r="CE10" s="69">
        <f t="shared" ref="CE10:CE41" si="12">PV($CE$5,A10,,-BH10)</f>
        <v>-3899000</v>
      </c>
      <c r="CF10" s="71">
        <f t="shared" ref="CF10:CF41" si="13">PV($CE$5,A10,,-CA10)</f>
        <v>-3899000</v>
      </c>
    </row>
    <row r="11" spans="1:88" s="161" customFormat="1" ht="15" customHeight="1" outlineLevel="1">
      <c r="A11" s="137">
        <v>0</v>
      </c>
      <c r="B11" s="138"/>
      <c r="C11" s="139">
        <v>41699</v>
      </c>
      <c r="D11" s="140">
        <v>0</v>
      </c>
      <c r="E11" s="141">
        <v>0</v>
      </c>
      <c r="F11" s="141">
        <v>0</v>
      </c>
      <c r="G11" s="141">
        <v>0</v>
      </c>
      <c r="H11" s="142">
        <v>0</v>
      </c>
      <c r="I11" s="142">
        <v>0</v>
      </c>
      <c r="J11" s="143">
        <v>0</v>
      </c>
      <c r="K11" s="144">
        <v>0</v>
      </c>
      <c r="L11" s="145">
        <v>0</v>
      </c>
      <c r="M11" s="145">
        <v>0</v>
      </c>
      <c r="N11" s="146">
        <v>0</v>
      </c>
      <c r="O11" s="241">
        <v>0</v>
      </c>
      <c r="P11" s="146">
        <v>0</v>
      </c>
      <c r="Q11" s="146">
        <v>0</v>
      </c>
      <c r="R11" s="147"/>
      <c r="S11" s="147"/>
      <c r="T11" s="147">
        <v>0</v>
      </c>
      <c r="U11" s="147"/>
      <c r="V11" s="147">
        <f t="shared" si="5"/>
        <v>0</v>
      </c>
      <c r="W11" s="147">
        <v>0</v>
      </c>
      <c r="X11" s="147">
        <v>0</v>
      </c>
      <c r="Y11" s="148">
        <v>0</v>
      </c>
      <c r="Z11" s="149">
        <f t="shared" si="6"/>
        <v>0</v>
      </c>
      <c r="AA11" s="150">
        <v>0</v>
      </c>
      <c r="AB11" s="151">
        <v>0</v>
      </c>
      <c r="AC11" s="204"/>
      <c r="AD11" s="151">
        <v>0</v>
      </c>
      <c r="AE11" s="151">
        <v>0</v>
      </c>
      <c r="AF11" s="204"/>
      <c r="AG11" s="151">
        <v>0</v>
      </c>
      <c r="AH11" s="193">
        <v>0</v>
      </c>
      <c r="AI11" s="159">
        <v>0</v>
      </c>
      <c r="AJ11" s="152">
        <v>0</v>
      </c>
      <c r="AK11" s="153">
        <v>0</v>
      </c>
      <c r="AL11" s="153">
        <v>0</v>
      </c>
      <c r="AM11" s="153">
        <v>0</v>
      </c>
      <c r="AN11" s="154">
        <v>0</v>
      </c>
      <c r="AO11" s="153">
        <v>0</v>
      </c>
      <c r="AP11" s="155">
        <v>0</v>
      </c>
      <c r="AQ11" s="157">
        <v>0</v>
      </c>
      <c r="AR11" s="153">
        <v>0</v>
      </c>
      <c r="AS11" s="153">
        <v>0</v>
      </c>
      <c r="AT11" s="153">
        <v>0</v>
      </c>
      <c r="AU11" s="153">
        <v>0</v>
      </c>
      <c r="AV11" s="156">
        <v>0</v>
      </c>
      <c r="AW11" s="152">
        <v>0</v>
      </c>
      <c r="AX11" s="152">
        <v>0</v>
      </c>
      <c r="AY11" s="152">
        <v>0</v>
      </c>
      <c r="AZ11" s="156">
        <v>0</v>
      </c>
      <c r="BA11" s="158">
        <v>0</v>
      </c>
      <c r="BB11" s="151">
        <v>0</v>
      </c>
      <c r="BC11" s="151">
        <v>0</v>
      </c>
      <c r="BD11" s="159">
        <v>0</v>
      </c>
      <c r="BE11" s="160"/>
      <c r="BF11" s="145">
        <f t="shared" si="7"/>
        <v>0</v>
      </c>
      <c r="BG11" s="146">
        <f t="shared" si="8"/>
        <v>0</v>
      </c>
      <c r="BH11" s="146">
        <f t="shared" ref="BH11:BH59" si="14">SUM(BF11:BG11)</f>
        <v>0</v>
      </c>
      <c r="BI11" s="148">
        <f t="shared" ref="BI11:BI56" si="15">BH11+BI10</f>
        <v>-3899000</v>
      </c>
      <c r="BJ11" s="201">
        <f t="shared" ref="BJ11:BJ75" si="16">+BI11-$AX$8</f>
        <v>3127198.54</v>
      </c>
      <c r="BK11" s="168">
        <v>2015</v>
      </c>
      <c r="BL11" s="173">
        <f t="shared" si="9"/>
        <v>5679311.6099999994</v>
      </c>
      <c r="BM11" s="173">
        <f t="shared" si="10"/>
        <v>-5692558.54</v>
      </c>
      <c r="BN11" s="173">
        <f t="shared" ref="BN11:BN28" si="17">SUM(BL11:BM11)</f>
        <v>-13246.930000000633</v>
      </c>
      <c r="BO11" s="169">
        <f>+BN11+BO10</f>
        <v>-6971145.6800000006</v>
      </c>
      <c r="BQ11" s="82">
        <v>0</v>
      </c>
      <c r="BR11" s="223">
        <v>0</v>
      </c>
      <c r="BS11" s="223">
        <v>0</v>
      </c>
      <c r="BT11" s="223">
        <v>0</v>
      </c>
      <c r="BU11" s="223">
        <v>0</v>
      </c>
      <c r="BV11" s="223"/>
      <c r="BW11" s="223">
        <f t="shared" ref="BW11:BW42" si="18">SUM(BQ11:BT11)</f>
        <v>0</v>
      </c>
      <c r="BX11" s="83">
        <v>0</v>
      </c>
      <c r="BY11" s="78">
        <f t="shared" ref="BY11:BY40" si="19">BF11</f>
        <v>0</v>
      </c>
      <c r="BZ11" s="70">
        <f t="shared" ref="BZ11:BZ40" si="20">BG11</f>
        <v>0</v>
      </c>
      <c r="CA11" s="70">
        <f t="shared" ref="CA11:CA40" si="21">BH11</f>
        <v>0</v>
      </c>
      <c r="CB11" s="71">
        <f t="shared" ref="CB11:CB40" si="22">BI11</f>
        <v>-3899000</v>
      </c>
      <c r="CC11" s="270"/>
      <c r="CD11" s="201"/>
      <c r="CE11" s="69">
        <f t="shared" si="12"/>
        <v>0</v>
      </c>
      <c r="CF11" s="71">
        <f t="shared" si="13"/>
        <v>0</v>
      </c>
    </row>
    <row r="12" spans="1:88" s="161" customFormat="1" ht="15" customHeight="1" outlineLevel="1">
      <c r="A12" s="137">
        <v>0</v>
      </c>
      <c r="B12" s="138"/>
      <c r="C12" s="139">
        <v>41730</v>
      </c>
      <c r="D12" s="140">
        <v>0</v>
      </c>
      <c r="E12" s="141">
        <v>0</v>
      </c>
      <c r="F12" s="141">
        <v>0</v>
      </c>
      <c r="G12" s="141">
        <v>0</v>
      </c>
      <c r="H12" s="142">
        <v>0</v>
      </c>
      <c r="I12" s="142">
        <v>0</v>
      </c>
      <c r="J12" s="143">
        <v>0</v>
      </c>
      <c r="K12" s="144">
        <v>0</v>
      </c>
      <c r="L12" s="145">
        <v>0</v>
      </c>
      <c r="M12" s="145">
        <v>0</v>
      </c>
      <c r="N12" s="146">
        <v>0</v>
      </c>
      <c r="O12" s="241">
        <v>0</v>
      </c>
      <c r="P12" s="146">
        <v>0</v>
      </c>
      <c r="Q12" s="146">
        <v>0</v>
      </c>
      <c r="R12" s="147"/>
      <c r="S12" s="147"/>
      <c r="T12" s="147">
        <v>0</v>
      </c>
      <c r="U12" s="147"/>
      <c r="V12" s="147">
        <f t="shared" si="5"/>
        <v>0</v>
      </c>
      <c r="W12" s="147">
        <v>0</v>
      </c>
      <c r="X12" s="147">
        <v>0</v>
      </c>
      <c r="Y12" s="148">
        <v>9245.14</v>
      </c>
      <c r="Z12" s="149">
        <f t="shared" si="6"/>
        <v>1.0590902134021267E-4</v>
      </c>
      <c r="AA12" s="150">
        <v>0</v>
      </c>
      <c r="AB12" s="151">
        <v>-547.69000000000051</v>
      </c>
      <c r="AC12" s="204"/>
      <c r="AD12" s="151">
        <v>0</v>
      </c>
      <c r="AE12" s="151">
        <v>0</v>
      </c>
      <c r="AF12" s="204"/>
      <c r="AG12" s="151">
        <v>0</v>
      </c>
      <c r="AH12" s="193">
        <v>-7130.41</v>
      </c>
      <c r="AI12" s="159">
        <v>0</v>
      </c>
      <c r="AJ12" s="152">
        <v>0</v>
      </c>
      <c r="AK12" s="153">
        <v>-1567.04</v>
      </c>
      <c r="AL12" s="153">
        <v>0</v>
      </c>
      <c r="AM12" s="153">
        <v>0</v>
      </c>
      <c r="AN12" s="154">
        <v>0</v>
      </c>
      <c r="AO12" s="153">
        <v>0</v>
      </c>
      <c r="AP12" s="155">
        <v>0</v>
      </c>
      <c r="AQ12" s="157">
        <v>0</v>
      </c>
      <c r="AR12" s="153">
        <v>0</v>
      </c>
      <c r="AS12" s="153">
        <v>0</v>
      </c>
      <c r="AT12" s="153">
        <v>0</v>
      </c>
      <c r="AU12" s="153">
        <v>0</v>
      </c>
      <c r="AV12" s="156">
        <v>0</v>
      </c>
      <c r="AW12" s="152">
        <v>0</v>
      </c>
      <c r="AX12" s="152">
        <v>-1550000</v>
      </c>
      <c r="AY12" s="152">
        <v>0</v>
      </c>
      <c r="AZ12" s="156">
        <v>0</v>
      </c>
      <c r="BA12" s="158">
        <v>0</v>
      </c>
      <c r="BB12" s="151">
        <v>0</v>
      </c>
      <c r="BC12" s="151">
        <v>0</v>
      </c>
      <c r="BD12" s="159">
        <v>0</v>
      </c>
      <c r="BE12" s="160"/>
      <c r="BF12" s="145">
        <f t="shared" si="7"/>
        <v>9245.14</v>
      </c>
      <c r="BG12" s="146">
        <f t="shared" si="8"/>
        <v>-1559245.14</v>
      </c>
      <c r="BH12" s="146">
        <f t="shared" si="14"/>
        <v>-1550000</v>
      </c>
      <c r="BI12" s="148">
        <f t="shared" si="15"/>
        <v>-5449000</v>
      </c>
      <c r="BJ12" s="201">
        <f t="shared" si="16"/>
        <v>1577198.54</v>
      </c>
      <c r="BK12" s="168">
        <v>2016</v>
      </c>
      <c r="BL12" s="173">
        <f t="shared" si="9"/>
        <v>10104710.630000001</v>
      </c>
      <c r="BM12" s="173">
        <f t="shared" si="10"/>
        <v>-10062564.489999998</v>
      </c>
      <c r="BN12" s="173">
        <f t="shared" si="17"/>
        <v>42146.140000002459</v>
      </c>
      <c r="BO12" s="169">
        <f t="shared" ref="BO12:BO28" si="23">BN12+BO11</f>
        <v>-6928999.5399999982</v>
      </c>
      <c r="BQ12" s="82">
        <v>0</v>
      </c>
      <c r="BR12" s="223">
        <v>0</v>
      </c>
      <c r="BS12" s="223">
        <v>0</v>
      </c>
      <c r="BT12" s="223">
        <v>0</v>
      </c>
      <c r="BU12" s="223">
        <v>0</v>
      </c>
      <c r="BV12" s="223"/>
      <c r="BW12" s="223">
        <f t="shared" si="18"/>
        <v>0</v>
      </c>
      <c r="BX12" s="83">
        <v>0</v>
      </c>
      <c r="BY12" s="78">
        <f t="shared" si="19"/>
        <v>9245.14</v>
      </c>
      <c r="BZ12" s="70">
        <f t="shared" si="20"/>
        <v>-1559245.14</v>
      </c>
      <c r="CA12" s="70">
        <f t="shared" si="21"/>
        <v>-1550000</v>
      </c>
      <c r="CB12" s="71">
        <f t="shared" si="22"/>
        <v>-5449000</v>
      </c>
      <c r="CC12" s="270"/>
      <c r="CD12" s="201"/>
      <c r="CE12" s="69">
        <f t="shared" si="12"/>
        <v>-1550000</v>
      </c>
      <c r="CF12" s="71">
        <f t="shared" si="13"/>
        <v>-1550000</v>
      </c>
    </row>
    <row r="13" spans="1:88" s="161" customFormat="1" ht="15" customHeight="1" outlineLevel="1">
      <c r="A13" s="137">
        <v>0</v>
      </c>
      <c r="B13" s="138"/>
      <c r="C13" s="139">
        <v>41760</v>
      </c>
      <c r="D13" s="140">
        <v>0</v>
      </c>
      <c r="E13" s="141">
        <v>0</v>
      </c>
      <c r="F13" s="141">
        <v>0</v>
      </c>
      <c r="G13" s="141">
        <v>0</v>
      </c>
      <c r="H13" s="142">
        <v>0</v>
      </c>
      <c r="I13" s="142">
        <v>0</v>
      </c>
      <c r="J13" s="143">
        <v>0</v>
      </c>
      <c r="K13" s="144">
        <v>0</v>
      </c>
      <c r="L13" s="145">
        <v>0</v>
      </c>
      <c r="M13" s="145">
        <v>0</v>
      </c>
      <c r="N13" s="146">
        <v>0</v>
      </c>
      <c r="O13" s="241">
        <v>0</v>
      </c>
      <c r="P13" s="146">
        <v>0</v>
      </c>
      <c r="Q13" s="146">
        <v>0</v>
      </c>
      <c r="R13" s="147"/>
      <c r="S13" s="147"/>
      <c r="T13" s="147">
        <v>0</v>
      </c>
      <c r="U13" s="147"/>
      <c r="V13" s="147">
        <f t="shared" si="5"/>
        <v>0</v>
      </c>
      <c r="W13" s="147">
        <v>0</v>
      </c>
      <c r="X13" s="147">
        <v>46553.47</v>
      </c>
      <c r="Y13" s="148">
        <v>146407.45000000001</v>
      </c>
      <c r="Z13" s="149">
        <f t="shared" si="6"/>
        <v>1.5025763261577833E-3</v>
      </c>
      <c r="AA13" s="150">
        <v>0</v>
      </c>
      <c r="AB13" s="151">
        <v>-43</v>
      </c>
      <c r="AC13" s="204"/>
      <c r="AD13" s="151">
        <v>0</v>
      </c>
      <c r="AE13" s="151">
        <v>0</v>
      </c>
      <c r="AF13" s="204"/>
      <c r="AG13" s="151">
        <v>-19866.8</v>
      </c>
      <c r="AH13" s="193">
        <v>-89022.67</v>
      </c>
      <c r="AI13" s="159">
        <v>0</v>
      </c>
      <c r="AJ13" s="152">
        <v>0</v>
      </c>
      <c r="AK13" s="153">
        <v>-31126.25</v>
      </c>
      <c r="AL13" s="153">
        <v>0</v>
      </c>
      <c r="AM13" s="153">
        <v>0</v>
      </c>
      <c r="AN13" s="154">
        <v>0</v>
      </c>
      <c r="AO13" s="153">
        <v>0</v>
      </c>
      <c r="AP13" s="155">
        <v>0</v>
      </c>
      <c r="AQ13" s="157">
        <v>0</v>
      </c>
      <c r="AR13" s="153">
        <v>0</v>
      </c>
      <c r="AS13" s="153">
        <v>0</v>
      </c>
      <c r="AT13" s="153">
        <v>0</v>
      </c>
      <c r="AU13" s="153">
        <v>0</v>
      </c>
      <c r="AV13" s="156">
        <v>0</v>
      </c>
      <c r="AW13" s="152">
        <v>-1700.03</v>
      </c>
      <c r="AX13" s="152">
        <v>0</v>
      </c>
      <c r="AY13" s="152">
        <v>0</v>
      </c>
      <c r="AZ13" s="156">
        <v>0</v>
      </c>
      <c r="BA13" s="158">
        <v>0</v>
      </c>
      <c r="BB13" s="151">
        <v>0</v>
      </c>
      <c r="BC13" s="151">
        <v>0</v>
      </c>
      <c r="BD13" s="159">
        <v>-46553.47</v>
      </c>
      <c r="BE13" s="160"/>
      <c r="BF13" s="145">
        <f t="shared" si="7"/>
        <v>192960.92</v>
      </c>
      <c r="BG13" s="146">
        <f t="shared" si="8"/>
        <v>-188312.22</v>
      </c>
      <c r="BH13" s="146">
        <f t="shared" si="14"/>
        <v>4648.7000000000116</v>
      </c>
      <c r="BI13" s="148">
        <f t="shared" si="15"/>
        <v>-5444351.2999999998</v>
      </c>
      <c r="BJ13" s="201">
        <f t="shared" si="16"/>
        <v>1581847.2400000002</v>
      </c>
      <c r="BK13" s="168">
        <v>2017</v>
      </c>
      <c r="BL13" s="173">
        <f t="shared" si="9"/>
        <v>19056114.219999999</v>
      </c>
      <c r="BM13" s="173">
        <f t="shared" si="10"/>
        <v>-19083899.969999999</v>
      </c>
      <c r="BN13" s="173">
        <f t="shared" si="17"/>
        <v>-27785.75</v>
      </c>
      <c r="BO13" s="169">
        <f t="shared" si="23"/>
        <v>-6956785.2899999982</v>
      </c>
      <c r="BQ13" s="82">
        <v>0</v>
      </c>
      <c r="BR13" s="223">
        <v>0</v>
      </c>
      <c r="BS13" s="223">
        <v>0</v>
      </c>
      <c r="BT13" s="223">
        <v>0</v>
      </c>
      <c r="BU13" s="223">
        <v>0</v>
      </c>
      <c r="BV13" s="223"/>
      <c r="BW13" s="223">
        <f t="shared" si="18"/>
        <v>0</v>
      </c>
      <c r="BX13" s="83">
        <v>0</v>
      </c>
      <c r="BY13" s="78">
        <f t="shared" si="19"/>
        <v>192960.92</v>
      </c>
      <c r="BZ13" s="70">
        <f t="shared" si="20"/>
        <v>-188312.22</v>
      </c>
      <c r="CA13" s="70">
        <f t="shared" si="21"/>
        <v>4648.7000000000116</v>
      </c>
      <c r="CB13" s="71">
        <f t="shared" si="22"/>
        <v>-5444351.2999999998</v>
      </c>
      <c r="CC13" s="270"/>
      <c r="CD13" s="201"/>
      <c r="CE13" s="69">
        <f t="shared" si="12"/>
        <v>4648.7000000000116</v>
      </c>
      <c r="CF13" s="71">
        <f t="shared" si="13"/>
        <v>4648.7000000000116</v>
      </c>
    </row>
    <row r="14" spans="1:88" s="161" customFormat="1" ht="15" customHeight="1" outlineLevel="1">
      <c r="A14" s="137">
        <v>0</v>
      </c>
      <c r="B14" s="138"/>
      <c r="C14" s="139">
        <v>41791</v>
      </c>
      <c r="D14" s="140">
        <v>0</v>
      </c>
      <c r="E14" s="141">
        <v>0</v>
      </c>
      <c r="F14" s="141">
        <v>0</v>
      </c>
      <c r="G14" s="141">
        <v>0</v>
      </c>
      <c r="H14" s="142">
        <v>0</v>
      </c>
      <c r="I14" s="142">
        <v>0</v>
      </c>
      <c r="J14" s="143">
        <v>0</v>
      </c>
      <c r="K14" s="144">
        <v>0</v>
      </c>
      <c r="L14" s="145">
        <v>0</v>
      </c>
      <c r="M14" s="145">
        <v>0</v>
      </c>
      <c r="N14" s="146">
        <v>0</v>
      </c>
      <c r="O14" s="241">
        <v>0</v>
      </c>
      <c r="P14" s="146">
        <v>0</v>
      </c>
      <c r="Q14" s="146">
        <v>0</v>
      </c>
      <c r="R14" s="147"/>
      <c r="S14" s="147"/>
      <c r="T14" s="147">
        <v>0</v>
      </c>
      <c r="U14" s="147"/>
      <c r="V14" s="147">
        <f t="shared" si="5"/>
        <v>0</v>
      </c>
      <c r="W14" s="147">
        <v>0</v>
      </c>
      <c r="X14" s="147">
        <v>3142.34</v>
      </c>
      <c r="Y14" s="148">
        <v>56935.17</v>
      </c>
      <c r="Z14" s="149">
        <f t="shared" si="6"/>
        <v>6.5519835814330392E-5</v>
      </c>
      <c r="AA14" s="150">
        <v>0</v>
      </c>
      <c r="AB14" s="151">
        <v>0</v>
      </c>
      <c r="AC14" s="204"/>
      <c r="AD14" s="151">
        <v>0</v>
      </c>
      <c r="AE14" s="151">
        <v>0</v>
      </c>
      <c r="AF14" s="204"/>
      <c r="AG14" s="151">
        <v>-4750</v>
      </c>
      <c r="AH14" s="193">
        <v>0</v>
      </c>
      <c r="AI14" s="159">
        <v>0</v>
      </c>
      <c r="AJ14" s="152">
        <v>-19463</v>
      </c>
      <c r="AK14" s="153">
        <v>-25096.9</v>
      </c>
      <c r="AL14" s="153">
        <v>0</v>
      </c>
      <c r="AM14" s="153">
        <v>0</v>
      </c>
      <c r="AN14" s="154">
        <v>0</v>
      </c>
      <c r="AO14" s="153">
        <v>0</v>
      </c>
      <c r="AP14" s="155">
        <v>0</v>
      </c>
      <c r="AQ14" s="157">
        <v>0</v>
      </c>
      <c r="AR14" s="153">
        <v>0</v>
      </c>
      <c r="AS14" s="153">
        <v>0</v>
      </c>
      <c r="AT14" s="153">
        <v>0</v>
      </c>
      <c r="AU14" s="153">
        <v>0</v>
      </c>
      <c r="AV14" s="156">
        <v>0</v>
      </c>
      <c r="AW14" s="152">
        <v>-1978.83</v>
      </c>
      <c r="AX14" s="152">
        <v>-1576198.54</v>
      </c>
      <c r="AY14" s="152">
        <v>0</v>
      </c>
      <c r="AZ14" s="156">
        <v>0</v>
      </c>
      <c r="BA14" s="158">
        <v>0</v>
      </c>
      <c r="BB14" s="151">
        <v>0</v>
      </c>
      <c r="BC14" s="151">
        <v>0</v>
      </c>
      <c r="BD14" s="159">
        <v>-3142.34</v>
      </c>
      <c r="BE14" s="160"/>
      <c r="BF14" s="145">
        <f t="shared" si="7"/>
        <v>60077.509999999995</v>
      </c>
      <c r="BG14" s="146">
        <f t="shared" si="8"/>
        <v>-1630629.61</v>
      </c>
      <c r="BH14" s="146">
        <f t="shared" si="14"/>
        <v>-1570552.1</v>
      </c>
      <c r="BI14" s="148">
        <f t="shared" si="15"/>
        <v>-7014903.4000000004</v>
      </c>
      <c r="BJ14" s="201">
        <f t="shared" si="16"/>
        <v>11295.139999999665</v>
      </c>
      <c r="BK14" s="168">
        <v>2018</v>
      </c>
      <c r="BL14" s="173">
        <f t="shared" si="9"/>
        <v>22640313.967071433</v>
      </c>
      <c r="BM14" s="173" t="e">
        <f t="shared" si="10"/>
        <v>#REF!</v>
      </c>
      <c r="BN14" s="173" t="e">
        <f t="shared" si="17"/>
        <v>#REF!</v>
      </c>
      <c r="BO14" s="169" t="e">
        <f t="shared" si="23"/>
        <v>#REF!</v>
      </c>
      <c r="BQ14" s="82">
        <v>0</v>
      </c>
      <c r="BR14" s="223">
        <v>0</v>
      </c>
      <c r="BS14" s="223">
        <v>0</v>
      </c>
      <c r="BT14" s="223">
        <v>0</v>
      </c>
      <c r="BU14" s="223">
        <v>0</v>
      </c>
      <c r="BV14" s="223"/>
      <c r="BW14" s="223">
        <f t="shared" si="18"/>
        <v>0</v>
      </c>
      <c r="BX14" s="83">
        <v>0</v>
      </c>
      <c r="BY14" s="78">
        <f t="shared" si="19"/>
        <v>60077.509999999995</v>
      </c>
      <c r="BZ14" s="70">
        <f t="shared" si="20"/>
        <v>-1630629.61</v>
      </c>
      <c r="CA14" s="70">
        <f t="shared" si="21"/>
        <v>-1570552.1</v>
      </c>
      <c r="CB14" s="71">
        <f t="shared" si="22"/>
        <v>-7014903.4000000004</v>
      </c>
      <c r="CC14" s="270"/>
      <c r="CD14" s="201"/>
      <c r="CE14" s="69">
        <f t="shared" si="12"/>
        <v>-1570552.1</v>
      </c>
      <c r="CF14" s="71">
        <f t="shared" si="13"/>
        <v>-1570552.1</v>
      </c>
    </row>
    <row r="15" spans="1:88" s="161" customFormat="1" ht="15" customHeight="1" outlineLevel="1">
      <c r="A15" s="137">
        <v>0</v>
      </c>
      <c r="B15" s="138"/>
      <c r="C15" s="139">
        <v>41821</v>
      </c>
      <c r="D15" s="140">
        <v>0</v>
      </c>
      <c r="E15" s="141">
        <v>0</v>
      </c>
      <c r="F15" s="141">
        <v>0</v>
      </c>
      <c r="G15" s="141">
        <v>0</v>
      </c>
      <c r="H15" s="142">
        <v>0</v>
      </c>
      <c r="I15" s="142">
        <v>0</v>
      </c>
      <c r="J15" s="143">
        <v>0</v>
      </c>
      <c r="K15" s="144">
        <v>0</v>
      </c>
      <c r="L15" s="145">
        <v>0</v>
      </c>
      <c r="M15" s="145">
        <v>0</v>
      </c>
      <c r="N15" s="146">
        <v>0</v>
      </c>
      <c r="O15" s="241">
        <v>0</v>
      </c>
      <c r="P15" s="146">
        <v>0</v>
      </c>
      <c r="Q15" s="146">
        <v>0</v>
      </c>
      <c r="R15" s="147"/>
      <c r="S15" s="147"/>
      <c r="T15" s="147">
        <v>0</v>
      </c>
      <c r="U15" s="147"/>
      <c r="V15" s="147">
        <f t="shared" si="5"/>
        <v>0</v>
      </c>
      <c r="W15" s="147">
        <v>0</v>
      </c>
      <c r="X15" s="147">
        <v>3568.76</v>
      </c>
      <c r="Y15" s="148">
        <v>235374.71</v>
      </c>
      <c r="Z15" s="149">
        <f t="shared" si="6"/>
        <v>6.9883125831973314E-4</v>
      </c>
      <c r="AA15" s="150">
        <v>0</v>
      </c>
      <c r="AB15" s="151">
        <v>9.0949470177292824E-13</v>
      </c>
      <c r="AC15" s="204"/>
      <c r="AD15" s="151">
        <v>0</v>
      </c>
      <c r="AE15" s="151">
        <v>0</v>
      </c>
      <c r="AF15" s="204"/>
      <c r="AG15" s="151">
        <v>-44043.55</v>
      </c>
      <c r="AH15" s="193">
        <v>-6619.71</v>
      </c>
      <c r="AI15" s="159">
        <v>0</v>
      </c>
      <c r="AJ15" s="152">
        <v>-5433.1</v>
      </c>
      <c r="AK15" s="153">
        <v>-69333.75</v>
      </c>
      <c r="AL15" s="153">
        <v>0</v>
      </c>
      <c r="AM15" s="153">
        <v>0</v>
      </c>
      <c r="AN15" s="154">
        <v>0</v>
      </c>
      <c r="AO15" s="153">
        <v>0</v>
      </c>
      <c r="AP15" s="155">
        <v>-36373</v>
      </c>
      <c r="AQ15" s="157">
        <v>0</v>
      </c>
      <c r="AR15" s="153">
        <v>0</v>
      </c>
      <c r="AS15" s="153">
        <v>0</v>
      </c>
      <c r="AT15" s="153">
        <v>-79.680000000000007</v>
      </c>
      <c r="AU15" s="153">
        <v>0</v>
      </c>
      <c r="AV15" s="156">
        <v>0</v>
      </c>
      <c r="AW15" s="152">
        <v>-3592.24</v>
      </c>
      <c r="AX15" s="152">
        <v>0</v>
      </c>
      <c r="AY15" s="152">
        <v>0</v>
      </c>
      <c r="AZ15" s="156">
        <v>0</v>
      </c>
      <c r="BA15" s="158">
        <v>0</v>
      </c>
      <c r="BB15" s="151">
        <v>0</v>
      </c>
      <c r="BC15" s="151">
        <v>0</v>
      </c>
      <c r="BD15" s="159">
        <v>-40372.480000000003</v>
      </c>
      <c r="BE15" s="160"/>
      <c r="BF15" s="145">
        <f t="shared" si="7"/>
        <v>238943.47</v>
      </c>
      <c r="BG15" s="146">
        <f t="shared" si="8"/>
        <v>-205847.50999999998</v>
      </c>
      <c r="BH15" s="146">
        <f t="shared" si="14"/>
        <v>33095.960000000021</v>
      </c>
      <c r="BI15" s="148">
        <f t="shared" si="15"/>
        <v>-6981807.4400000004</v>
      </c>
      <c r="BJ15" s="201">
        <f t="shared" si="16"/>
        <v>44391.099999999627</v>
      </c>
      <c r="BK15" s="168">
        <f t="shared" ref="BK15:BK28" si="24">BK14+1</f>
        <v>2019</v>
      </c>
      <c r="BL15" s="173">
        <f t="shared" si="9"/>
        <v>39597441.941571429</v>
      </c>
      <c r="BM15" s="173" t="e">
        <f t="shared" si="10"/>
        <v>#REF!</v>
      </c>
      <c r="BN15" s="173" t="e">
        <f t="shared" si="17"/>
        <v>#REF!</v>
      </c>
      <c r="BO15" s="169" t="e">
        <f t="shared" si="23"/>
        <v>#REF!</v>
      </c>
      <c r="BQ15" s="82">
        <v>0</v>
      </c>
      <c r="BR15" s="223">
        <v>0</v>
      </c>
      <c r="BS15" s="223">
        <v>0</v>
      </c>
      <c r="BT15" s="223">
        <v>0</v>
      </c>
      <c r="BU15" s="223">
        <v>0</v>
      </c>
      <c r="BV15" s="223"/>
      <c r="BW15" s="223">
        <f t="shared" si="18"/>
        <v>0</v>
      </c>
      <c r="BX15" s="83">
        <v>0</v>
      </c>
      <c r="BY15" s="78">
        <f t="shared" si="19"/>
        <v>238943.47</v>
      </c>
      <c r="BZ15" s="70">
        <f t="shared" si="20"/>
        <v>-205847.50999999998</v>
      </c>
      <c r="CA15" s="70">
        <f t="shared" si="21"/>
        <v>33095.960000000021</v>
      </c>
      <c r="CB15" s="71">
        <f t="shared" si="22"/>
        <v>-6981807.4400000004</v>
      </c>
      <c r="CC15" s="270"/>
      <c r="CD15" s="201"/>
      <c r="CE15" s="69">
        <f t="shared" si="12"/>
        <v>33095.960000000021</v>
      </c>
      <c r="CF15" s="71">
        <f t="shared" si="13"/>
        <v>33095.960000000021</v>
      </c>
    </row>
    <row r="16" spans="1:88" s="161" customFormat="1" ht="15" customHeight="1" outlineLevel="1">
      <c r="A16" s="137">
        <v>0</v>
      </c>
      <c r="B16" s="138"/>
      <c r="C16" s="139">
        <v>41852</v>
      </c>
      <c r="D16" s="140">
        <v>0</v>
      </c>
      <c r="E16" s="141">
        <v>0</v>
      </c>
      <c r="F16" s="141">
        <v>0</v>
      </c>
      <c r="G16" s="141">
        <v>0</v>
      </c>
      <c r="H16" s="142">
        <v>0</v>
      </c>
      <c r="I16" s="142">
        <v>0</v>
      </c>
      <c r="J16" s="143">
        <v>0</v>
      </c>
      <c r="K16" s="144">
        <v>0</v>
      </c>
      <c r="L16" s="145">
        <v>0</v>
      </c>
      <c r="M16" s="145">
        <v>0</v>
      </c>
      <c r="N16" s="146">
        <v>0</v>
      </c>
      <c r="O16" s="241">
        <v>0</v>
      </c>
      <c r="P16" s="146">
        <v>0</v>
      </c>
      <c r="Q16" s="146">
        <v>0</v>
      </c>
      <c r="R16" s="147"/>
      <c r="S16" s="147"/>
      <c r="T16" s="147">
        <v>0</v>
      </c>
      <c r="U16" s="147"/>
      <c r="V16" s="147">
        <f t="shared" si="5"/>
        <v>0</v>
      </c>
      <c r="W16" s="147">
        <v>0</v>
      </c>
      <c r="X16" s="147">
        <v>0</v>
      </c>
      <c r="Y16" s="148">
        <v>281736.14</v>
      </c>
      <c r="Z16" s="149">
        <f t="shared" si="6"/>
        <v>7.6911542072148869E-4</v>
      </c>
      <c r="AA16" s="150">
        <v>0</v>
      </c>
      <c r="AB16" s="151">
        <v>0</v>
      </c>
      <c r="AC16" s="204"/>
      <c r="AD16" s="151">
        <v>0</v>
      </c>
      <c r="AE16" s="151">
        <v>0</v>
      </c>
      <c r="AF16" s="204"/>
      <c r="AG16" s="151">
        <v>-55758.66</v>
      </c>
      <c r="AH16" s="193">
        <v>0</v>
      </c>
      <c r="AI16" s="159">
        <v>0</v>
      </c>
      <c r="AJ16" s="152">
        <v>-10637.93</v>
      </c>
      <c r="AK16" s="153">
        <v>-57446.09</v>
      </c>
      <c r="AL16" s="153">
        <v>0</v>
      </c>
      <c r="AM16" s="153">
        <v>0</v>
      </c>
      <c r="AN16" s="154">
        <v>0</v>
      </c>
      <c r="AO16" s="153">
        <v>0</v>
      </c>
      <c r="AP16" s="155">
        <v>-194500</v>
      </c>
      <c r="AQ16" s="157">
        <v>0</v>
      </c>
      <c r="AR16" s="153">
        <v>0</v>
      </c>
      <c r="AS16" s="153">
        <v>0</v>
      </c>
      <c r="AT16" s="153">
        <v>0</v>
      </c>
      <c r="AU16" s="153">
        <v>0</v>
      </c>
      <c r="AV16" s="156">
        <v>0</v>
      </c>
      <c r="AW16" s="152">
        <v>-2518.77</v>
      </c>
      <c r="AX16" s="152">
        <v>0</v>
      </c>
      <c r="AY16" s="152">
        <v>0</v>
      </c>
      <c r="AZ16" s="156">
        <v>0</v>
      </c>
      <c r="BA16" s="158">
        <v>0</v>
      </c>
      <c r="BB16" s="151">
        <v>0</v>
      </c>
      <c r="BC16" s="151">
        <v>0</v>
      </c>
      <c r="BD16" s="159">
        <v>0</v>
      </c>
      <c r="BE16" s="160"/>
      <c r="BF16" s="145">
        <f t="shared" si="7"/>
        <v>281736.14</v>
      </c>
      <c r="BG16" s="146">
        <f t="shared" si="8"/>
        <v>-320861.45</v>
      </c>
      <c r="BH16" s="146">
        <f t="shared" si="14"/>
        <v>-39125.31</v>
      </c>
      <c r="BI16" s="148">
        <f t="shared" si="15"/>
        <v>-7020932.75</v>
      </c>
      <c r="BJ16" s="201">
        <f t="shared" si="16"/>
        <v>5265.7900000000373</v>
      </c>
      <c r="BK16" s="168">
        <f t="shared" si="24"/>
        <v>2020</v>
      </c>
      <c r="BL16" s="173">
        <f t="shared" si="9"/>
        <v>46601516.145596109</v>
      </c>
      <c r="BM16" s="173" t="e">
        <f t="shared" si="10"/>
        <v>#REF!</v>
      </c>
      <c r="BN16" s="173" t="e">
        <f t="shared" si="17"/>
        <v>#REF!</v>
      </c>
      <c r="BO16" s="169" t="e">
        <f t="shared" si="23"/>
        <v>#REF!</v>
      </c>
      <c r="BQ16" s="82">
        <v>0</v>
      </c>
      <c r="BR16" s="223">
        <v>0</v>
      </c>
      <c r="BS16" s="223">
        <v>0</v>
      </c>
      <c r="BT16" s="223">
        <v>0</v>
      </c>
      <c r="BU16" s="223">
        <v>0</v>
      </c>
      <c r="BV16" s="223"/>
      <c r="BW16" s="223">
        <f t="shared" si="18"/>
        <v>0</v>
      </c>
      <c r="BX16" s="83">
        <v>0</v>
      </c>
      <c r="BY16" s="78">
        <f t="shared" si="19"/>
        <v>281736.14</v>
      </c>
      <c r="BZ16" s="70">
        <f t="shared" si="20"/>
        <v>-320861.45</v>
      </c>
      <c r="CA16" s="70">
        <f t="shared" si="21"/>
        <v>-39125.31</v>
      </c>
      <c r="CB16" s="71">
        <f t="shared" si="22"/>
        <v>-7020932.75</v>
      </c>
      <c r="CC16" s="270"/>
      <c r="CD16" s="201"/>
      <c r="CE16" s="69">
        <f t="shared" si="12"/>
        <v>-39125.31</v>
      </c>
      <c r="CF16" s="71">
        <f t="shared" si="13"/>
        <v>-39125.31</v>
      </c>
    </row>
    <row r="17" spans="1:84" s="161" customFormat="1" ht="15" customHeight="1" outlineLevel="1">
      <c r="A17" s="137">
        <v>0</v>
      </c>
      <c r="B17" s="138"/>
      <c r="C17" s="139">
        <v>41883</v>
      </c>
      <c r="D17" s="140">
        <v>0</v>
      </c>
      <c r="E17" s="141">
        <v>0</v>
      </c>
      <c r="F17" s="141">
        <v>0</v>
      </c>
      <c r="G17" s="141">
        <v>0</v>
      </c>
      <c r="H17" s="142">
        <v>0</v>
      </c>
      <c r="I17" s="142">
        <v>0</v>
      </c>
      <c r="J17" s="143">
        <v>0</v>
      </c>
      <c r="K17" s="144">
        <v>0</v>
      </c>
      <c r="L17" s="145">
        <v>0</v>
      </c>
      <c r="M17" s="145">
        <v>0</v>
      </c>
      <c r="N17" s="146">
        <v>0</v>
      </c>
      <c r="O17" s="241">
        <v>0</v>
      </c>
      <c r="P17" s="146">
        <v>0</v>
      </c>
      <c r="Q17" s="146">
        <v>0</v>
      </c>
      <c r="R17" s="147"/>
      <c r="S17" s="147"/>
      <c r="T17" s="147">
        <v>0</v>
      </c>
      <c r="U17" s="147"/>
      <c r="V17" s="147">
        <f t="shared" si="5"/>
        <v>0</v>
      </c>
      <c r="W17" s="147">
        <v>0</v>
      </c>
      <c r="X17" s="147">
        <v>0</v>
      </c>
      <c r="Y17" s="148">
        <v>294606.73000000004</v>
      </c>
      <c r="Z17" s="149">
        <f t="shared" si="6"/>
        <v>8.2523722922310798E-4</v>
      </c>
      <c r="AA17" s="150">
        <v>0</v>
      </c>
      <c r="AB17" s="151">
        <v>0</v>
      </c>
      <c r="AC17" s="204"/>
      <c r="AD17" s="151">
        <v>0</v>
      </c>
      <c r="AE17" s="151">
        <v>0</v>
      </c>
      <c r="AF17" s="204"/>
      <c r="AG17" s="151">
        <v>-59827.33</v>
      </c>
      <c r="AH17" s="193">
        <v>0</v>
      </c>
      <c r="AI17" s="159">
        <v>0</v>
      </c>
      <c r="AJ17" s="152">
        <v>-15750</v>
      </c>
      <c r="AK17" s="153">
        <v>-100881.25</v>
      </c>
      <c r="AL17" s="153">
        <v>0</v>
      </c>
      <c r="AM17" s="153">
        <v>0</v>
      </c>
      <c r="AN17" s="154">
        <v>0</v>
      </c>
      <c r="AO17" s="153">
        <v>0</v>
      </c>
      <c r="AP17" s="155">
        <v>-71899.19</v>
      </c>
      <c r="AQ17" s="157">
        <v>-2966</v>
      </c>
      <c r="AR17" s="153">
        <v>0</v>
      </c>
      <c r="AS17" s="153">
        <v>0</v>
      </c>
      <c r="AT17" s="153">
        <v>-438.24</v>
      </c>
      <c r="AU17" s="153">
        <v>0</v>
      </c>
      <c r="AV17" s="156">
        <v>0</v>
      </c>
      <c r="AW17" s="152">
        <v>-1547.75</v>
      </c>
      <c r="AX17" s="152">
        <v>0</v>
      </c>
      <c r="AY17" s="152">
        <v>-683</v>
      </c>
      <c r="AZ17" s="156">
        <v>0</v>
      </c>
      <c r="BA17" s="158">
        <v>0</v>
      </c>
      <c r="BB17" s="151">
        <v>0</v>
      </c>
      <c r="BC17" s="151">
        <v>0</v>
      </c>
      <c r="BD17" s="159">
        <v>0</v>
      </c>
      <c r="BE17" s="160"/>
      <c r="BF17" s="145">
        <f t="shared" si="7"/>
        <v>294606.73000000004</v>
      </c>
      <c r="BG17" s="146">
        <f t="shared" si="8"/>
        <v>-253992.76</v>
      </c>
      <c r="BH17" s="146">
        <f t="shared" si="14"/>
        <v>40613.97000000003</v>
      </c>
      <c r="BI17" s="148">
        <f t="shared" si="15"/>
        <v>-6980318.7800000003</v>
      </c>
      <c r="BJ17" s="201">
        <f t="shared" si="16"/>
        <v>45879.759999999776</v>
      </c>
      <c r="BK17" s="168">
        <f t="shared" si="24"/>
        <v>2021</v>
      </c>
      <c r="BL17" s="173">
        <f t="shared" si="9"/>
        <v>47152874.026827194</v>
      </c>
      <c r="BM17" s="173" t="e">
        <f t="shared" si="10"/>
        <v>#REF!</v>
      </c>
      <c r="BN17" s="173" t="e">
        <f t="shared" si="17"/>
        <v>#REF!</v>
      </c>
      <c r="BO17" s="169" t="e">
        <f t="shared" si="23"/>
        <v>#REF!</v>
      </c>
      <c r="BQ17" s="82">
        <v>0</v>
      </c>
      <c r="BR17" s="223">
        <v>0</v>
      </c>
      <c r="BS17" s="223">
        <v>0</v>
      </c>
      <c r="BT17" s="223">
        <v>0</v>
      </c>
      <c r="BU17" s="223">
        <v>0</v>
      </c>
      <c r="BV17" s="223"/>
      <c r="BW17" s="223">
        <f t="shared" si="18"/>
        <v>0</v>
      </c>
      <c r="BX17" s="83">
        <v>0</v>
      </c>
      <c r="BY17" s="78">
        <f t="shared" si="19"/>
        <v>294606.73000000004</v>
      </c>
      <c r="BZ17" s="70">
        <f t="shared" si="20"/>
        <v>-253992.76</v>
      </c>
      <c r="CA17" s="70">
        <f t="shared" si="21"/>
        <v>40613.97000000003</v>
      </c>
      <c r="CB17" s="71">
        <f t="shared" si="22"/>
        <v>-6980318.7800000003</v>
      </c>
      <c r="CC17" s="270"/>
      <c r="CD17" s="201"/>
      <c r="CE17" s="69">
        <f t="shared" si="12"/>
        <v>40613.97000000003</v>
      </c>
      <c r="CF17" s="71">
        <f t="shared" si="13"/>
        <v>40613.97000000003</v>
      </c>
    </row>
    <row r="18" spans="1:84" s="161" customFormat="1" ht="15" customHeight="1" outlineLevel="1">
      <c r="A18" s="137">
        <v>0</v>
      </c>
      <c r="B18" s="162"/>
      <c r="C18" s="139">
        <v>41913</v>
      </c>
      <c r="D18" s="140">
        <v>0</v>
      </c>
      <c r="E18" s="141">
        <v>0</v>
      </c>
      <c r="F18" s="141">
        <v>0</v>
      </c>
      <c r="G18" s="141">
        <v>0</v>
      </c>
      <c r="H18" s="142">
        <v>0</v>
      </c>
      <c r="I18" s="142">
        <v>0</v>
      </c>
      <c r="J18" s="143">
        <v>0</v>
      </c>
      <c r="K18" s="144">
        <v>0</v>
      </c>
      <c r="L18" s="145">
        <v>0</v>
      </c>
      <c r="M18" s="145">
        <v>0</v>
      </c>
      <c r="N18" s="146">
        <v>0</v>
      </c>
      <c r="O18" s="241">
        <v>0</v>
      </c>
      <c r="P18" s="146">
        <v>0</v>
      </c>
      <c r="Q18" s="146">
        <v>0</v>
      </c>
      <c r="R18" s="147"/>
      <c r="S18" s="147"/>
      <c r="T18" s="147">
        <v>0</v>
      </c>
      <c r="U18" s="147"/>
      <c r="V18" s="147">
        <f t="shared" si="5"/>
        <v>0</v>
      </c>
      <c r="W18" s="147">
        <v>0</v>
      </c>
      <c r="X18" s="147">
        <v>41112.589999999997</v>
      </c>
      <c r="Y18" s="148">
        <v>336906.22</v>
      </c>
      <c r="Z18" s="149">
        <f t="shared" si="6"/>
        <v>3.7541002399544255E-3</v>
      </c>
      <c r="AA18" s="150">
        <v>0</v>
      </c>
      <c r="AB18" s="151">
        <v>0</v>
      </c>
      <c r="AC18" s="204"/>
      <c r="AD18" s="151">
        <v>0</v>
      </c>
      <c r="AE18" s="151">
        <v>0</v>
      </c>
      <c r="AF18" s="204"/>
      <c r="AG18" s="151">
        <v>-51859.519999999997</v>
      </c>
      <c r="AH18" s="193">
        <v>-220301.97</v>
      </c>
      <c r="AI18" s="159">
        <v>0</v>
      </c>
      <c r="AJ18" s="152">
        <v>0</v>
      </c>
      <c r="AK18" s="153">
        <v>-27325.439999999999</v>
      </c>
      <c r="AL18" s="153">
        <v>0</v>
      </c>
      <c r="AM18" s="153">
        <v>0</v>
      </c>
      <c r="AN18" s="154">
        <v>0</v>
      </c>
      <c r="AO18" s="153">
        <v>0</v>
      </c>
      <c r="AP18" s="155">
        <v>-63850</v>
      </c>
      <c r="AQ18" s="157">
        <v>-2653.45</v>
      </c>
      <c r="AR18" s="153">
        <v>0</v>
      </c>
      <c r="AS18" s="153">
        <v>0</v>
      </c>
      <c r="AT18" s="153">
        <v>0</v>
      </c>
      <c r="AU18" s="153">
        <v>0</v>
      </c>
      <c r="AV18" s="156">
        <v>0</v>
      </c>
      <c r="AW18" s="152">
        <v>-1170.19</v>
      </c>
      <c r="AX18" s="152">
        <v>0</v>
      </c>
      <c r="AY18" s="152">
        <v>0</v>
      </c>
      <c r="AZ18" s="156">
        <v>0</v>
      </c>
      <c r="BA18" s="158">
        <v>0</v>
      </c>
      <c r="BB18" s="151">
        <v>0</v>
      </c>
      <c r="BC18" s="151">
        <v>0</v>
      </c>
      <c r="BD18" s="159">
        <v>0</v>
      </c>
      <c r="BE18" s="160"/>
      <c r="BF18" s="145">
        <f t="shared" si="7"/>
        <v>378018.80999999994</v>
      </c>
      <c r="BG18" s="146">
        <f t="shared" si="8"/>
        <v>-367160.57</v>
      </c>
      <c r="BH18" s="146">
        <f t="shared" si="14"/>
        <v>10858.239999999932</v>
      </c>
      <c r="BI18" s="148">
        <f t="shared" si="15"/>
        <v>-6969460.54</v>
      </c>
      <c r="BJ18" s="201">
        <f t="shared" si="16"/>
        <v>56738</v>
      </c>
      <c r="BK18" s="168">
        <f t="shared" si="24"/>
        <v>2022</v>
      </c>
      <c r="BL18" s="173">
        <f t="shared" si="9"/>
        <v>46217630.484584868</v>
      </c>
      <c r="BM18" s="173" t="e">
        <f t="shared" si="10"/>
        <v>#REF!</v>
      </c>
      <c r="BN18" s="173" t="e">
        <f t="shared" si="17"/>
        <v>#REF!</v>
      </c>
      <c r="BO18" s="169" t="e">
        <f t="shared" si="23"/>
        <v>#REF!</v>
      </c>
      <c r="BQ18" s="82">
        <v>0</v>
      </c>
      <c r="BR18" s="223">
        <v>0</v>
      </c>
      <c r="BS18" s="223">
        <v>0</v>
      </c>
      <c r="BT18" s="223">
        <v>0</v>
      </c>
      <c r="BU18" s="223">
        <v>0</v>
      </c>
      <c r="BV18" s="223"/>
      <c r="BW18" s="223">
        <f t="shared" si="18"/>
        <v>0</v>
      </c>
      <c r="BX18" s="83">
        <v>0</v>
      </c>
      <c r="BY18" s="78">
        <f t="shared" si="19"/>
        <v>378018.80999999994</v>
      </c>
      <c r="BZ18" s="70">
        <f t="shared" si="20"/>
        <v>-367160.57</v>
      </c>
      <c r="CA18" s="70">
        <f t="shared" si="21"/>
        <v>10858.239999999932</v>
      </c>
      <c r="CB18" s="71">
        <f t="shared" si="22"/>
        <v>-6969460.54</v>
      </c>
      <c r="CC18" s="270"/>
      <c r="CD18" s="201"/>
      <c r="CE18" s="69">
        <f t="shared" si="12"/>
        <v>10858.239999999932</v>
      </c>
      <c r="CF18" s="71">
        <f t="shared" si="13"/>
        <v>10858.239999999932</v>
      </c>
    </row>
    <row r="19" spans="1:84" s="161" customFormat="1" ht="15" customHeight="1" outlineLevel="1">
      <c r="A19" s="137">
        <v>0</v>
      </c>
      <c r="B19" s="138"/>
      <c r="C19" s="139">
        <v>41944</v>
      </c>
      <c r="D19" s="140">
        <v>0</v>
      </c>
      <c r="E19" s="141">
        <v>0</v>
      </c>
      <c r="F19" s="141">
        <v>0</v>
      </c>
      <c r="G19" s="141">
        <v>0</v>
      </c>
      <c r="H19" s="142">
        <v>0</v>
      </c>
      <c r="I19" s="142">
        <v>0</v>
      </c>
      <c r="J19" s="143">
        <v>0</v>
      </c>
      <c r="K19" s="144">
        <v>0</v>
      </c>
      <c r="L19" s="145">
        <v>0</v>
      </c>
      <c r="M19" s="145">
        <v>0</v>
      </c>
      <c r="N19" s="146">
        <v>0</v>
      </c>
      <c r="O19" s="241">
        <v>0</v>
      </c>
      <c r="P19" s="146">
        <v>0</v>
      </c>
      <c r="Q19" s="146">
        <v>0</v>
      </c>
      <c r="R19" s="147"/>
      <c r="S19" s="147"/>
      <c r="T19" s="147">
        <v>0</v>
      </c>
      <c r="U19" s="147"/>
      <c r="V19" s="147">
        <f t="shared" si="5"/>
        <v>0</v>
      </c>
      <c r="W19" s="147">
        <v>0</v>
      </c>
      <c r="X19" s="147">
        <v>0</v>
      </c>
      <c r="Y19" s="148">
        <v>334185.59999999998</v>
      </c>
      <c r="Z19" s="149">
        <f t="shared" si="6"/>
        <v>3.5554959618880415E-3</v>
      </c>
      <c r="AA19" s="150">
        <v>0</v>
      </c>
      <c r="AB19" s="151">
        <v>0</v>
      </c>
      <c r="AC19" s="204"/>
      <c r="AD19" s="151">
        <v>0</v>
      </c>
      <c r="AE19" s="151">
        <v>0</v>
      </c>
      <c r="AF19" s="204"/>
      <c r="AG19" s="151">
        <v>-37590.5</v>
      </c>
      <c r="AH19" s="193">
        <v>-220172.75</v>
      </c>
      <c r="AI19" s="159">
        <v>0</v>
      </c>
      <c r="AJ19" s="152">
        <v>-6000</v>
      </c>
      <c r="AK19" s="153">
        <v>-19423.36</v>
      </c>
      <c r="AL19" s="153">
        <v>0</v>
      </c>
      <c r="AM19" s="153">
        <v>0</v>
      </c>
      <c r="AN19" s="154">
        <v>0</v>
      </c>
      <c r="AO19" s="153">
        <v>0</v>
      </c>
      <c r="AP19" s="155">
        <v>-44398</v>
      </c>
      <c r="AQ19" s="157">
        <v>-1000</v>
      </c>
      <c r="AR19" s="153">
        <v>0</v>
      </c>
      <c r="AS19" s="153">
        <v>0</v>
      </c>
      <c r="AT19" s="153">
        <v>-2067.4299999999998</v>
      </c>
      <c r="AU19" s="153">
        <v>0</v>
      </c>
      <c r="AV19" s="156">
        <v>0</v>
      </c>
      <c r="AW19" s="152">
        <v>-856.52</v>
      </c>
      <c r="AX19" s="152">
        <v>0</v>
      </c>
      <c r="AY19" s="152">
        <v>0</v>
      </c>
      <c r="AZ19" s="156">
        <v>0</v>
      </c>
      <c r="BA19" s="158">
        <v>0</v>
      </c>
      <c r="BB19" s="151">
        <v>0</v>
      </c>
      <c r="BC19" s="151">
        <v>0</v>
      </c>
      <c r="BD19" s="159">
        <v>-30000</v>
      </c>
      <c r="BE19" s="160"/>
      <c r="BF19" s="145">
        <f t="shared" si="7"/>
        <v>334185.59999999998</v>
      </c>
      <c r="BG19" s="146">
        <f t="shared" si="8"/>
        <v>-361508.56</v>
      </c>
      <c r="BH19" s="146">
        <f t="shared" si="14"/>
        <v>-27322.960000000021</v>
      </c>
      <c r="BI19" s="148">
        <f t="shared" si="15"/>
        <v>-6996783.5</v>
      </c>
      <c r="BJ19" s="201">
        <f t="shared" si="16"/>
        <v>29415.040000000037</v>
      </c>
      <c r="BK19" s="168">
        <f t="shared" si="24"/>
        <v>2023</v>
      </c>
      <c r="BL19" s="173">
        <f t="shared" si="9"/>
        <v>44413686.492121972</v>
      </c>
      <c r="BM19" s="173" t="e">
        <f t="shared" si="10"/>
        <v>#REF!</v>
      </c>
      <c r="BN19" s="173" t="e">
        <f t="shared" si="17"/>
        <v>#REF!</v>
      </c>
      <c r="BO19" s="169" t="e">
        <f t="shared" si="23"/>
        <v>#REF!</v>
      </c>
      <c r="BQ19" s="82">
        <v>0</v>
      </c>
      <c r="BR19" s="223">
        <v>0</v>
      </c>
      <c r="BS19" s="223">
        <v>0</v>
      </c>
      <c r="BT19" s="223">
        <v>0</v>
      </c>
      <c r="BU19" s="223">
        <v>0</v>
      </c>
      <c r="BV19" s="223"/>
      <c r="BW19" s="223">
        <f t="shared" si="18"/>
        <v>0</v>
      </c>
      <c r="BX19" s="83">
        <v>0</v>
      </c>
      <c r="BY19" s="78">
        <f t="shared" si="19"/>
        <v>334185.59999999998</v>
      </c>
      <c r="BZ19" s="70">
        <f t="shared" si="20"/>
        <v>-361508.56</v>
      </c>
      <c r="CA19" s="70">
        <f t="shared" si="21"/>
        <v>-27322.960000000021</v>
      </c>
      <c r="CB19" s="71">
        <f t="shared" si="22"/>
        <v>-6996783.5</v>
      </c>
      <c r="CC19" s="270"/>
      <c r="CD19" s="201"/>
      <c r="CE19" s="69">
        <f t="shared" si="12"/>
        <v>-27322.960000000021</v>
      </c>
      <c r="CF19" s="71">
        <f t="shared" si="13"/>
        <v>-27322.960000000021</v>
      </c>
    </row>
    <row r="20" spans="1:84" s="161" customFormat="1" ht="15" customHeight="1" outlineLevel="1">
      <c r="A20" s="137">
        <v>0</v>
      </c>
      <c r="B20" s="138" t="s">
        <v>7</v>
      </c>
      <c r="C20" s="139">
        <v>41974</v>
      </c>
      <c r="D20" s="140">
        <v>0</v>
      </c>
      <c r="E20" s="141">
        <v>41</v>
      </c>
      <c r="F20" s="141">
        <v>0</v>
      </c>
      <c r="G20" s="141">
        <v>57</v>
      </c>
      <c r="H20" s="180">
        <v>3194201.4499999988</v>
      </c>
      <c r="I20" s="142">
        <v>0</v>
      </c>
      <c r="J20" s="143">
        <v>0</v>
      </c>
      <c r="K20" s="144">
        <v>0</v>
      </c>
      <c r="L20" s="145">
        <v>0</v>
      </c>
      <c r="M20" s="145">
        <v>0</v>
      </c>
      <c r="N20" s="146">
        <v>0</v>
      </c>
      <c r="O20" s="241">
        <v>0</v>
      </c>
      <c r="P20" s="146">
        <v>0</v>
      </c>
      <c r="Q20" s="146">
        <v>0</v>
      </c>
      <c r="R20" s="147"/>
      <c r="S20" s="147"/>
      <c r="T20" s="147">
        <v>0</v>
      </c>
      <c r="U20" s="147"/>
      <c r="V20" s="147">
        <f t="shared" si="5"/>
        <v>0</v>
      </c>
      <c r="W20" s="147">
        <v>0</v>
      </c>
      <c r="X20" s="147">
        <v>30000</v>
      </c>
      <c r="Y20" s="148">
        <v>143859.64000000001</v>
      </c>
      <c r="Z20" s="149">
        <f t="shared" si="6"/>
        <v>1.0117109579820822E-3</v>
      </c>
      <c r="AA20" s="150">
        <v>0</v>
      </c>
      <c r="AB20" s="151">
        <v>0</v>
      </c>
      <c r="AC20" s="204"/>
      <c r="AD20" s="151">
        <v>0</v>
      </c>
      <c r="AE20" s="151">
        <v>0</v>
      </c>
      <c r="AF20" s="204"/>
      <c r="AG20" s="151">
        <v>-53346.14</v>
      </c>
      <c r="AH20" s="193">
        <v>-20000</v>
      </c>
      <c r="AI20" s="159">
        <v>0</v>
      </c>
      <c r="AJ20" s="152">
        <v>-10380</v>
      </c>
      <c r="AK20" s="153">
        <v>-12393.67</v>
      </c>
      <c r="AL20" s="153">
        <v>0</v>
      </c>
      <c r="AM20" s="153">
        <v>0</v>
      </c>
      <c r="AN20" s="154">
        <v>0</v>
      </c>
      <c r="AO20" s="153">
        <v>0</v>
      </c>
      <c r="AP20" s="155">
        <v>-31120</v>
      </c>
      <c r="AQ20" s="157">
        <v>-144.80000000000001</v>
      </c>
      <c r="AR20" s="153">
        <v>0</v>
      </c>
      <c r="AS20" s="153">
        <v>0</v>
      </c>
      <c r="AT20" s="153">
        <v>0</v>
      </c>
      <c r="AU20" s="153">
        <v>0</v>
      </c>
      <c r="AV20" s="156">
        <v>0</v>
      </c>
      <c r="AW20" s="152">
        <v>-755.61</v>
      </c>
      <c r="AX20" s="152">
        <v>0</v>
      </c>
      <c r="AY20" s="152">
        <v>0</v>
      </c>
      <c r="AZ20" s="156">
        <v>0</v>
      </c>
      <c r="BA20" s="158">
        <v>0</v>
      </c>
      <c r="BB20" s="151">
        <v>0</v>
      </c>
      <c r="BC20" s="151">
        <v>0</v>
      </c>
      <c r="BD20" s="159">
        <v>-6834.67</v>
      </c>
      <c r="BE20" s="160"/>
      <c r="BF20" s="145">
        <f t="shared" si="7"/>
        <v>173859.64</v>
      </c>
      <c r="BG20" s="146">
        <f t="shared" si="8"/>
        <v>-134974.89000000001</v>
      </c>
      <c r="BH20" s="146">
        <f t="shared" si="14"/>
        <v>38884.75</v>
      </c>
      <c r="BI20" s="148">
        <f t="shared" si="15"/>
        <v>-6957898.75</v>
      </c>
      <c r="BJ20" s="201">
        <f t="shared" si="16"/>
        <v>68299.790000000037</v>
      </c>
      <c r="BK20" s="168">
        <f t="shared" si="24"/>
        <v>2024</v>
      </c>
      <c r="BL20" s="173">
        <f t="shared" si="9"/>
        <v>42316319.264463358</v>
      </c>
      <c r="BM20" s="173" t="e">
        <f t="shared" si="10"/>
        <v>#REF!</v>
      </c>
      <c r="BN20" s="173" t="e">
        <f t="shared" si="17"/>
        <v>#REF!</v>
      </c>
      <c r="BO20" s="169" t="e">
        <f t="shared" si="23"/>
        <v>#REF!</v>
      </c>
      <c r="BQ20" s="82">
        <v>0</v>
      </c>
      <c r="BR20" s="223">
        <v>0</v>
      </c>
      <c r="BS20" s="223">
        <v>0</v>
      </c>
      <c r="BT20" s="223">
        <v>0</v>
      </c>
      <c r="BU20" s="223">
        <v>0</v>
      </c>
      <c r="BV20" s="223"/>
      <c r="BW20" s="223">
        <f t="shared" si="18"/>
        <v>0</v>
      </c>
      <c r="BX20" s="83">
        <v>0</v>
      </c>
      <c r="BY20" s="78">
        <f t="shared" si="19"/>
        <v>173859.64</v>
      </c>
      <c r="BZ20" s="70">
        <f t="shared" si="20"/>
        <v>-134974.89000000001</v>
      </c>
      <c r="CA20" s="70">
        <f t="shared" si="21"/>
        <v>38884.75</v>
      </c>
      <c r="CB20" s="71">
        <f t="shared" si="22"/>
        <v>-6957898.75</v>
      </c>
      <c r="CC20" s="270"/>
      <c r="CD20" s="201"/>
      <c r="CE20" s="69">
        <f t="shared" si="12"/>
        <v>38884.75</v>
      </c>
      <c r="CF20" s="71">
        <f t="shared" si="13"/>
        <v>38884.75</v>
      </c>
    </row>
    <row r="21" spans="1:84" s="161" customFormat="1" ht="15" customHeight="1" outlineLevel="1">
      <c r="A21" s="137">
        <v>0</v>
      </c>
      <c r="B21" s="138"/>
      <c r="C21" s="139">
        <v>42005</v>
      </c>
      <c r="D21" s="140">
        <v>0</v>
      </c>
      <c r="E21" s="141">
        <v>54</v>
      </c>
      <c r="F21" s="141">
        <v>0</v>
      </c>
      <c r="G21" s="141">
        <v>72</v>
      </c>
      <c r="H21" s="180">
        <v>4293670.2700000051</v>
      </c>
      <c r="I21" s="142">
        <v>0</v>
      </c>
      <c r="J21" s="143">
        <v>0</v>
      </c>
      <c r="K21" s="144">
        <v>0</v>
      </c>
      <c r="L21" s="145">
        <v>0</v>
      </c>
      <c r="M21" s="145">
        <v>0</v>
      </c>
      <c r="N21" s="146">
        <v>22762.720000000001</v>
      </c>
      <c r="O21" s="241">
        <v>0</v>
      </c>
      <c r="P21" s="146">
        <v>0</v>
      </c>
      <c r="Q21" s="146">
        <v>0</v>
      </c>
      <c r="R21" s="147"/>
      <c r="S21" s="147"/>
      <c r="T21" s="147">
        <v>37.380000000000003</v>
      </c>
      <c r="U21" s="147"/>
      <c r="V21" s="147">
        <f t="shared" si="5"/>
        <v>22800.100000000002</v>
      </c>
      <c r="W21" s="147">
        <v>0</v>
      </c>
      <c r="X21" s="147">
        <v>0</v>
      </c>
      <c r="Y21" s="148">
        <v>106536.84</v>
      </c>
      <c r="Z21" s="149">
        <f t="shared" si="6"/>
        <v>6.1989806378099656E-4</v>
      </c>
      <c r="AA21" s="150">
        <v>0</v>
      </c>
      <c r="AB21" s="151">
        <v>-1275</v>
      </c>
      <c r="AC21" s="204"/>
      <c r="AD21" s="151">
        <v>0</v>
      </c>
      <c r="AE21" s="151">
        <v>0</v>
      </c>
      <c r="AF21" s="204"/>
      <c r="AG21" s="151">
        <v>-42180.83</v>
      </c>
      <c r="AH21" s="193">
        <v>-1485</v>
      </c>
      <c r="AI21" s="159">
        <v>0</v>
      </c>
      <c r="AJ21" s="152">
        <v>-10124</v>
      </c>
      <c r="AK21" s="153">
        <v>-7680.33</v>
      </c>
      <c r="AL21" s="153">
        <v>0</v>
      </c>
      <c r="AM21" s="153">
        <v>0</v>
      </c>
      <c r="AN21" s="154">
        <v>0</v>
      </c>
      <c r="AO21" s="153">
        <v>0</v>
      </c>
      <c r="AP21" s="155">
        <v>-59703.96</v>
      </c>
      <c r="AQ21" s="157">
        <v>-1250</v>
      </c>
      <c r="AR21" s="153">
        <v>0</v>
      </c>
      <c r="AS21" s="153">
        <v>0</v>
      </c>
      <c r="AT21" s="153">
        <v>0</v>
      </c>
      <c r="AU21" s="153">
        <v>0</v>
      </c>
      <c r="AV21" s="156">
        <v>0</v>
      </c>
      <c r="AW21" s="152">
        <v>-2488.6999999999998</v>
      </c>
      <c r="AX21" s="152">
        <v>0</v>
      </c>
      <c r="AY21" s="152">
        <v>0</v>
      </c>
      <c r="AZ21" s="156">
        <v>0</v>
      </c>
      <c r="BA21" s="158">
        <v>0</v>
      </c>
      <c r="BB21" s="151">
        <v>0</v>
      </c>
      <c r="BC21" s="151">
        <v>0</v>
      </c>
      <c r="BD21" s="159">
        <v>0</v>
      </c>
      <c r="BE21" s="160"/>
      <c r="BF21" s="145">
        <f t="shared" si="7"/>
        <v>129336.94</v>
      </c>
      <c r="BG21" s="146">
        <f t="shared" si="8"/>
        <v>-126187.81999999999</v>
      </c>
      <c r="BH21" s="146">
        <f t="shared" si="14"/>
        <v>3149.1200000000099</v>
      </c>
      <c r="BI21" s="148">
        <f t="shared" si="15"/>
        <v>-6954749.6299999999</v>
      </c>
      <c r="BJ21" s="201">
        <f t="shared" si="16"/>
        <v>71448.910000000149</v>
      </c>
      <c r="BK21" s="168">
        <f t="shared" si="24"/>
        <v>2025</v>
      </c>
      <c r="BL21" s="173">
        <f t="shared" si="9"/>
        <v>32113099.393410586</v>
      </c>
      <c r="BM21" s="173" t="e">
        <f t="shared" si="10"/>
        <v>#REF!</v>
      </c>
      <c r="BN21" s="173" t="e">
        <f t="shared" si="17"/>
        <v>#REF!</v>
      </c>
      <c r="BO21" s="169" t="e">
        <f t="shared" si="23"/>
        <v>#REF!</v>
      </c>
      <c r="BQ21" s="82">
        <v>0</v>
      </c>
      <c r="BR21" s="223">
        <v>0</v>
      </c>
      <c r="BS21" s="223">
        <v>0</v>
      </c>
      <c r="BT21" s="223">
        <v>0</v>
      </c>
      <c r="BU21" s="223">
        <v>0</v>
      </c>
      <c r="BV21" s="223"/>
      <c r="BW21" s="223">
        <f t="shared" si="18"/>
        <v>0</v>
      </c>
      <c r="BX21" s="83">
        <v>0</v>
      </c>
      <c r="BY21" s="78">
        <f t="shared" si="19"/>
        <v>129336.94</v>
      </c>
      <c r="BZ21" s="70">
        <f t="shared" si="20"/>
        <v>-126187.81999999999</v>
      </c>
      <c r="CA21" s="70">
        <f t="shared" si="21"/>
        <v>3149.1200000000099</v>
      </c>
      <c r="CB21" s="71">
        <f t="shared" si="22"/>
        <v>-6954749.6299999999</v>
      </c>
      <c r="CC21" s="270"/>
      <c r="CD21" s="201"/>
      <c r="CE21" s="69">
        <f t="shared" si="12"/>
        <v>3149.1200000000099</v>
      </c>
      <c r="CF21" s="71">
        <f t="shared" si="13"/>
        <v>3149.1200000000099</v>
      </c>
    </row>
    <row r="22" spans="1:84" s="161" customFormat="1" ht="15" customHeight="1" outlineLevel="1">
      <c r="A22" s="137">
        <v>0</v>
      </c>
      <c r="B22" s="138"/>
      <c r="C22" s="139">
        <v>42036</v>
      </c>
      <c r="D22" s="140">
        <v>0</v>
      </c>
      <c r="E22" s="141">
        <v>27</v>
      </c>
      <c r="F22" s="141">
        <v>0</v>
      </c>
      <c r="G22" s="141">
        <v>22</v>
      </c>
      <c r="H22" s="180">
        <v>1623277.52</v>
      </c>
      <c r="I22" s="142">
        <v>0</v>
      </c>
      <c r="J22" s="143">
        <v>0</v>
      </c>
      <c r="K22" s="144">
        <v>0</v>
      </c>
      <c r="L22" s="145">
        <v>0</v>
      </c>
      <c r="M22" s="145">
        <v>0</v>
      </c>
      <c r="N22" s="146">
        <v>68289.210000000006</v>
      </c>
      <c r="O22" s="241">
        <v>0</v>
      </c>
      <c r="P22" s="146">
        <v>0</v>
      </c>
      <c r="Q22" s="146">
        <v>0</v>
      </c>
      <c r="R22" s="147"/>
      <c r="S22" s="147"/>
      <c r="T22" s="147">
        <v>192.54</v>
      </c>
      <c r="U22" s="147"/>
      <c r="V22" s="147">
        <f t="shared" si="5"/>
        <v>68481.75</v>
      </c>
      <c r="W22" s="147">
        <v>0</v>
      </c>
      <c r="X22" s="147">
        <v>40000</v>
      </c>
      <c r="Y22" s="148">
        <v>171915.91</v>
      </c>
      <c r="Z22" s="149">
        <f t="shared" si="6"/>
        <v>5.8492798939119338E-4</v>
      </c>
      <c r="AA22" s="150">
        <v>0</v>
      </c>
      <c r="AB22" s="151">
        <v>-8277.2199999999993</v>
      </c>
      <c r="AC22" s="204"/>
      <c r="AD22" s="151">
        <v>0</v>
      </c>
      <c r="AE22" s="151">
        <v>0</v>
      </c>
      <c r="AF22" s="204"/>
      <c r="AG22" s="151">
        <v>-34085</v>
      </c>
      <c r="AH22" s="193">
        <v>-43.38</v>
      </c>
      <c r="AI22" s="159">
        <v>0</v>
      </c>
      <c r="AJ22" s="152">
        <v>-6290</v>
      </c>
      <c r="AK22" s="153">
        <v>-12559.04</v>
      </c>
      <c r="AL22" s="153">
        <v>-77739.839999999997</v>
      </c>
      <c r="AM22" s="153">
        <v>0</v>
      </c>
      <c r="AN22" s="154">
        <v>0</v>
      </c>
      <c r="AO22" s="153">
        <v>-20000</v>
      </c>
      <c r="AP22" s="155">
        <v>-136044.76</v>
      </c>
      <c r="AQ22" s="157">
        <v>-483.6</v>
      </c>
      <c r="AR22" s="153">
        <v>0</v>
      </c>
      <c r="AS22" s="153">
        <v>0</v>
      </c>
      <c r="AT22" s="153">
        <v>-13142.08</v>
      </c>
      <c r="AU22" s="153">
        <v>0</v>
      </c>
      <c r="AV22" s="156">
        <v>0</v>
      </c>
      <c r="AW22" s="152">
        <v>-6153.63</v>
      </c>
      <c r="AX22" s="152">
        <v>0</v>
      </c>
      <c r="AY22" s="152">
        <v>-830.84</v>
      </c>
      <c r="AZ22" s="156">
        <v>0</v>
      </c>
      <c r="BA22" s="158">
        <v>0</v>
      </c>
      <c r="BB22" s="151">
        <v>0</v>
      </c>
      <c r="BC22" s="151">
        <v>0</v>
      </c>
      <c r="BD22" s="159">
        <v>0</v>
      </c>
      <c r="BE22" s="160"/>
      <c r="BF22" s="145">
        <f t="shared" si="7"/>
        <v>280397.66000000003</v>
      </c>
      <c r="BG22" s="146">
        <f t="shared" si="8"/>
        <v>-315649.39</v>
      </c>
      <c r="BH22" s="146">
        <f t="shared" si="14"/>
        <v>-35251.729999999981</v>
      </c>
      <c r="BI22" s="148">
        <f t="shared" si="15"/>
        <v>-6990001.3599999994</v>
      </c>
      <c r="BJ22" s="201">
        <f t="shared" si="16"/>
        <v>36197.180000000633</v>
      </c>
      <c r="BK22" s="168">
        <f t="shared" si="24"/>
        <v>2026</v>
      </c>
      <c r="BL22" s="173">
        <f t="shared" si="9"/>
        <v>12337893.205702819</v>
      </c>
      <c r="BM22" s="173" t="e">
        <f t="shared" si="10"/>
        <v>#REF!</v>
      </c>
      <c r="BN22" s="173" t="e">
        <f t="shared" si="17"/>
        <v>#REF!</v>
      </c>
      <c r="BO22" s="169" t="e">
        <f t="shared" si="23"/>
        <v>#REF!</v>
      </c>
      <c r="BQ22" s="82">
        <v>0</v>
      </c>
      <c r="BR22" s="223">
        <v>0</v>
      </c>
      <c r="BS22" s="223">
        <v>0</v>
      </c>
      <c r="BT22" s="223">
        <v>0</v>
      </c>
      <c r="BU22" s="223">
        <v>0</v>
      </c>
      <c r="BV22" s="223"/>
      <c r="BW22" s="223">
        <f t="shared" si="18"/>
        <v>0</v>
      </c>
      <c r="BX22" s="83">
        <v>0</v>
      </c>
      <c r="BY22" s="78">
        <f t="shared" si="19"/>
        <v>280397.66000000003</v>
      </c>
      <c r="BZ22" s="70">
        <f t="shared" si="20"/>
        <v>-315649.39</v>
      </c>
      <c r="CA22" s="70">
        <f t="shared" si="21"/>
        <v>-35251.729999999981</v>
      </c>
      <c r="CB22" s="71">
        <f t="shared" si="22"/>
        <v>-6990001.3599999994</v>
      </c>
      <c r="CC22" s="270"/>
      <c r="CD22" s="201"/>
      <c r="CE22" s="69">
        <f t="shared" si="12"/>
        <v>-35251.729999999981</v>
      </c>
      <c r="CF22" s="71">
        <f t="shared" si="13"/>
        <v>-35251.729999999981</v>
      </c>
    </row>
    <row r="23" spans="1:84" s="161" customFormat="1" ht="15" customHeight="1" outlineLevel="1">
      <c r="A23" s="137">
        <v>0</v>
      </c>
      <c r="B23" s="138"/>
      <c r="C23" s="139">
        <v>42064</v>
      </c>
      <c r="D23" s="140">
        <v>0</v>
      </c>
      <c r="E23" s="141">
        <v>7</v>
      </c>
      <c r="F23" s="141">
        <v>0</v>
      </c>
      <c r="G23" s="141">
        <v>9</v>
      </c>
      <c r="H23" s="180">
        <v>544488</v>
      </c>
      <c r="I23" s="142">
        <v>0</v>
      </c>
      <c r="J23" s="143">
        <v>0</v>
      </c>
      <c r="K23" s="144">
        <v>0</v>
      </c>
      <c r="L23" s="145">
        <v>0</v>
      </c>
      <c r="M23" s="145">
        <v>0</v>
      </c>
      <c r="N23" s="146">
        <v>187309.38</v>
      </c>
      <c r="O23" s="241">
        <v>0</v>
      </c>
      <c r="P23" s="146">
        <v>0</v>
      </c>
      <c r="Q23" s="146">
        <v>0</v>
      </c>
      <c r="R23" s="147"/>
      <c r="S23" s="147"/>
      <c r="T23" s="147">
        <v>1073.48</v>
      </c>
      <c r="U23" s="147"/>
      <c r="V23" s="147">
        <f t="shared" si="5"/>
        <v>188382.86000000002</v>
      </c>
      <c r="W23" s="147">
        <v>0</v>
      </c>
      <c r="X23" s="147">
        <v>0</v>
      </c>
      <c r="Y23" s="148">
        <v>361130.16</v>
      </c>
      <c r="Z23" s="149">
        <f t="shared" si="6"/>
        <v>6.9120226657400888E-4</v>
      </c>
      <c r="AA23" s="150">
        <v>0</v>
      </c>
      <c r="AB23" s="151">
        <v>-9603.18</v>
      </c>
      <c r="AC23" s="204"/>
      <c r="AD23" s="151">
        <v>0</v>
      </c>
      <c r="AE23" s="151">
        <v>0</v>
      </c>
      <c r="AF23" s="204"/>
      <c r="AG23" s="151">
        <v>-40507</v>
      </c>
      <c r="AH23" s="193">
        <v>0</v>
      </c>
      <c r="AI23" s="159">
        <v>0</v>
      </c>
      <c r="AJ23" s="152">
        <v>-6000</v>
      </c>
      <c r="AK23" s="153">
        <v>-10026.14</v>
      </c>
      <c r="AL23" s="153">
        <v>-147088.76999999999</v>
      </c>
      <c r="AM23" s="153">
        <v>0</v>
      </c>
      <c r="AN23" s="154">
        <v>0</v>
      </c>
      <c r="AO23" s="153">
        <v>0</v>
      </c>
      <c r="AP23" s="155">
        <v>-150712.89000000001</v>
      </c>
      <c r="AQ23" s="157">
        <v>0</v>
      </c>
      <c r="AR23" s="153">
        <v>0</v>
      </c>
      <c r="AS23" s="153">
        <v>0</v>
      </c>
      <c r="AT23" s="153">
        <v>-24511.16</v>
      </c>
      <c r="AU23" s="153">
        <v>-4973.2</v>
      </c>
      <c r="AV23" s="156">
        <v>0</v>
      </c>
      <c r="AW23" s="152">
        <v>-872.34</v>
      </c>
      <c r="AX23" s="152">
        <v>0</v>
      </c>
      <c r="AY23" s="152">
        <v>-2492.56</v>
      </c>
      <c r="AZ23" s="156">
        <v>0</v>
      </c>
      <c r="BA23" s="158">
        <v>0</v>
      </c>
      <c r="BB23" s="151">
        <v>0</v>
      </c>
      <c r="BC23" s="151">
        <v>0</v>
      </c>
      <c r="BD23" s="159">
        <v>-40000</v>
      </c>
      <c r="BE23" s="160"/>
      <c r="BF23" s="145">
        <f t="shared" si="7"/>
        <v>549513.02</v>
      </c>
      <c r="BG23" s="146">
        <f t="shared" si="8"/>
        <v>-436787.24</v>
      </c>
      <c r="BH23" s="146">
        <f t="shared" si="14"/>
        <v>112725.78000000003</v>
      </c>
      <c r="BI23" s="148">
        <f t="shared" si="15"/>
        <v>-6877275.5799999991</v>
      </c>
      <c r="BJ23" s="201">
        <f t="shared" si="16"/>
        <v>148922.96000000089</v>
      </c>
      <c r="BK23" s="168">
        <f t="shared" si="24"/>
        <v>2027</v>
      </c>
      <c r="BL23" s="173">
        <f t="shared" si="9"/>
        <v>3074450.0336158741</v>
      </c>
      <c r="BM23" s="173" t="e">
        <f t="shared" si="10"/>
        <v>#REF!</v>
      </c>
      <c r="BN23" s="173" t="e">
        <f t="shared" si="17"/>
        <v>#REF!</v>
      </c>
      <c r="BO23" s="169" t="e">
        <f t="shared" si="23"/>
        <v>#REF!</v>
      </c>
      <c r="BQ23" s="82">
        <v>0</v>
      </c>
      <c r="BR23" s="223">
        <v>0</v>
      </c>
      <c r="BS23" s="223">
        <v>0</v>
      </c>
      <c r="BT23" s="223">
        <v>0</v>
      </c>
      <c r="BU23" s="223">
        <v>0</v>
      </c>
      <c r="BV23" s="223"/>
      <c r="BW23" s="223">
        <f t="shared" si="18"/>
        <v>0</v>
      </c>
      <c r="BX23" s="83">
        <v>0</v>
      </c>
      <c r="BY23" s="78">
        <f t="shared" si="19"/>
        <v>549513.02</v>
      </c>
      <c r="BZ23" s="70">
        <f t="shared" si="20"/>
        <v>-436787.24</v>
      </c>
      <c r="CA23" s="70">
        <f t="shared" si="21"/>
        <v>112725.78000000003</v>
      </c>
      <c r="CB23" s="71">
        <f t="shared" si="22"/>
        <v>-6877275.5799999991</v>
      </c>
      <c r="CC23" s="270"/>
      <c r="CD23" s="201"/>
      <c r="CE23" s="69">
        <f t="shared" si="12"/>
        <v>112725.78000000003</v>
      </c>
      <c r="CF23" s="71">
        <f t="shared" si="13"/>
        <v>112725.78000000003</v>
      </c>
    </row>
    <row r="24" spans="1:84" s="161" customFormat="1" ht="15" customHeight="1" outlineLevel="1">
      <c r="A24" s="137">
        <v>0</v>
      </c>
      <c r="B24" s="138"/>
      <c r="C24" s="139">
        <v>42095</v>
      </c>
      <c r="D24" s="140">
        <v>0</v>
      </c>
      <c r="E24" s="141">
        <v>18</v>
      </c>
      <c r="F24" s="141">
        <v>0</v>
      </c>
      <c r="G24" s="141">
        <v>26</v>
      </c>
      <c r="H24" s="180">
        <v>1575588.1900000004</v>
      </c>
      <c r="I24" s="142">
        <v>0</v>
      </c>
      <c r="J24" s="143">
        <v>0</v>
      </c>
      <c r="K24" s="144">
        <v>0</v>
      </c>
      <c r="L24" s="145">
        <v>0</v>
      </c>
      <c r="M24" s="145">
        <v>0</v>
      </c>
      <c r="N24" s="146">
        <v>237247.2</v>
      </c>
      <c r="O24" s="241">
        <v>0</v>
      </c>
      <c r="P24" s="146">
        <v>0</v>
      </c>
      <c r="Q24" s="146">
        <v>0</v>
      </c>
      <c r="R24" s="147"/>
      <c r="S24" s="147"/>
      <c r="T24" s="147">
        <v>1678.86</v>
      </c>
      <c r="U24" s="147"/>
      <c r="V24" s="147">
        <f t="shared" si="5"/>
        <v>238926.06</v>
      </c>
      <c r="W24" s="147">
        <v>0</v>
      </c>
      <c r="X24" s="147">
        <v>4948.26</v>
      </c>
      <c r="Y24" s="148">
        <v>148490.03999999998</v>
      </c>
      <c r="Z24" s="149">
        <f t="shared" si="6"/>
        <v>6.9491593086796523E-4</v>
      </c>
      <c r="AA24" s="150">
        <v>0</v>
      </c>
      <c r="AB24" s="151">
        <v>-3551.4000000000015</v>
      </c>
      <c r="AC24" s="204"/>
      <c r="AD24" s="151">
        <v>0</v>
      </c>
      <c r="AE24" s="151">
        <v>0</v>
      </c>
      <c r="AF24" s="204"/>
      <c r="AG24" s="151">
        <v>-46828.01</v>
      </c>
      <c r="AH24" s="193">
        <v>0</v>
      </c>
      <c r="AI24" s="159">
        <v>0</v>
      </c>
      <c r="AJ24" s="152">
        <v>-6000</v>
      </c>
      <c r="AK24" s="153">
        <v>-7071.64</v>
      </c>
      <c r="AL24" s="153">
        <v>-110158.26</v>
      </c>
      <c r="AM24" s="153">
        <v>-6392.22</v>
      </c>
      <c r="AN24" s="154">
        <v>0</v>
      </c>
      <c r="AO24" s="153">
        <v>-168237.34</v>
      </c>
      <c r="AP24" s="155">
        <v>-118783.71</v>
      </c>
      <c r="AQ24" s="157">
        <v>-4875.2</v>
      </c>
      <c r="AR24" s="153">
        <v>0</v>
      </c>
      <c r="AS24" s="153">
        <v>0</v>
      </c>
      <c r="AT24" s="153">
        <v>-30265.88</v>
      </c>
      <c r="AU24" s="153">
        <v>-3500.45</v>
      </c>
      <c r="AV24" s="156">
        <v>0</v>
      </c>
      <c r="AW24" s="152">
        <v>-2363.12</v>
      </c>
      <c r="AX24" s="152">
        <v>0</v>
      </c>
      <c r="AY24" s="152">
        <v>-9056.6</v>
      </c>
      <c r="AZ24" s="156">
        <v>0</v>
      </c>
      <c r="BA24" s="158">
        <v>0</v>
      </c>
      <c r="BB24" s="151">
        <v>0</v>
      </c>
      <c r="BC24" s="151">
        <v>0</v>
      </c>
      <c r="BD24" s="159">
        <v>-4948.26</v>
      </c>
      <c r="BE24" s="160"/>
      <c r="BF24" s="145">
        <f t="shared" si="7"/>
        <v>392364.36</v>
      </c>
      <c r="BG24" s="146">
        <f t="shared" si="8"/>
        <v>-522032.09</v>
      </c>
      <c r="BH24" s="146">
        <f t="shared" si="14"/>
        <v>-129667.73000000004</v>
      </c>
      <c r="BI24" s="148">
        <f t="shared" si="15"/>
        <v>-7006943.3099999996</v>
      </c>
      <c r="BJ24" s="201">
        <f t="shared" si="16"/>
        <v>19255.230000000447</v>
      </c>
      <c r="BK24" s="168">
        <f t="shared" si="24"/>
        <v>2028</v>
      </c>
      <c r="BL24" s="173">
        <f t="shared" si="9"/>
        <v>179206.90808285607</v>
      </c>
      <c r="BM24" s="173" t="e">
        <f t="shared" si="10"/>
        <v>#REF!</v>
      </c>
      <c r="BN24" s="173" t="e">
        <f t="shared" si="17"/>
        <v>#REF!</v>
      </c>
      <c r="BO24" s="169" t="e">
        <f t="shared" si="23"/>
        <v>#REF!</v>
      </c>
      <c r="BQ24" s="82">
        <v>0</v>
      </c>
      <c r="BR24" s="223">
        <v>0</v>
      </c>
      <c r="BS24" s="223">
        <v>0</v>
      </c>
      <c r="BT24" s="223">
        <v>0</v>
      </c>
      <c r="BU24" s="223">
        <v>0</v>
      </c>
      <c r="BV24" s="223"/>
      <c r="BW24" s="223">
        <f t="shared" si="18"/>
        <v>0</v>
      </c>
      <c r="BX24" s="83">
        <v>0</v>
      </c>
      <c r="BY24" s="78">
        <f t="shared" si="19"/>
        <v>392364.36</v>
      </c>
      <c r="BZ24" s="70">
        <f t="shared" si="20"/>
        <v>-522032.09</v>
      </c>
      <c r="CA24" s="70">
        <f t="shared" si="21"/>
        <v>-129667.73000000004</v>
      </c>
      <c r="CB24" s="71">
        <f t="shared" si="22"/>
        <v>-7006943.3099999996</v>
      </c>
      <c r="CC24" s="270"/>
      <c r="CD24" s="201"/>
      <c r="CE24" s="69">
        <f t="shared" si="12"/>
        <v>-129667.73000000004</v>
      </c>
      <c r="CF24" s="71">
        <f t="shared" si="13"/>
        <v>-129667.73000000004</v>
      </c>
    </row>
    <row r="25" spans="1:84" s="161" customFormat="1" ht="15" customHeight="1" outlineLevel="1">
      <c r="A25" s="137">
        <v>0</v>
      </c>
      <c r="B25" s="138"/>
      <c r="C25" s="139">
        <v>42125</v>
      </c>
      <c r="D25" s="140">
        <v>0</v>
      </c>
      <c r="E25" s="141">
        <v>4</v>
      </c>
      <c r="F25" s="141">
        <v>0</v>
      </c>
      <c r="G25" s="141">
        <v>1</v>
      </c>
      <c r="H25" s="142">
        <v>162965.89000000001</v>
      </c>
      <c r="I25" s="142">
        <v>0</v>
      </c>
      <c r="J25" s="143">
        <v>0</v>
      </c>
      <c r="K25" s="144">
        <v>0</v>
      </c>
      <c r="L25" s="145">
        <v>0</v>
      </c>
      <c r="M25" s="145">
        <v>0</v>
      </c>
      <c r="N25" s="146">
        <v>273491.18</v>
      </c>
      <c r="O25" s="241">
        <v>0</v>
      </c>
      <c r="P25" s="146">
        <v>0</v>
      </c>
      <c r="Q25" s="146">
        <v>0</v>
      </c>
      <c r="R25" s="147"/>
      <c r="S25" s="147"/>
      <c r="T25" s="147">
        <v>2569.7799999999997</v>
      </c>
      <c r="U25" s="147"/>
      <c r="V25" s="147">
        <f t="shared" si="5"/>
        <v>276060.96000000002</v>
      </c>
      <c r="W25" s="147">
        <v>0</v>
      </c>
      <c r="X25" s="147">
        <v>6834.67</v>
      </c>
      <c r="Y25" s="148">
        <v>296905.34999999998</v>
      </c>
      <c r="Z25" s="149">
        <f t="shared" si="6"/>
        <v>2.8388249626727824E-3</v>
      </c>
      <c r="AA25" s="150">
        <v>-142923.59</v>
      </c>
      <c r="AB25" s="151">
        <v>-3433.070000000007</v>
      </c>
      <c r="AC25" s="204"/>
      <c r="AD25" s="151">
        <v>0</v>
      </c>
      <c r="AE25" s="151">
        <v>0</v>
      </c>
      <c r="AF25" s="204"/>
      <c r="AG25" s="151">
        <v>-59450</v>
      </c>
      <c r="AH25" s="193">
        <v>0</v>
      </c>
      <c r="AI25" s="159">
        <v>0</v>
      </c>
      <c r="AJ25" s="152">
        <v>-6000</v>
      </c>
      <c r="AK25" s="153">
        <v>-8716.86</v>
      </c>
      <c r="AL25" s="153">
        <v>-119639.56</v>
      </c>
      <c r="AM25" s="153">
        <v>-5302.3</v>
      </c>
      <c r="AN25" s="154">
        <v>0</v>
      </c>
      <c r="AO25" s="153">
        <v>-103031.78</v>
      </c>
      <c r="AP25" s="155">
        <v>-83691.210000000006</v>
      </c>
      <c r="AQ25" s="157">
        <v>-9587.4699999999993</v>
      </c>
      <c r="AR25" s="153">
        <v>0</v>
      </c>
      <c r="AS25" s="153">
        <v>0</v>
      </c>
      <c r="AT25" s="153">
        <v>-3743</v>
      </c>
      <c r="AU25" s="153">
        <v>0</v>
      </c>
      <c r="AV25" s="156">
        <v>-545.47</v>
      </c>
      <c r="AW25" s="152">
        <v>-2200.23</v>
      </c>
      <c r="AX25" s="152">
        <v>0</v>
      </c>
      <c r="AY25" s="152">
        <v>-10879.34</v>
      </c>
      <c r="AZ25" s="156">
        <v>0</v>
      </c>
      <c r="BA25" s="158">
        <v>0</v>
      </c>
      <c r="BB25" s="151">
        <v>0</v>
      </c>
      <c r="BC25" s="151">
        <v>0</v>
      </c>
      <c r="BD25" s="159">
        <v>0</v>
      </c>
      <c r="BE25" s="160"/>
      <c r="BF25" s="145">
        <f t="shared" si="7"/>
        <v>579800.9800000001</v>
      </c>
      <c r="BG25" s="146">
        <f t="shared" si="8"/>
        <v>-559143.87999999989</v>
      </c>
      <c r="BH25" s="146">
        <f t="shared" si="14"/>
        <v>20657.10000000021</v>
      </c>
      <c r="BI25" s="148">
        <f t="shared" si="15"/>
        <v>-6986286.209999999</v>
      </c>
      <c r="BJ25" s="201">
        <f t="shared" si="16"/>
        <v>39912.330000001006</v>
      </c>
      <c r="BK25" s="168">
        <f t="shared" si="24"/>
        <v>2029</v>
      </c>
      <c r="BL25" s="173">
        <f t="shared" si="9"/>
        <v>0</v>
      </c>
      <c r="BM25" s="173" t="e">
        <f t="shared" si="10"/>
        <v>#REF!</v>
      </c>
      <c r="BN25" s="173" t="e">
        <f t="shared" si="17"/>
        <v>#REF!</v>
      </c>
      <c r="BO25" s="169" t="e">
        <f t="shared" si="23"/>
        <v>#REF!</v>
      </c>
      <c r="BQ25" s="82">
        <v>0</v>
      </c>
      <c r="BR25" s="223">
        <v>0</v>
      </c>
      <c r="BS25" s="223">
        <v>0</v>
      </c>
      <c r="BT25" s="223">
        <v>0</v>
      </c>
      <c r="BU25" s="223">
        <v>0</v>
      </c>
      <c r="BV25" s="223"/>
      <c r="BW25" s="223">
        <f t="shared" si="18"/>
        <v>0</v>
      </c>
      <c r="BX25" s="83">
        <v>0</v>
      </c>
      <c r="BY25" s="78">
        <f t="shared" si="19"/>
        <v>579800.9800000001</v>
      </c>
      <c r="BZ25" s="70">
        <f t="shared" si="20"/>
        <v>-559143.87999999989</v>
      </c>
      <c r="CA25" s="70">
        <f t="shared" si="21"/>
        <v>20657.10000000021</v>
      </c>
      <c r="CB25" s="71">
        <f t="shared" si="22"/>
        <v>-6986286.209999999</v>
      </c>
      <c r="CC25" s="270"/>
      <c r="CD25" s="201"/>
      <c r="CE25" s="69">
        <f t="shared" si="12"/>
        <v>20657.10000000021</v>
      </c>
      <c r="CF25" s="71">
        <f t="shared" si="13"/>
        <v>20657.10000000021</v>
      </c>
    </row>
    <row r="26" spans="1:84" s="161" customFormat="1" ht="15" customHeight="1" outlineLevel="1">
      <c r="A26" s="137">
        <v>0</v>
      </c>
      <c r="B26" s="138"/>
      <c r="C26" s="139">
        <v>42156</v>
      </c>
      <c r="D26" s="140">
        <v>0</v>
      </c>
      <c r="E26" s="141">
        <v>10</v>
      </c>
      <c r="F26" s="141">
        <v>0</v>
      </c>
      <c r="G26" s="141">
        <v>4</v>
      </c>
      <c r="H26" s="142">
        <v>466297.66000000003</v>
      </c>
      <c r="I26" s="142">
        <v>0</v>
      </c>
      <c r="J26" s="143">
        <v>0</v>
      </c>
      <c r="K26" s="144">
        <v>0</v>
      </c>
      <c r="L26" s="145">
        <v>0</v>
      </c>
      <c r="M26" s="145">
        <v>0</v>
      </c>
      <c r="N26" s="146">
        <v>310796.87</v>
      </c>
      <c r="O26" s="241">
        <v>0</v>
      </c>
      <c r="P26" s="146">
        <v>0</v>
      </c>
      <c r="Q26" s="146">
        <v>0</v>
      </c>
      <c r="R26" s="147"/>
      <c r="S26" s="147"/>
      <c r="T26" s="147">
        <v>3309.05</v>
      </c>
      <c r="U26" s="147"/>
      <c r="V26" s="147">
        <f t="shared" si="5"/>
        <v>314105.92</v>
      </c>
      <c r="W26" s="147">
        <v>0</v>
      </c>
      <c r="X26" s="147">
        <v>0</v>
      </c>
      <c r="Y26" s="148">
        <v>195692.30000000002</v>
      </c>
      <c r="Z26" s="149">
        <f t="shared" si="6"/>
        <v>2.5497804137242118E-3</v>
      </c>
      <c r="AA26" s="150">
        <v>-131489.70000000001</v>
      </c>
      <c r="AB26" s="151">
        <v>-3868.7299999999959</v>
      </c>
      <c r="AC26" s="204"/>
      <c r="AD26" s="151">
        <v>0</v>
      </c>
      <c r="AE26" s="151">
        <v>0</v>
      </c>
      <c r="AF26" s="204"/>
      <c r="AG26" s="151">
        <v>-49493.33</v>
      </c>
      <c r="AH26" s="193">
        <v>0</v>
      </c>
      <c r="AI26" s="159">
        <v>0</v>
      </c>
      <c r="AJ26" s="152">
        <v>-6000</v>
      </c>
      <c r="AK26" s="153">
        <v>-1777</v>
      </c>
      <c r="AL26" s="153">
        <v>-115534.5</v>
      </c>
      <c r="AM26" s="153">
        <v>-6204.77</v>
      </c>
      <c r="AN26" s="154">
        <v>0</v>
      </c>
      <c r="AO26" s="153">
        <v>-75963.08</v>
      </c>
      <c r="AP26" s="155">
        <v>-62940.11</v>
      </c>
      <c r="AQ26" s="157">
        <v>-9662</v>
      </c>
      <c r="AR26" s="153">
        <v>0</v>
      </c>
      <c r="AS26" s="153">
        <v>0</v>
      </c>
      <c r="AT26" s="153">
        <v>-29041.72</v>
      </c>
      <c r="AU26" s="153">
        <v>-1271.1500000000001</v>
      </c>
      <c r="AV26" s="156">
        <v>-2171</v>
      </c>
      <c r="AW26" s="152">
        <v>-2883.25</v>
      </c>
      <c r="AX26" s="152">
        <v>0</v>
      </c>
      <c r="AY26" s="152">
        <v>-12182.34</v>
      </c>
      <c r="AZ26" s="156">
        <v>0</v>
      </c>
      <c r="BA26" s="158">
        <v>0</v>
      </c>
      <c r="BB26" s="151">
        <v>0</v>
      </c>
      <c r="BC26" s="151">
        <v>0</v>
      </c>
      <c r="BD26" s="159">
        <v>0</v>
      </c>
      <c r="BE26" s="160"/>
      <c r="BF26" s="145">
        <f t="shared" si="7"/>
        <v>509798.22</v>
      </c>
      <c r="BG26" s="146">
        <f t="shared" si="8"/>
        <v>-510482.68000000011</v>
      </c>
      <c r="BH26" s="146">
        <f t="shared" si="14"/>
        <v>-684.46000000013737</v>
      </c>
      <c r="BI26" s="148">
        <f t="shared" si="15"/>
        <v>-6986970.669999999</v>
      </c>
      <c r="BJ26" s="201">
        <f t="shared" si="16"/>
        <v>39227.870000001043</v>
      </c>
      <c r="BK26" s="168">
        <f t="shared" si="24"/>
        <v>2030</v>
      </c>
      <c r="BL26" s="173">
        <f t="shared" si="9"/>
        <v>0</v>
      </c>
      <c r="BM26" s="173">
        <f t="shared" si="10"/>
        <v>0</v>
      </c>
      <c r="BN26" s="173">
        <f t="shared" si="17"/>
        <v>0</v>
      </c>
      <c r="BO26" s="169" t="e">
        <f t="shared" si="23"/>
        <v>#REF!</v>
      </c>
      <c r="BQ26" s="82">
        <v>0</v>
      </c>
      <c r="BR26" s="223">
        <v>0</v>
      </c>
      <c r="BS26" s="223">
        <v>0</v>
      </c>
      <c r="BT26" s="223">
        <v>0</v>
      </c>
      <c r="BU26" s="223">
        <v>0</v>
      </c>
      <c r="BV26" s="223"/>
      <c r="BW26" s="223">
        <f t="shared" si="18"/>
        <v>0</v>
      </c>
      <c r="BX26" s="83">
        <v>0</v>
      </c>
      <c r="BY26" s="78">
        <f t="shared" si="19"/>
        <v>509798.22</v>
      </c>
      <c r="BZ26" s="70">
        <f t="shared" si="20"/>
        <v>-510482.68000000011</v>
      </c>
      <c r="CA26" s="70">
        <f t="shared" si="21"/>
        <v>-684.46000000013737</v>
      </c>
      <c r="CB26" s="71">
        <f t="shared" si="22"/>
        <v>-6986970.669999999</v>
      </c>
      <c r="CC26" s="270"/>
      <c r="CD26" s="201"/>
      <c r="CE26" s="69">
        <f t="shared" si="12"/>
        <v>-684.46000000013737</v>
      </c>
      <c r="CF26" s="71">
        <f t="shared" si="13"/>
        <v>-684.46000000013737</v>
      </c>
    </row>
    <row r="27" spans="1:84" s="161" customFormat="1" ht="15" customHeight="1" outlineLevel="1">
      <c r="A27" s="137">
        <v>0</v>
      </c>
      <c r="B27" s="138"/>
      <c r="C27" s="139">
        <v>42186</v>
      </c>
      <c r="D27" s="140">
        <v>0</v>
      </c>
      <c r="E27" s="141">
        <v>135</v>
      </c>
      <c r="F27" s="141">
        <v>0</v>
      </c>
      <c r="G27" s="141">
        <v>89</v>
      </c>
      <c r="H27" s="142">
        <v>8005383.5300000124</v>
      </c>
      <c r="I27" s="142">
        <v>0</v>
      </c>
      <c r="J27" s="143">
        <v>0</v>
      </c>
      <c r="K27" s="144">
        <v>0</v>
      </c>
      <c r="L27" s="145">
        <v>0</v>
      </c>
      <c r="M27" s="145">
        <v>0</v>
      </c>
      <c r="N27" s="146">
        <v>376495.52</v>
      </c>
      <c r="O27" s="241">
        <v>0</v>
      </c>
      <c r="P27" s="146">
        <v>0</v>
      </c>
      <c r="Q27" s="146">
        <v>0</v>
      </c>
      <c r="R27" s="147"/>
      <c r="S27" s="147"/>
      <c r="T27" s="147">
        <v>2272.66</v>
      </c>
      <c r="U27" s="147"/>
      <c r="V27" s="147">
        <f t="shared" si="5"/>
        <v>378768.18</v>
      </c>
      <c r="W27" s="147">
        <v>0</v>
      </c>
      <c r="X27" s="147">
        <v>364.53</v>
      </c>
      <c r="Y27" s="148">
        <v>124705.75</v>
      </c>
      <c r="Z27" s="149">
        <f t="shared" si="6"/>
        <v>1.9854325496035407E-3</v>
      </c>
      <c r="AA27" s="150">
        <v>-133067.57</v>
      </c>
      <c r="AB27" s="151">
        <v>-5740.5899999999965</v>
      </c>
      <c r="AC27" s="204"/>
      <c r="AD27" s="151">
        <v>0</v>
      </c>
      <c r="AE27" s="151">
        <v>0</v>
      </c>
      <c r="AF27" s="204"/>
      <c r="AG27" s="151">
        <v>-5130</v>
      </c>
      <c r="AH27" s="193">
        <v>0</v>
      </c>
      <c r="AI27" s="159">
        <v>0</v>
      </c>
      <c r="AJ27" s="152">
        <v>-6000</v>
      </c>
      <c r="AK27" s="153">
        <v>-212.55</v>
      </c>
      <c r="AL27" s="153">
        <v>-113627.72</v>
      </c>
      <c r="AM27" s="153">
        <v>-7061.48</v>
      </c>
      <c r="AN27" s="154">
        <v>0</v>
      </c>
      <c r="AO27" s="153">
        <v>-131297.67000000001</v>
      </c>
      <c r="AP27" s="155">
        <v>-51363</v>
      </c>
      <c r="AQ27" s="157">
        <v>-11296.4</v>
      </c>
      <c r="AR27" s="153">
        <v>0</v>
      </c>
      <c r="AS27" s="153">
        <v>0</v>
      </c>
      <c r="AT27" s="153">
        <v>-13085</v>
      </c>
      <c r="AU27" s="153">
        <v>-1971.45</v>
      </c>
      <c r="AV27" s="156">
        <v>-6750.3</v>
      </c>
      <c r="AW27" s="152">
        <v>-3045.47</v>
      </c>
      <c r="AX27" s="152">
        <v>0</v>
      </c>
      <c r="AY27" s="152">
        <v>-18528.05</v>
      </c>
      <c r="AZ27" s="156">
        <v>0</v>
      </c>
      <c r="BA27" s="158">
        <v>0</v>
      </c>
      <c r="BB27" s="151">
        <v>0</v>
      </c>
      <c r="BC27" s="151">
        <v>0</v>
      </c>
      <c r="BD27" s="159">
        <v>0</v>
      </c>
      <c r="BE27" s="160"/>
      <c r="BF27" s="145">
        <f t="shared" si="7"/>
        <v>503838.46</v>
      </c>
      <c r="BG27" s="146">
        <f t="shared" si="8"/>
        <v>-508177.24999999994</v>
      </c>
      <c r="BH27" s="146">
        <f t="shared" si="14"/>
        <v>-4338.7899999999208</v>
      </c>
      <c r="BI27" s="148">
        <f t="shared" si="15"/>
        <v>-6991309.459999999</v>
      </c>
      <c r="BJ27" s="201">
        <f t="shared" si="16"/>
        <v>34889.080000001006</v>
      </c>
      <c r="BK27" s="168">
        <f t="shared" si="24"/>
        <v>2031</v>
      </c>
      <c r="BL27" s="173">
        <f t="shared" si="9"/>
        <v>0</v>
      </c>
      <c r="BM27" s="173">
        <f t="shared" si="10"/>
        <v>0</v>
      </c>
      <c r="BN27" s="173">
        <f t="shared" si="17"/>
        <v>0</v>
      </c>
      <c r="BO27" s="169" t="e">
        <f t="shared" si="23"/>
        <v>#REF!</v>
      </c>
      <c r="BQ27" s="82">
        <v>0</v>
      </c>
      <c r="BR27" s="223">
        <v>0</v>
      </c>
      <c r="BS27" s="223">
        <v>0</v>
      </c>
      <c r="BT27" s="223">
        <v>0</v>
      </c>
      <c r="BU27" s="223">
        <v>0</v>
      </c>
      <c r="BV27" s="223"/>
      <c r="BW27" s="223">
        <f t="shared" si="18"/>
        <v>0</v>
      </c>
      <c r="BX27" s="83">
        <v>0</v>
      </c>
      <c r="BY27" s="78">
        <f t="shared" si="19"/>
        <v>503838.46</v>
      </c>
      <c r="BZ27" s="70">
        <f t="shared" si="20"/>
        <v>-508177.24999999994</v>
      </c>
      <c r="CA27" s="70">
        <f t="shared" si="21"/>
        <v>-4338.7899999999208</v>
      </c>
      <c r="CB27" s="71">
        <f t="shared" si="22"/>
        <v>-6991309.459999999</v>
      </c>
      <c r="CC27" s="270"/>
      <c r="CD27" s="201"/>
      <c r="CE27" s="69">
        <f t="shared" si="12"/>
        <v>-4338.7899999999208</v>
      </c>
      <c r="CF27" s="71">
        <f t="shared" si="13"/>
        <v>-4338.7899999999208</v>
      </c>
    </row>
    <row r="28" spans="1:84" s="161" customFormat="1" ht="15" customHeight="1" outlineLevel="1" thickBot="1">
      <c r="A28" s="137">
        <v>0</v>
      </c>
      <c r="B28" s="138"/>
      <c r="C28" s="139">
        <v>42217</v>
      </c>
      <c r="D28" s="140">
        <v>0</v>
      </c>
      <c r="E28" s="141">
        <v>16</v>
      </c>
      <c r="F28" s="141">
        <v>0</v>
      </c>
      <c r="G28" s="141">
        <v>9</v>
      </c>
      <c r="H28" s="142">
        <v>885760.02999999991</v>
      </c>
      <c r="I28" s="142">
        <v>0</v>
      </c>
      <c r="J28" s="143">
        <v>0</v>
      </c>
      <c r="K28" s="144">
        <v>0</v>
      </c>
      <c r="L28" s="145">
        <v>0</v>
      </c>
      <c r="M28" s="145">
        <v>0</v>
      </c>
      <c r="N28" s="146">
        <v>419515.73</v>
      </c>
      <c r="O28" s="241">
        <v>0</v>
      </c>
      <c r="P28" s="146">
        <v>0</v>
      </c>
      <c r="Q28" s="146">
        <v>0</v>
      </c>
      <c r="R28" s="147"/>
      <c r="S28" s="147"/>
      <c r="T28" s="147">
        <v>1851.96</v>
      </c>
      <c r="U28" s="147"/>
      <c r="V28" s="147">
        <f t="shared" si="5"/>
        <v>421367.69</v>
      </c>
      <c r="W28" s="147">
        <v>0</v>
      </c>
      <c r="X28" s="147">
        <v>0</v>
      </c>
      <c r="Y28" s="148">
        <v>177458.35</v>
      </c>
      <c r="Z28" s="149">
        <f t="shared" si="6"/>
        <v>1.864134229227258E-3</v>
      </c>
      <c r="AA28" s="150">
        <v>-134664.38</v>
      </c>
      <c r="AB28" s="151">
        <v>-480</v>
      </c>
      <c r="AC28" s="204"/>
      <c r="AD28" s="151">
        <v>0</v>
      </c>
      <c r="AE28" s="151">
        <v>0</v>
      </c>
      <c r="AF28" s="204"/>
      <c r="AG28" s="151">
        <v>0</v>
      </c>
      <c r="AH28" s="193">
        <v>0</v>
      </c>
      <c r="AI28" s="159">
        <v>0</v>
      </c>
      <c r="AJ28" s="152">
        <v>-6000</v>
      </c>
      <c r="AK28" s="153">
        <v>0</v>
      </c>
      <c r="AL28" s="153">
        <v>-210300.92</v>
      </c>
      <c r="AM28" s="153">
        <v>-6848.84</v>
      </c>
      <c r="AN28" s="154">
        <v>0</v>
      </c>
      <c r="AO28" s="153">
        <v>-144278.57999999999</v>
      </c>
      <c r="AP28" s="155">
        <v>-47692.18</v>
      </c>
      <c r="AQ28" s="157">
        <v>-13256.89</v>
      </c>
      <c r="AR28" s="153">
        <v>-5624.96</v>
      </c>
      <c r="AS28" s="153">
        <v>0</v>
      </c>
      <c r="AT28" s="153">
        <v>-3593</v>
      </c>
      <c r="AU28" s="153">
        <v>-1186.05</v>
      </c>
      <c r="AV28" s="156">
        <v>-8681.3700000000008</v>
      </c>
      <c r="AW28" s="152">
        <v>-5508.96</v>
      </c>
      <c r="AX28" s="152">
        <v>0</v>
      </c>
      <c r="AY28" s="152">
        <v>-20773.54</v>
      </c>
      <c r="AZ28" s="156">
        <v>-3193.55</v>
      </c>
      <c r="BA28" s="158">
        <v>0</v>
      </c>
      <c r="BB28" s="151">
        <v>0</v>
      </c>
      <c r="BC28" s="151">
        <v>0</v>
      </c>
      <c r="BD28" s="159">
        <v>0</v>
      </c>
      <c r="BE28" s="160"/>
      <c r="BF28" s="145">
        <f t="shared" si="7"/>
        <v>598826.04</v>
      </c>
      <c r="BG28" s="146">
        <f t="shared" si="8"/>
        <v>-612083.2200000002</v>
      </c>
      <c r="BH28" s="146">
        <f t="shared" si="14"/>
        <v>-13257.180000000168</v>
      </c>
      <c r="BI28" s="148">
        <f t="shared" si="15"/>
        <v>-7004566.6399999987</v>
      </c>
      <c r="BJ28" s="201">
        <f t="shared" si="16"/>
        <v>21631.900000001304</v>
      </c>
      <c r="BK28" s="170">
        <f t="shared" si="24"/>
        <v>2032</v>
      </c>
      <c r="BL28" s="174">
        <f t="shared" si="9"/>
        <v>0</v>
      </c>
      <c r="BM28" s="174">
        <f t="shared" si="10"/>
        <v>0</v>
      </c>
      <c r="BN28" s="174">
        <f t="shared" si="17"/>
        <v>0</v>
      </c>
      <c r="BO28" s="171" t="e">
        <f t="shared" si="23"/>
        <v>#REF!</v>
      </c>
      <c r="BQ28" s="82">
        <v>0</v>
      </c>
      <c r="BR28" s="223">
        <v>0</v>
      </c>
      <c r="BS28" s="223">
        <v>0</v>
      </c>
      <c r="BT28" s="223">
        <v>0</v>
      </c>
      <c r="BU28" s="223">
        <v>0</v>
      </c>
      <c r="BV28" s="223"/>
      <c r="BW28" s="223">
        <f t="shared" si="18"/>
        <v>0</v>
      </c>
      <c r="BX28" s="83">
        <v>0</v>
      </c>
      <c r="BY28" s="78">
        <f t="shared" si="19"/>
        <v>598826.04</v>
      </c>
      <c r="BZ28" s="70">
        <f t="shared" si="20"/>
        <v>-612083.2200000002</v>
      </c>
      <c r="CA28" s="70">
        <f t="shared" si="21"/>
        <v>-13257.180000000168</v>
      </c>
      <c r="CB28" s="71">
        <f t="shared" si="22"/>
        <v>-7004566.6399999987</v>
      </c>
      <c r="CC28" s="270"/>
      <c r="CD28" s="201"/>
      <c r="CE28" s="69">
        <f t="shared" si="12"/>
        <v>-13257.180000000168</v>
      </c>
      <c r="CF28" s="71">
        <f t="shared" si="13"/>
        <v>-13257.180000000168</v>
      </c>
    </row>
    <row r="29" spans="1:84" s="161" customFormat="1" ht="15" customHeight="1" outlineLevel="1">
      <c r="A29" s="137">
        <v>0</v>
      </c>
      <c r="B29" s="138"/>
      <c r="C29" s="139">
        <v>42248</v>
      </c>
      <c r="D29" s="140">
        <v>0</v>
      </c>
      <c r="E29" s="141">
        <v>33</v>
      </c>
      <c r="F29" s="141">
        <v>3</v>
      </c>
      <c r="G29" s="141">
        <v>39</v>
      </c>
      <c r="H29" s="142">
        <v>2664865.5900000017</v>
      </c>
      <c r="I29" s="142">
        <v>123007.04999999999</v>
      </c>
      <c r="J29" s="143">
        <v>0</v>
      </c>
      <c r="K29" s="144">
        <v>0</v>
      </c>
      <c r="L29" s="145">
        <v>0</v>
      </c>
      <c r="M29" s="145">
        <v>0</v>
      </c>
      <c r="N29" s="146">
        <v>384790.14</v>
      </c>
      <c r="O29" s="241">
        <v>0</v>
      </c>
      <c r="P29" s="146">
        <v>0</v>
      </c>
      <c r="Q29" s="146">
        <v>0</v>
      </c>
      <c r="R29" s="147"/>
      <c r="S29" s="147"/>
      <c r="T29" s="147">
        <v>1313.87</v>
      </c>
      <c r="U29" s="147"/>
      <c r="V29" s="147">
        <f t="shared" si="5"/>
        <v>386104.01</v>
      </c>
      <c r="W29" s="147">
        <v>0</v>
      </c>
      <c r="X29" s="147">
        <v>0</v>
      </c>
      <c r="Y29" s="148">
        <v>47261.62</v>
      </c>
      <c r="Z29" s="149">
        <f t="shared" si="6"/>
        <v>1.285016400939583E-4</v>
      </c>
      <c r="AA29" s="150">
        <v>0</v>
      </c>
      <c r="AB29" s="151">
        <v>0</v>
      </c>
      <c r="AC29" s="204"/>
      <c r="AD29" s="151">
        <v>0</v>
      </c>
      <c r="AE29" s="151">
        <v>0</v>
      </c>
      <c r="AF29" s="204"/>
      <c r="AG29" s="151">
        <v>-9316</v>
      </c>
      <c r="AH29" s="193">
        <v>0</v>
      </c>
      <c r="AI29" s="159">
        <v>0</v>
      </c>
      <c r="AJ29" s="152">
        <v>-6000</v>
      </c>
      <c r="AK29" s="153">
        <v>0</v>
      </c>
      <c r="AL29" s="153">
        <v>-216514.58</v>
      </c>
      <c r="AM29" s="153">
        <v>-8557.76</v>
      </c>
      <c r="AN29" s="154">
        <v>0</v>
      </c>
      <c r="AO29" s="153">
        <v>-70000</v>
      </c>
      <c r="AP29" s="155">
        <v>-53593.2</v>
      </c>
      <c r="AQ29" s="157">
        <v>-14672.67</v>
      </c>
      <c r="AR29" s="153">
        <v>-5624.96</v>
      </c>
      <c r="AS29" s="153">
        <v>0</v>
      </c>
      <c r="AT29" s="153">
        <v>-24083.040000000001</v>
      </c>
      <c r="AU29" s="153">
        <v>-1180.3</v>
      </c>
      <c r="AV29" s="156">
        <v>-23773.89</v>
      </c>
      <c r="AW29" s="152">
        <v>-6296.45</v>
      </c>
      <c r="AX29" s="152">
        <v>0</v>
      </c>
      <c r="AY29" s="152">
        <v>-22258.68</v>
      </c>
      <c r="AZ29" s="156">
        <v>0</v>
      </c>
      <c r="BA29" s="158">
        <v>0</v>
      </c>
      <c r="BB29" s="151">
        <v>0</v>
      </c>
      <c r="BC29" s="151">
        <v>0</v>
      </c>
      <c r="BD29" s="159">
        <v>0</v>
      </c>
      <c r="BE29" s="160"/>
      <c r="BF29" s="145">
        <f t="shared" si="7"/>
        <v>433365.63</v>
      </c>
      <c r="BG29" s="146">
        <f t="shared" si="8"/>
        <v>-461871.52999999997</v>
      </c>
      <c r="BH29" s="146">
        <f t="shared" si="14"/>
        <v>-28505.899999999965</v>
      </c>
      <c r="BI29" s="148">
        <f t="shared" si="15"/>
        <v>-7033072.5399999991</v>
      </c>
      <c r="BJ29" s="201">
        <f t="shared" si="16"/>
        <v>-6873.9999999990687</v>
      </c>
      <c r="BL29" s="164"/>
      <c r="BQ29" s="82">
        <v>0</v>
      </c>
      <c r="BR29" s="223">
        <v>0</v>
      </c>
      <c r="BS29" s="223">
        <v>0</v>
      </c>
      <c r="BT29" s="223">
        <v>0</v>
      </c>
      <c r="BU29" s="223">
        <v>0</v>
      </c>
      <c r="BV29" s="223"/>
      <c r="BW29" s="223">
        <f t="shared" si="18"/>
        <v>0</v>
      </c>
      <c r="BX29" s="83">
        <v>0</v>
      </c>
      <c r="BY29" s="78">
        <f t="shared" si="19"/>
        <v>433365.63</v>
      </c>
      <c r="BZ29" s="70">
        <f t="shared" si="20"/>
        <v>-461871.52999999997</v>
      </c>
      <c r="CA29" s="70">
        <f t="shared" si="21"/>
        <v>-28505.899999999965</v>
      </c>
      <c r="CB29" s="71">
        <f t="shared" si="22"/>
        <v>-7033072.5399999991</v>
      </c>
      <c r="CC29" s="270"/>
      <c r="CD29" s="201"/>
      <c r="CE29" s="69">
        <f t="shared" si="12"/>
        <v>-28505.899999999965</v>
      </c>
      <c r="CF29" s="71">
        <f t="shared" si="13"/>
        <v>-28505.899999999965</v>
      </c>
    </row>
    <row r="30" spans="1:84" s="161" customFormat="1" ht="15" customHeight="1" outlineLevel="1">
      <c r="A30" s="137">
        <v>0</v>
      </c>
      <c r="B30" s="138"/>
      <c r="C30" s="139">
        <v>42278</v>
      </c>
      <c r="D30" s="140">
        <v>0</v>
      </c>
      <c r="E30" s="141">
        <v>14</v>
      </c>
      <c r="F30" s="141">
        <v>0</v>
      </c>
      <c r="G30" s="141">
        <v>8</v>
      </c>
      <c r="H30" s="142">
        <v>780165.32</v>
      </c>
      <c r="I30" s="142">
        <v>0</v>
      </c>
      <c r="J30" s="143">
        <v>0</v>
      </c>
      <c r="K30" s="144">
        <v>0</v>
      </c>
      <c r="L30" s="145">
        <v>0</v>
      </c>
      <c r="M30" s="145">
        <v>0</v>
      </c>
      <c r="N30" s="146">
        <v>545745.43000000005</v>
      </c>
      <c r="O30" s="241">
        <v>0</v>
      </c>
      <c r="P30" s="146">
        <v>0</v>
      </c>
      <c r="Q30" s="146">
        <v>0</v>
      </c>
      <c r="R30" s="147"/>
      <c r="S30" s="147"/>
      <c r="T30" s="147">
        <v>2155.92</v>
      </c>
      <c r="U30" s="147"/>
      <c r="V30" s="147">
        <f t="shared" si="5"/>
        <v>547901.35000000009</v>
      </c>
      <c r="W30" s="147">
        <v>0</v>
      </c>
      <c r="X30" s="147">
        <v>943.46</v>
      </c>
      <c r="Y30" s="148">
        <v>874.28</v>
      </c>
      <c r="Z30" s="149">
        <f t="shared" si="6"/>
        <v>0</v>
      </c>
      <c r="AA30" s="150">
        <v>0</v>
      </c>
      <c r="AB30" s="151">
        <v>0</v>
      </c>
      <c r="AC30" s="204"/>
      <c r="AD30" s="151">
        <v>0</v>
      </c>
      <c r="AE30" s="151">
        <v>0</v>
      </c>
      <c r="AF30" s="204"/>
      <c r="AG30" s="151">
        <v>0</v>
      </c>
      <c r="AH30" s="193">
        <v>0</v>
      </c>
      <c r="AI30" s="159">
        <v>-19000</v>
      </c>
      <c r="AJ30" s="152">
        <v>0</v>
      </c>
      <c r="AK30" s="153">
        <v>-1900</v>
      </c>
      <c r="AL30" s="153">
        <v>-221111.06</v>
      </c>
      <c r="AM30" s="153">
        <v>-8344.0300000000007</v>
      </c>
      <c r="AN30" s="154">
        <v>0</v>
      </c>
      <c r="AO30" s="153">
        <v>-100000</v>
      </c>
      <c r="AP30" s="155">
        <v>-36813</v>
      </c>
      <c r="AQ30" s="157">
        <v>-13714</v>
      </c>
      <c r="AR30" s="153">
        <v>-6568.42</v>
      </c>
      <c r="AS30" s="153">
        <v>0</v>
      </c>
      <c r="AT30" s="153">
        <v>-58614.879999999997</v>
      </c>
      <c r="AU30" s="153">
        <v>-2721.3</v>
      </c>
      <c r="AV30" s="156">
        <v>-16418.03</v>
      </c>
      <c r="AW30" s="152">
        <v>-6302.14</v>
      </c>
      <c r="AX30" s="152">
        <v>0</v>
      </c>
      <c r="AY30" s="152">
        <v>-23570.560000000001</v>
      </c>
      <c r="AZ30" s="156">
        <v>0</v>
      </c>
      <c r="BA30" s="158">
        <v>0</v>
      </c>
      <c r="BB30" s="151">
        <v>0</v>
      </c>
      <c r="BC30" s="151">
        <v>0</v>
      </c>
      <c r="BD30" s="159">
        <v>-5037.93</v>
      </c>
      <c r="BE30" s="160"/>
      <c r="BF30" s="145">
        <f t="shared" si="7"/>
        <v>549719.09000000008</v>
      </c>
      <c r="BG30" s="146">
        <f t="shared" si="8"/>
        <v>-520115.35</v>
      </c>
      <c r="BH30" s="146">
        <f t="shared" si="14"/>
        <v>29603.740000000107</v>
      </c>
      <c r="BI30" s="148">
        <f t="shared" si="15"/>
        <v>-7003468.7999999989</v>
      </c>
      <c r="BJ30" s="201">
        <f t="shared" si="16"/>
        <v>22729.740000001155</v>
      </c>
      <c r="BL30" s="164"/>
      <c r="BQ30" s="82">
        <v>0</v>
      </c>
      <c r="BR30" s="223">
        <v>0</v>
      </c>
      <c r="BS30" s="223">
        <v>0</v>
      </c>
      <c r="BT30" s="223">
        <v>0</v>
      </c>
      <c r="BU30" s="223">
        <v>0</v>
      </c>
      <c r="BV30" s="223"/>
      <c r="BW30" s="223">
        <f t="shared" si="18"/>
        <v>0</v>
      </c>
      <c r="BX30" s="83">
        <v>0</v>
      </c>
      <c r="BY30" s="78">
        <f t="shared" si="19"/>
        <v>549719.09000000008</v>
      </c>
      <c r="BZ30" s="70">
        <f t="shared" si="20"/>
        <v>-520115.35</v>
      </c>
      <c r="CA30" s="70">
        <f t="shared" si="21"/>
        <v>29603.740000000107</v>
      </c>
      <c r="CB30" s="71">
        <f t="shared" si="22"/>
        <v>-7003468.7999999989</v>
      </c>
      <c r="CC30" s="270"/>
      <c r="CD30" s="201"/>
      <c r="CE30" s="69">
        <f t="shared" si="12"/>
        <v>29603.740000000107</v>
      </c>
      <c r="CF30" s="71">
        <f t="shared" si="13"/>
        <v>29603.740000000107</v>
      </c>
    </row>
    <row r="31" spans="1:84" s="161" customFormat="1" ht="15" customHeight="1" outlineLevel="1">
      <c r="A31" s="137">
        <v>0</v>
      </c>
      <c r="B31" s="138"/>
      <c r="C31" s="139">
        <v>42309</v>
      </c>
      <c r="D31" s="140">
        <v>0</v>
      </c>
      <c r="E31" s="141">
        <v>13</v>
      </c>
      <c r="F31" s="141">
        <v>0</v>
      </c>
      <c r="G31" s="141">
        <v>2</v>
      </c>
      <c r="H31" s="142">
        <v>501855.04</v>
      </c>
      <c r="I31" s="142">
        <v>0</v>
      </c>
      <c r="J31" s="143">
        <v>0</v>
      </c>
      <c r="K31" s="144">
        <v>0</v>
      </c>
      <c r="L31" s="145">
        <v>0</v>
      </c>
      <c r="M31" s="145">
        <v>0</v>
      </c>
      <c r="N31" s="146">
        <v>512735.68</v>
      </c>
      <c r="O31" s="241">
        <v>0</v>
      </c>
      <c r="P31" s="146">
        <v>0</v>
      </c>
      <c r="Q31" s="146">
        <v>0</v>
      </c>
      <c r="R31" s="147"/>
      <c r="S31" s="147"/>
      <c r="T31" s="147">
        <v>1278</v>
      </c>
      <c r="U31" s="147"/>
      <c r="V31" s="147">
        <f t="shared" si="5"/>
        <v>514013.68</v>
      </c>
      <c r="W31" s="147">
        <v>0</v>
      </c>
      <c r="X31" s="147">
        <v>1369.81</v>
      </c>
      <c r="Y31" s="148">
        <v>461.77000000000004</v>
      </c>
      <c r="Z31" s="149">
        <f t="shared" si="6"/>
        <v>2.4369930510519623E-4</v>
      </c>
      <c r="AA31" s="150">
        <v>0</v>
      </c>
      <c r="AB31" s="151">
        <v>-400</v>
      </c>
      <c r="AC31" s="204"/>
      <c r="AD31" s="151">
        <v>0</v>
      </c>
      <c r="AE31" s="151">
        <v>0</v>
      </c>
      <c r="AF31" s="204"/>
      <c r="AG31" s="151">
        <v>-17267.5</v>
      </c>
      <c r="AH31" s="193">
        <v>0</v>
      </c>
      <c r="AI31" s="159">
        <v>-19000</v>
      </c>
      <c r="AJ31" s="152">
        <v>0</v>
      </c>
      <c r="AK31" s="153">
        <v>-1900</v>
      </c>
      <c r="AL31" s="153">
        <v>-210235.18</v>
      </c>
      <c r="AM31" s="153">
        <v>0</v>
      </c>
      <c r="AN31" s="154">
        <v>0</v>
      </c>
      <c r="AO31" s="153">
        <v>-114435.08</v>
      </c>
      <c r="AP31" s="155">
        <v>-33345</v>
      </c>
      <c r="AQ31" s="157">
        <v>-38738.97</v>
      </c>
      <c r="AR31" s="153">
        <v>-6630.24</v>
      </c>
      <c r="AS31" s="153">
        <v>0</v>
      </c>
      <c r="AT31" s="153">
        <v>-8952</v>
      </c>
      <c r="AU31" s="153">
        <v>-3488.85</v>
      </c>
      <c r="AV31" s="156">
        <v>-22037.200000000001</v>
      </c>
      <c r="AW31" s="152">
        <v>-5968.1100000000006</v>
      </c>
      <c r="AX31" s="152">
        <v>0</v>
      </c>
      <c r="AY31" s="152">
        <v>-29871.11</v>
      </c>
      <c r="AZ31" s="156">
        <v>0</v>
      </c>
      <c r="BA31" s="158">
        <v>0</v>
      </c>
      <c r="BB31" s="151">
        <v>0</v>
      </c>
      <c r="BC31" s="151">
        <v>0</v>
      </c>
      <c r="BD31" s="159">
        <v>0</v>
      </c>
      <c r="BE31" s="160"/>
      <c r="BF31" s="145">
        <f t="shared" si="7"/>
        <v>515845.26</v>
      </c>
      <c r="BG31" s="146">
        <f t="shared" si="8"/>
        <v>-512269.23999999993</v>
      </c>
      <c r="BH31" s="146">
        <f t="shared" si="14"/>
        <v>3576.0200000000768</v>
      </c>
      <c r="BI31" s="148">
        <f t="shared" si="15"/>
        <v>-6999892.7799999984</v>
      </c>
      <c r="BJ31" s="201">
        <f t="shared" si="16"/>
        <v>26305.760000001639</v>
      </c>
      <c r="BL31" s="164"/>
      <c r="BQ31" s="82">
        <v>0</v>
      </c>
      <c r="BR31" s="223">
        <v>0</v>
      </c>
      <c r="BS31" s="223">
        <v>0</v>
      </c>
      <c r="BT31" s="223">
        <v>0</v>
      </c>
      <c r="BU31" s="223">
        <v>0</v>
      </c>
      <c r="BV31" s="223"/>
      <c r="BW31" s="223">
        <f t="shared" si="18"/>
        <v>0</v>
      </c>
      <c r="BX31" s="83">
        <v>0</v>
      </c>
      <c r="BY31" s="78">
        <f t="shared" si="19"/>
        <v>515845.26</v>
      </c>
      <c r="BZ31" s="70">
        <f t="shared" si="20"/>
        <v>-512269.23999999993</v>
      </c>
      <c r="CA31" s="70">
        <f t="shared" si="21"/>
        <v>3576.0200000000768</v>
      </c>
      <c r="CB31" s="71">
        <f t="shared" si="22"/>
        <v>-6999892.7799999984</v>
      </c>
      <c r="CC31" s="270"/>
      <c r="CD31" s="201"/>
      <c r="CE31" s="69">
        <f t="shared" si="12"/>
        <v>3576.0200000000768</v>
      </c>
      <c r="CF31" s="71">
        <f t="shared" si="13"/>
        <v>3576.0200000000768</v>
      </c>
    </row>
    <row r="32" spans="1:84" s="161" customFormat="1" ht="15" customHeight="1" outlineLevel="1">
      <c r="A32" s="137">
        <v>0</v>
      </c>
      <c r="B32" s="138"/>
      <c r="C32" s="139">
        <v>42339</v>
      </c>
      <c r="D32" s="140">
        <v>0</v>
      </c>
      <c r="E32" s="141">
        <v>31</v>
      </c>
      <c r="F32" s="141">
        <v>5</v>
      </c>
      <c r="G32" s="141">
        <v>37</v>
      </c>
      <c r="H32" s="142">
        <v>2518268.5300000012</v>
      </c>
      <c r="I32" s="142">
        <v>205011.75</v>
      </c>
      <c r="J32" s="143">
        <v>0</v>
      </c>
      <c r="K32" s="144">
        <v>0</v>
      </c>
      <c r="L32" s="145">
        <v>0</v>
      </c>
      <c r="M32" s="145">
        <v>0</v>
      </c>
      <c r="N32" s="146">
        <v>642188.64</v>
      </c>
      <c r="O32" s="241">
        <v>0</v>
      </c>
      <c r="P32" s="146">
        <v>0</v>
      </c>
      <c r="Q32" s="146">
        <v>0</v>
      </c>
      <c r="R32" s="147"/>
      <c r="S32" s="147"/>
      <c r="T32" s="147">
        <v>-4285.92</v>
      </c>
      <c r="U32" s="147"/>
      <c r="V32" s="147">
        <f t="shared" si="5"/>
        <v>637902.72</v>
      </c>
      <c r="W32" s="147">
        <v>0</v>
      </c>
      <c r="X32" s="147">
        <v>0</v>
      </c>
      <c r="Y32" s="148">
        <v>-1396.77</v>
      </c>
      <c r="Z32" s="149">
        <f t="shared" si="6"/>
        <v>6.3178363787070899E-5</v>
      </c>
      <c r="AA32" s="150">
        <v>0</v>
      </c>
      <c r="AB32" s="151">
        <v>-824</v>
      </c>
      <c r="AC32" s="204"/>
      <c r="AD32" s="151">
        <v>0</v>
      </c>
      <c r="AE32" s="151">
        <v>0</v>
      </c>
      <c r="AF32" s="204"/>
      <c r="AG32" s="151">
        <v>-3756.25</v>
      </c>
      <c r="AH32" s="193">
        <v>0</v>
      </c>
      <c r="AI32" s="159">
        <v>0</v>
      </c>
      <c r="AJ32" s="152">
        <v>0</v>
      </c>
      <c r="AK32" s="153">
        <v>-1900</v>
      </c>
      <c r="AL32" s="153">
        <v>-200825.8</v>
      </c>
      <c r="AM32" s="153">
        <v>-22375.119999999999</v>
      </c>
      <c r="AN32" s="154">
        <v>0</v>
      </c>
      <c r="AO32" s="153">
        <v>-222677.57</v>
      </c>
      <c r="AP32" s="155">
        <v>-42241</v>
      </c>
      <c r="AQ32" s="157">
        <f>-47147.52-185</f>
        <v>-47332.52</v>
      </c>
      <c r="AR32" s="153">
        <v>-5624.96</v>
      </c>
      <c r="AS32" s="153">
        <v>0</v>
      </c>
      <c r="AT32" s="153">
        <v>-7090.77</v>
      </c>
      <c r="AU32" s="153">
        <v>-898.25</v>
      </c>
      <c r="AV32" s="156">
        <v>-18255.23</v>
      </c>
      <c r="AW32" s="152">
        <v>-5649.45</v>
      </c>
      <c r="AX32" s="152">
        <v>0</v>
      </c>
      <c r="AY32" s="152">
        <v>-28307.93</v>
      </c>
      <c r="AZ32" s="156">
        <v>0</v>
      </c>
      <c r="BA32" s="158">
        <v>0</v>
      </c>
      <c r="BB32" s="151">
        <v>0</v>
      </c>
      <c r="BC32" s="151">
        <v>0</v>
      </c>
      <c r="BD32" s="159">
        <v>0</v>
      </c>
      <c r="BE32" s="160"/>
      <c r="BF32" s="145">
        <f t="shared" si="7"/>
        <v>636505.94999999995</v>
      </c>
      <c r="BG32" s="146">
        <f t="shared" si="8"/>
        <v>-607758.85</v>
      </c>
      <c r="BH32" s="146">
        <f t="shared" si="14"/>
        <v>28747.099999999977</v>
      </c>
      <c r="BI32" s="148">
        <f t="shared" si="15"/>
        <v>-6971145.6799999988</v>
      </c>
      <c r="BJ32" s="201">
        <f t="shared" si="16"/>
        <v>55052.860000001267</v>
      </c>
      <c r="BL32" s="164"/>
      <c r="BQ32" s="82">
        <v>0</v>
      </c>
      <c r="BR32" s="223">
        <v>0</v>
      </c>
      <c r="BS32" s="223">
        <v>0</v>
      </c>
      <c r="BT32" s="223">
        <v>0</v>
      </c>
      <c r="BU32" s="223">
        <v>0</v>
      </c>
      <c r="BV32" s="223"/>
      <c r="BW32" s="223">
        <f t="shared" si="18"/>
        <v>0</v>
      </c>
      <c r="BX32" s="83">
        <v>0</v>
      </c>
      <c r="BY32" s="78">
        <f t="shared" si="19"/>
        <v>636505.94999999995</v>
      </c>
      <c r="BZ32" s="70">
        <f t="shared" si="20"/>
        <v>-607758.85</v>
      </c>
      <c r="CA32" s="70">
        <f t="shared" si="21"/>
        <v>28747.099999999977</v>
      </c>
      <c r="CB32" s="71">
        <f t="shared" si="22"/>
        <v>-6971145.6799999988</v>
      </c>
      <c r="CC32" s="270"/>
      <c r="CD32" s="201"/>
      <c r="CE32" s="69">
        <f t="shared" si="12"/>
        <v>28747.099999999977</v>
      </c>
      <c r="CF32" s="71">
        <f t="shared" si="13"/>
        <v>28747.099999999977</v>
      </c>
    </row>
    <row r="33" spans="1:84" s="161" customFormat="1" ht="15" customHeight="1" outlineLevel="1">
      <c r="A33" s="137">
        <v>0</v>
      </c>
      <c r="B33" s="138" t="s">
        <v>36</v>
      </c>
      <c r="C33" s="139">
        <v>42370</v>
      </c>
      <c r="D33" s="140">
        <v>0</v>
      </c>
      <c r="E33" s="141">
        <v>62</v>
      </c>
      <c r="F33" s="141">
        <v>13</v>
      </c>
      <c r="G33" s="141">
        <v>52</v>
      </c>
      <c r="H33" s="142">
        <v>4134485.3600000008</v>
      </c>
      <c r="I33" s="142">
        <v>533030.54999999993</v>
      </c>
      <c r="J33" s="143">
        <v>0</v>
      </c>
      <c r="K33" s="144">
        <v>0</v>
      </c>
      <c r="L33" s="145">
        <v>0</v>
      </c>
      <c r="M33" s="145">
        <v>0</v>
      </c>
      <c r="N33" s="146">
        <v>606693.68000000005</v>
      </c>
      <c r="O33" s="241">
        <v>0</v>
      </c>
      <c r="P33" s="146">
        <v>0</v>
      </c>
      <c r="Q33" s="146">
        <v>0</v>
      </c>
      <c r="R33" s="147"/>
      <c r="S33" s="147"/>
      <c r="T33" s="147">
        <v>-6058.8</v>
      </c>
      <c r="U33" s="147"/>
      <c r="V33" s="147">
        <f t="shared" si="5"/>
        <v>600634.88</v>
      </c>
      <c r="W33" s="147">
        <v>0</v>
      </c>
      <c r="X33" s="147">
        <v>1948.74</v>
      </c>
      <c r="Y33" s="148">
        <v>3657.41</v>
      </c>
      <c r="Z33" s="149">
        <f t="shared" si="6"/>
        <v>4.1218156282254819E-4</v>
      </c>
      <c r="AA33" s="150">
        <v>0</v>
      </c>
      <c r="AB33" s="151">
        <v>-1253.9999999999927</v>
      </c>
      <c r="AC33" s="204"/>
      <c r="AD33" s="151">
        <v>0</v>
      </c>
      <c r="AE33" s="151">
        <v>0</v>
      </c>
      <c r="AF33" s="204"/>
      <c r="AG33" s="151">
        <v>-26292.25</v>
      </c>
      <c r="AH33" s="193">
        <v>-2335.73</v>
      </c>
      <c r="AI33" s="159">
        <v>-38000</v>
      </c>
      <c r="AJ33" s="152">
        <v>0</v>
      </c>
      <c r="AK33" s="153">
        <v>0</v>
      </c>
      <c r="AL33" s="153">
        <v>-231626.31</v>
      </c>
      <c r="AM33" s="153">
        <v>-13737.67</v>
      </c>
      <c r="AN33" s="154">
        <v>0</v>
      </c>
      <c r="AO33" s="153">
        <v>-160000</v>
      </c>
      <c r="AP33" s="155">
        <v>-44373</v>
      </c>
      <c r="AQ33" s="157">
        <v>-28663.39</v>
      </c>
      <c r="AR33" s="153">
        <v>-7719.11</v>
      </c>
      <c r="AS33" s="153">
        <v>0</v>
      </c>
      <c r="AT33" s="153">
        <v>-544</v>
      </c>
      <c r="AU33" s="153">
        <v>-5818.05</v>
      </c>
      <c r="AV33" s="156">
        <v>-29113.13</v>
      </c>
      <c r="AW33" s="152">
        <v>-5001.67</v>
      </c>
      <c r="AX33" s="152">
        <v>0</v>
      </c>
      <c r="AY33" s="152">
        <v>-38206.68</v>
      </c>
      <c r="AZ33" s="156">
        <v>0</v>
      </c>
      <c r="BA33" s="158">
        <v>0</v>
      </c>
      <c r="BB33" s="151">
        <v>0</v>
      </c>
      <c r="BC33" s="151">
        <v>0</v>
      </c>
      <c r="BD33" s="159">
        <v>0</v>
      </c>
      <c r="BE33" s="160"/>
      <c r="BF33" s="145">
        <f t="shared" si="7"/>
        <v>606241.03</v>
      </c>
      <c r="BG33" s="146">
        <f t="shared" si="8"/>
        <v>-632684.99000000011</v>
      </c>
      <c r="BH33" s="146">
        <f t="shared" si="14"/>
        <v>-26443.960000000079</v>
      </c>
      <c r="BI33" s="148">
        <f t="shared" si="15"/>
        <v>-6997589.6399999987</v>
      </c>
      <c r="BJ33" s="201">
        <f t="shared" si="16"/>
        <v>28608.900000001304</v>
      </c>
      <c r="BL33" s="164"/>
      <c r="BQ33" s="82">
        <v>0</v>
      </c>
      <c r="BR33" s="223">
        <v>0</v>
      </c>
      <c r="BS33" s="223">
        <v>0</v>
      </c>
      <c r="BT33" s="223">
        <v>0</v>
      </c>
      <c r="BU33" s="223">
        <v>0</v>
      </c>
      <c r="BV33" s="223"/>
      <c r="BW33" s="223">
        <f t="shared" si="18"/>
        <v>0</v>
      </c>
      <c r="BX33" s="83">
        <v>0</v>
      </c>
      <c r="BY33" s="78">
        <f t="shared" si="19"/>
        <v>606241.03</v>
      </c>
      <c r="BZ33" s="70">
        <f t="shared" si="20"/>
        <v>-632684.99000000011</v>
      </c>
      <c r="CA33" s="70">
        <f t="shared" si="21"/>
        <v>-26443.960000000079</v>
      </c>
      <c r="CB33" s="71">
        <f t="shared" si="22"/>
        <v>-6997589.6399999987</v>
      </c>
      <c r="CC33" s="270"/>
      <c r="CD33" s="201"/>
      <c r="CE33" s="69">
        <f t="shared" si="12"/>
        <v>-26443.960000000079</v>
      </c>
      <c r="CF33" s="71">
        <f t="shared" si="13"/>
        <v>-26443.960000000079</v>
      </c>
    </row>
    <row r="34" spans="1:84" s="161" customFormat="1" ht="15" customHeight="1" outlineLevel="1">
      <c r="A34" s="137">
        <v>0</v>
      </c>
      <c r="B34" s="138"/>
      <c r="C34" s="139">
        <v>42401</v>
      </c>
      <c r="D34" s="140">
        <v>1</v>
      </c>
      <c r="E34" s="141">
        <v>29</v>
      </c>
      <c r="F34" s="141">
        <v>8</v>
      </c>
      <c r="G34" s="141">
        <v>19</v>
      </c>
      <c r="H34" s="142">
        <v>1715633.8700000003</v>
      </c>
      <c r="I34" s="142">
        <v>360314.98</v>
      </c>
      <c r="J34" s="143">
        <v>0</v>
      </c>
      <c r="K34" s="144">
        <v>0</v>
      </c>
      <c r="L34" s="145">
        <v>0</v>
      </c>
      <c r="M34" s="145">
        <v>0</v>
      </c>
      <c r="N34" s="146">
        <v>689093.91</v>
      </c>
      <c r="O34" s="241">
        <v>0</v>
      </c>
      <c r="P34" s="146">
        <v>0</v>
      </c>
      <c r="Q34" s="146">
        <v>0</v>
      </c>
      <c r="R34" s="147"/>
      <c r="S34" s="147"/>
      <c r="T34" s="147">
        <v>-379.55000000000018</v>
      </c>
      <c r="U34" s="147"/>
      <c r="V34" s="147">
        <f t="shared" si="5"/>
        <v>688714.36</v>
      </c>
      <c r="W34" s="147">
        <v>0</v>
      </c>
      <c r="X34" s="147">
        <v>1128.92</v>
      </c>
      <c r="Y34" s="148">
        <v>674.95</v>
      </c>
      <c r="Z34" s="149">
        <f t="shared" si="6"/>
        <v>1.6371434478101912E-3</v>
      </c>
      <c r="AA34" s="150">
        <v>0</v>
      </c>
      <c r="AB34" s="151">
        <v>-107270.20000000001</v>
      </c>
      <c r="AC34" s="204"/>
      <c r="AD34" s="151">
        <v>0</v>
      </c>
      <c r="AE34" s="151">
        <v>0</v>
      </c>
      <c r="AF34" s="204"/>
      <c r="AG34" s="151">
        <v>-11418</v>
      </c>
      <c r="AH34" s="193">
        <v>0</v>
      </c>
      <c r="AI34" s="159">
        <v>-19000</v>
      </c>
      <c r="AJ34" s="152">
        <v>0</v>
      </c>
      <c r="AK34" s="153">
        <v>0</v>
      </c>
      <c r="AL34" s="153">
        <v>-272659.90000000002</v>
      </c>
      <c r="AM34" s="153">
        <v>-12623.28</v>
      </c>
      <c r="AN34" s="154">
        <v>0</v>
      </c>
      <c r="AO34" s="153">
        <v>-80000</v>
      </c>
      <c r="AP34" s="155">
        <v>-32603.5</v>
      </c>
      <c r="AQ34" s="157">
        <v>-37028.57</v>
      </c>
      <c r="AR34" s="153">
        <v>-7960.22</v>
      </c>
      <c r="AS34" s="153">
        <v>0</v>
      </c>
      <c r="AT34" s="153">
        <v>-1018.14</v>
      </c>
      <c r="AU34" s="153">
        <v>-259.2</v>
      </c>
      <c r="AV34" s="156">
        <v>-27728.66</v>
      </c>
      <c r="AW34" s="152">
        <v>-5717.0099999999993</v>
      </c>
      <c r="AX34" s="152">
        <v>0</v>
      </c>
      <c r="AY34" s="152">
        <v>-36537.699999999997</v>
      </c>
      <c r="AZ34" s="156">
        <v>0</v>
      </c>
      <c r="BA34" s="158">
        <v>0</v>
      </c>
      <c r="BB34" s="151">
        <v>0</v>
      </c>
      <c r="BC34" s="151">
        <v>0</v>
      </c>
      <c r="BD34" s="159">
        <v>0</v>
      </c>
      <c r="BE34" s="160"/>
      <c r="BF34" s="145">
        <f t="shared" si="7"/>
        <v>690518.23</v>
      </c>
      <c r="BG34" s="146">
        <f t="shared" si="8"/>
        <v>-651824.38</v>
      </c>
      <c r="BH34" s="146">
        <f t="shared" si="14"/>
        <v>38693.849999999977</v>
      </c>
      <c r="BI34" s="148">
        <f t="shared" si="15"/>
        <v>-6958895.7899999991</v>
      </c>
      <c r="BJ34" s="201">
        <f t="shared" si="16"/>
        <v>67302.750000000931</v>
      </c>
      <c r="BL34" s="164"/>
      <c r="BQ34" s="82">
        <v>0</v>
      </c>
      <c r="BR34" s="223">
        <v>0</v>
      </c>
      <c r="BS34" s="223">
        <v>0</v>
      </c>
      <c r="BT34" s="223">
        <v>0</v>
      </c>
      <c r="BU34" s="223">
        <v>0</v>
      </c>
      <c r="BV34" s="223"/>
      <c r="BW34" s="223">
        <f t="shared" si="18"/>
        <v>0</v>
      </c>
      <c r="BX34" s="83">
        <v>0</v>
      </c>
      <c r="BY34" s="78">
        <f t="shared" si="19"/>
        <v>690518.23</v>
      </c>
      <c r="BZ34" s="70">
        <f t="shared" si="20"/>
        <v>-651824.38</v>
      </c>
      <c r="CA34" s="70">
        <f t="shared" si="21"/>
        <v>38693.849999999977</v>
      </c>
      <c r="CB34" s="71">
        <f t="shared" si="22"/>
        <v>-6958895.7899999991</v>
      </c>
      <c r="CC34" s="270"/>
      <c r="CD34" s="201"/>
      <c r="CE34" s="69">
        <f t="shared" si="12"/>
        <v>38693.849999999977</v>
      </c>
      <c r="CF34" s="71">
        <f t="shared" si="13"/>
        <v>38693.849999999977</v>
      </c>
    </row>
    <row r="35" spans="1:84" s="161" customFormat="1" ht="15" customHeight="1" outlineLevel="1">
      <c r="A35" s="137">
        <v>0</v>
      </c>
      <c r="B35" s="138"/>
      <c r="C35" s="139">
        <v>42430</v>
      </c>
      <c r="D35" s="140">
        <v>0</v>
      </c>
      <c r="E35" s="141">
        <v>12</v>
      </c>
      <c r="F35" s="141">
        <v>0</v>
      </c>
      <c r="G35" s="141">
        <v>12</v>
      </c>
      <c r="H35" s="142">
        <v>879582.35999999987</v>
      </c>
      <c r="I35" s="142">
        <v>0</v>
      </c>
      <c r="J35" s="143">
        <v>0</v>
      </c>
      <c r="K35" s="144">
        <v>0</v>
      </c>
      <c r="L35" s="145">
        <v>0</v>
      </c>
      <c r="M35" s="145">
        <v>0</v>
      </c>
      <c r="N35" s="146">
        <v>657959.44999999995</v>
      </c>
      <c r="O35" s="241">
        <v>0</v>
      </c>
      <c r="P35" s="146">
        <v>0</v>
      </c>
      <c r="Q35" s="146">
        <v>0</v>
      </c>
      <c r="R35" s="147"/>
      <c r="S35" s="147"/>
      <c r="T35" s="147">
        <v>3445.58</v>
      </c>
      <c r="U35" s="147"/>
      <c r="V35" s="147">
        <f t="shared" si="5"/>
        <v>661405.02999999991</v>
      </c>
      <c r="W35" s="147">
        <v>0</v>
      </c>
      <c r="X35" s="147">
        <v>1005.25</v>
      </c>
      <c r="Y35" s="148">
        <v>1362.46</v>
      </c>
      <c r="Z35" s="149">
        <f t="shared" si="6"/>
        <v>2.4337726476693156E-3</v>
      </c>
      <c r="AA35" s="150">
        <v>0</v>
      </c>
      <c r="AB35" s="151">
        <v>-111829.03</v>
      </c>
      <c r="AC35" s="204"/>
      <c r="AD35" s="151">
        <v>0</v>
      </c>
      <c r="AE35" s="151">
        <v>0</v>
      </c>
      <c r="AF35" s="204"/>
      <c r="AG35" s="151">
        <v>-64612.5</v>
      </c>
      <c r="AH35" s="193">
        <v>0</v>
      </c>
      <c r="AI35" s="159">
        <v>0</v>
      </c>
      <c r="AJ35" s="152">
        <v>0</v>
      </c>
      <c r="AK35" s="153">
        <v>0</v>
      </c>
      <c r="AL35" s="153">
        <v>-287563.65000000002</v>
      </c>
      <c r="AM35" s="153">
        <v>0</v>
      </c>
      <c r="AN35" s="154">
        <v>0</v>
      </c>
      <c r="AO35" s="153">
        <v>-70000</v>
      </c>
      <c r="AP35" s="155">
        <v>-31612.5</v>
      </c>
      <c r="AQ35" s="157">
        <v>-31032.15</v>
      </c>
      <c r="AR35" s="153">
        <v>-7836.55</v>
      </c>
      <c r="AS35" s="153">
        <v>0</v>
      </c>
      <c r="AT35" s="153">
        <v>-5998.4</v>
      </c>
      <c r="AU35" s="153">
        <v>-4839.05</v>
      </c>
      <c r="AV35" s="156">
        <v>-27083.14</v>
      </c>
      <c r="AW35" s="152">
        <v>-6797.07</v>
      </c>
      <c r="AX35" s="152">
        <v>0</v>
      </c>
      <c r="AY35" s="152">
        <v>-41076.81</v>
      </c>
      <c r="AZ35" s="156">
        <v>-9294.99</v>
      </c>
      <c r="BA35" s="158">
        <v>0</v>
      </c>
      <c r="BB35" s="151">
        <v>0</v>
      </c>
      <c r="BC35" s="151">
        <v>0</v>
      </c>
      <c r="BD35" s="159">
        <v>0</v>
      </c>
      <c r="BE35" s="160"/>
      <c r="BF35" s="145">
        <f t="shared" si="7"/>
        <v>663772.73999999987</v>
      </c>
      <c r="BG35" s="146">
        <f t="shared" si="8"/>
        <v>-699575.84000000008</v>
      </c>
      <c r="BH35" s="146">
        <f t="shared" si="14"/>
        <v>-35803.10000000021</v>
      </c>
      <c r="BI35" s="148">
        <f t="shared" si="15"/>
        <v>-6994698.8899999997</v>
      </c>
      <c r="BJ35" s="201">
        <f t="shared" si="16"/>
        <v>31499.650000000373</v>
      </c>
      <c r="BL35" s="164"/>
      <c r="BQ35" s="82">
        <v>0</v>
      </c>
      <c r="BR35" s="223">
        <v>0</v>
      </c>
      <c r="BS35" s="223">
        <v>0</v>
      </c>
      <c r="BT35" s="223">
        <v>0</v>
      </c>
      <c r="BU35" s="223">
        <v>0</v>
      </c>
      <c r="BV35" s="223"/>
      <c r="BW35" s="223">
        <f t="shared" si="18"/>
        <v>0</v>
      </c>
      <c r="BX35" s="83">
        <v>0</v>
      </c>
      <c r="BY35" s="78">
        <f t="shared" si="19"/>
        <v>663772.73999999987</v>
      </c>
      <c r="BZ35" s="70">
        <f t="shared" si="20"/>
        <v>-699575.84000000008</v>
      </c>
      <c r="CA35" s="70">
        <f t="shared" si="21"/>
        <v>-35803.10000000021</v>
      </c>
      <c r="CB35" s="71">
        <f t="shared" si="22"/>
        <v>-6994698.8899999997</v>
      </c>
      <c r="CC35" s="270"/>
      <c r="CD35" s="201"/>
      <c r="CE35" s="69">
        <f t="shared" si="12"/>
        <v>-35803.10000000021</v>
      </c>
      <c r="CF35" s="71">
        <f t="shared" si="13"/>
        <v>-35803.10000000021</v>
      </c>
    </row>
    <row r="36" spans="1:84" s="161" customFormat="1" ht="15" customHeight="1" outlineLevel="1">
      <c r="A36" s="137">
        <v>0</v>
      </c>
      <c r="B36" s="138"/>
      <c r="C36" s="139">
        <v>42461</v>
      </c>
      <c r="D36" s="140">
        <v>0</v>
      </c>
      <c r="E36" s="141">
        <v>14</v>
      </c>
      <c r="F36" s="141">
        <v>0</v>
      </c>
      <c r="G36" s="141">
        <v>18</v>
      </c>
      <c r="H36" s="142">
        <v>1207402.3599999999</v>
      </c>
      <c r="I36" s="142">
        <v>0</v>
      </c>
      <c r="J36" s="143">
        <v>0</v>
      </c>
      <c r="K36" s="144">
        <v>0</v>
      </c>
      <c r="L36" s="145">
        <v>0</v>
      </c>
      <c r="M36" s="145">
        <v>0</v>
      </c>
      <c r="N36" s="146">
        <v>721625.84</v>
      </c>
      <c r="O36" s="241">
        <v>0</v>
      </c>
      <c r="P36" s="146">
        <v>0</v>
      </c>
      <c r="Q36" s="146">
        <v>0</v>
      </c>
      <c r="R36" s="147"/>
      <c r="S36" s="147"/>
      <c r="T36" s="147">
        <v>1328.14</v>
      </c>
      <c r="U36" s="147"/>
      <c r="V36" s="147">
        <f t="shared" si="5"/>
        <v>722953.98</v>
      </c>
      <c r="W36" s="147">
        <v>0</v>
      </c>
      <c r="X36" s="147">
        <v>1005.25</v>
      </c>
      <c r="Y36" s="148">
        <v>3264.27</v>
      </c>
      <c r="Z36" s="149">
        <f t="shared" si="6"/>
        <v>1.5707330939747719E-3</v>
      </c>
      <c r="AA36" s="150">
        <v>0</v>
      </c>
      <c r="AB36" s="151">
        <v>-53290.170000000013</v>
      </c>
      <c r="AC36" s="204"/>
      <c r="AD36" s="151">
        <v>0</v>
      </c>
      <c r="AE36" s="151">
        <v>0</v>
      </c>
      <c r="AF36" s="204"/>
      <c r="AG36" s="151">
        <v>-60583.47</v>
      </c>
      <c r="AH36" s="193">
        <v>0</v>
      </c>
      <c r="AI36" s="159">
        <v>-19000</v>
      </c>
      <c r="AJ36" s="152">
        <v>0</v>
      </c>
      <c r="AK36" s="153">
        <v>0</v>
      </c>
      <c r="AL36" s="153">
        <v>-285830.09999999998</v>
      </c>
      <c r="AM36" s="153">
        <v>-12022.29</v>
      </c>
      <c r="AN36" s="154">
        <v>0</v>
      </c>
      <c r="AO36" s="153">
        <v>-130000</v>
      </c>
      <c r="AP36" s="155">
        <v>-23840.400000000001</v>
      </c>
      <c r="AQ36" s="157">
        <v>-29763.23</v>
      </c>
      <c r="AR36" s="153">
        <v>-7836.55</v>
      </c>
      <c r="AS36" s="153">
        <v>0</v>
      </c>
      <c r="AT36" s="153">
        <v>-88</v>
      </c>
      <c r="AU36" s="153">
        <v>-3899.45</v>
      </c>
      <c r="AV36" s="156">
        <v>-31069.1</v>
      </c>
      <c r="AW36" s="152">
        <v>-7205.7400000000007</v>
      </c>
      <c r="AX36" s="152">
        <v>0</v>
      </c>
      <c r="AY36" s="152">
        <v>-41431.019999999997</v>
      </c>
      <c r="AZ36" s="156">
        <v>0</v>
      </c>
      <c r="BA36" s="158">
        <v>0</v>
      </c>
      <c r="BB36" s="151">
        <v>0</v>
      </c>
      <c r="BC36" s="151">
        <v>0</v>
      </c>
      <c r="BD36" s="159">
        <v>-10052.84</v>
      </c>
      <c r="BE36" s="160"/>
      <c r="BF36" s="145">
        <f t="shared" si="7"/>
        <v>727223.5</v>
      </c>
      <c r="BG36" s="146">
        <f t="shared" si="8"/>
        <v>-715912.36</v>
      </c>
      <c r="BH36" s="146">
        <f t="shared" si="14"/>
        <v>11311.140000000014</v>
      </c>
      <c r="BI36" s="148">
        <f t="shared" si="15"/>
        <v>-6983387.75</v>
      </c>
      <c r="BJ36" s="201">
        <f t="shared" si="16"/>
        <v>42810.790000000037</v>
      </c>
      <c r="BL36" s="164"/>
      <c r="BQ36" s="82">
        <v>0</v>
      </c>
      <c r="BR36" s="223">
        <v>0</v>
      </c>
      <c r="BS36" s="223">
        <v>0</v>
      </c>
      <c r="BT36" s="223">
        <v>0</v>
      </c>
      <c r="BU36" s="223">
        <v>0</v>
      </c>
      <c r="BV36" s="223"/>
      <c r="BW36" s="223">
        <f t="shared" si="18"/>
        <v>0</v>
      </c>
      <c r="BX36" s="83">
        <v>0</v>
      </c>
      <c r="BY36" s="78">
        <f t="shared" si="19"/>
        <v>727223.5</v>
      </c>
      <c r="BZ36" s="70">
        <f t="shared" si="20"/>
        <v>-715912.36</v>
      </c>
      <c r="CA36" s="70">
        <f t="shared" si="21"/>
        <v>11311.140000000014</v>
      </c>
      <c r="CB36" s="71">
        <f t="shared" si="22"/>
        <v>-6983387.75</v>
      </c>
      <c r="CC36" s="270"/>
      <c r="CD36" s="201"/>
      <c r="CE36" s="69">
        <f t="shared" si="12"/>
        <v>11311.140000000014</v>
      </c>
      <c r="CF36" s="71">
        <f t="shared" si="13"/>
        <v>11311.140000000014</v>
      </c>
    </row>
    <row r="37" spans="1:84" s="161" customFormat="1" ht="15" customHeight="1" outlineLevel="1">
      <c r="A37" s="137">
        <v>0</v>
      </c>
      <c r="B37" s="138"/>
      <c r="C37" s="139">
        <v>42491</v>
      </c>
      <c r="D37" s="140">
        <v>1</v>
      </c>
      <c r="E37" s="141">
        <v>45</v>
      </c>
      <c r="F37" s="141">
        <v>0</v>
      </c>
      <c r="G37" s="141">
        <v>21</v>
      </c>
      <c r="H37" s="142">
        <v>2517521.6699999995</v>
      </c>
      <c r="I37" s="142">
        <v>35133.24</v>
      </c>
      <c r="J37" s="143">
        <v>0</v>
      </c>
      <c r="K37" s="144">
        <v>0</v>
      </c>
      <c r="L37" s="145">
        <v>0</v>
      </c>
      <c r="M37" s="145">
        <v>0</v>
      </c>
      <c r="N37" s="146">
        <v>718195.03</v>
      </c>
      <c r="O37" s="241">
        <v>0</v>
      </c>
      <c r="P37" s="146">
        <v>0</v>
      </c>
      <c r="Q37" s="146">
        <v>0</v>
      </c>
      <c r="R37" s="147"/>
      <c r="S37" s="147"/>
      <c r="T37" s="147">
        <v>2872.67</v>
      </c>
      <c r="U37" s="147"/>
      <c r="V37" s="147">
        <f t="shared" si="5"/>
        <v>721067.70000000007</v>
      </c>
      <c r="W37" s="147">
        <v>0</v>
      </c>
      <c r="X37" s="147">
        <v>0</v>
      </c>
      <c r="Y37" s="148">
        <v>3017.13</v>
      </c>
      <c r="Z37" s="149">
        <f t="shared" si="6"/>
        <v>1.7665586413201457E-3</v>
      </c>
      <c r="AA37" s="150">
        <v>0</v>
      </c>
      <c r="AB37" s="151">
        <v>-107227.43</v>
      </c>
      <c r="AC37" s="204"/>
      <c r="AD37" s="151">
        <v>0</v>
      </c>
      <c r="AE37" s="151">
        <v>0</v>
      </c>
      <c r="AF37" s="204"/>
      <c r="AG37" s="151">
        <v>-20843</v>
      </c>
      <c r="AH37" s="193">
        <v>0</v>
      </c>
      <c r="AI37" s="159">
        <v>-92234.31</v>
      </c>
      <c r="AJ37" s="152">
        <v>0</v>
      </c>
      <c r="AK37" s="153">
        <v>0</v>
      </c>
      <c r="AL37" s="153">
        <v>-244885.63</v>
      </c>
      <c r="AM37" s="153">
        <v>-13562.43</v>
      </c>
      <c r="AN37" s="154">
        <v>0</v>
      </c>
      <c r="AO37" s="153">
        <v>-112136.3</v>
      </c>
      <c r="AP37" s="155">
        <v>-21168.15</v>
      </c>
      <c r="AQ37" s="157">
        <v>-41954.42</v>
      </c>
      <c r="AR37" s="153">
        <v>-6831.3</v>
      </c>
      <c r="AS37" s="153">
        <v>0</v>
      </c>
      <c r="AT37" s="153">
        <v>-93.92</v>
      </c>
      <c r="AU37" s="153">
        <v>-12420.9</v>
      </c>
      <c r="AV37" s="156">
        <v>-21087.88</v>
      </c>
      <c r="AW37" s="152">
        <v>-8394.31</v>
      </c>
      <c r="AX37" s="152">
        <v>0</v>
      </c>
      <c r="AY37" s="152">
        <v>-43609.35</v>
      </c>
      <c r="AZ37" s="156">
        <v>0</v>
      </c>
      <c r="BA37" s="158">
        <v>0</v>
      </c>
      <c r="BB37" s="151">
        <v>0</v>
      </c>
      <c r="BC37" s="151">
        <v>0</v>
      </c>
      <c r="BD37" s="159">
        <v>0</v>
      </c>
      <c r="BE37" s="160"/>
      <c r="BF37" s="145">
        <f t="shared" si="7"/>
        <v>724084.83000000007</v>
      </c>
      <c r="BG37" s="146">
        <f t="shared" si="8"/>
        <v>-746449.33000000019</v>
      </c>
      <c r="BH37" s="146">
        <f t="shared" si="14"/>
        <v>-22364.500000000116</v>
      </c>
      <c r="BI37" s="148">
        <f t="shared" si="15"/>
        <v>-7005752.25</v>
      </c>
      <c r="BJ37" s="201">
        <f t="shared" si="16"/>
        <v>20446.290000000037</v>
      </c>
      <c r="BL37" s="164"/>
      <c r="BQ37" s="82">
        <v>0</v>
      </c>
      <c r="BR37" s="223">
        <v>0</v>
      </c>
      <c r="BS37" s="223">
        <v>0</v>
      </c>
      <c r="BT37" s="223">
        <v>0</v>
      </c>
      <c r="BU37" s="223">
        <v>0</v>
      </c>
      <c r="BV37" s="223"/>
      <c r="BW37" s="223">
        <f t="shared" si="18"/>
        <v>0</v>
      </c>
      <c r="BX37" s="83">
        <v>0</v>
      </c>
      <c r="BY37" s="78">
        <f t="shared" si="19"/>
        <v>724084.83000000007</v>
      </c>
      <c r="BZ37" s="70">
        <f t="shared" si="20"/>
        <v>-746449.33000000019</v>
      </c>
      <c r="CA37" s="70">
        <f t="shared" si="21"/>
        <v>-22364.500000000116</v>
      </c>
      <c r="CB37" s="71">
        <f t="shared" si="22"/>
        <v>-7005752.25</v>
      </c>
      <c r="CC37" s="270"/>
      <c r="CD37" s="201"/>
      <c r="CE37" s="69">
        <f t="shared" si="12"/>
        <v>-22364.500000000116</v>
      </c>
      <c r="CF37" s="71">
        <f t="shared" si="13"/>
        <v>-22364.500000000116</v>
      </c>
    </row>
    <row r="38" spans="1:84" s="161" customFormat="1" ht="15" customHeight="1" outlineLevel="1">
      <c r="A38" s="137">
        <v>0</v>
      </c>
      <c r="B38" s="138"/>
      <c r="C38" s="139">
        <v>42522</v>
      </c>
      <c r="D38" s="140">
        <v>0</v>
      </c>
      <c r="E38" s="141">
        <v>23</v>
      </c>
      <c r="F38" s="141">
        <v>0</v>
      </c>
      <c r="G38" s="141">
        <v>5</v>
      </c>
      <c r="H38" s="142">
        <v>1027452.7499999999</v>
      </c>
      <c r="I38" s="142">
        <v>0</v>
      </c>
      <c r="J38" s="143">
        <v>0</v>
      </c>
      <c r="K38" s="144">
        <v>0</v>
      </c>
      <c r="L38" s="145">
        <v>0</v>
      </c>
      <c r="M38" s="145">
        <v>0</v>
      </c>
      <c r="N38" s="146">
        <v>871219.61</v>
      </c>
      <c r="O38" s="241">
        <v>0</v>
      </c>
      <c r="P38" s="146">
        <v>0</v>
      </c>
      <c r="Q38" s="146">
        <v>0</v>
      </c>
      <c r="R38" s="147"/>
      <c r="S38" s="147"/>
      <c r="T38" s="147">
        <v>963.32999999999993</v>
      </c>
      <c r="U38" s="147"/>
      <c r="V38" s="147">
        <f t="shared" si="5"/>
        <v>872182.94</v>
      </c>
      <c r="W38" s="147">
        <v>0</v>
      </c>
      <c r="X38" s="147">
        <v>5616.05</v>
      </c>
      <c r="Y38" s="148">
        <v>-574.67000000000007</v>
      </c>
      <c r="Z38" s="149">
        <f t="shared" si="6"/>
        <v>2.5495261967612526E-3</v>
      </c>
      <c r="AA38" s="150">
        <v>0</v>
      </c>
      <c r="AB38" s="151">
        <v>-170625.83000000005</v>
      </c>
      <c r="AC38" s="204"/>
      <c r="AD38" s="151">
        <v>0</v>
      </c>
      <c r="AE38" s="151">
        <v>0</v>
      </c>
      <c r="AF38" s="204"/>
      <c r="AG38" s="151">
        <v>-14207.5</v>
      </c>
      <c r="AH38" s="193">
        <v>0</v>
      </c>
      <c r="AI38" s="159">
        <v>-95490.03</v>
      </c>
      <c r="AJ38" s="152">
        <v>0</v>
      </c>
      <c r="AK38" s="153">
        <v>0</v>
      </c>
      <c r="AL38" s="153">
        <v>-236136.32000000001</v>
      </c>
      <c r="AM38" s="153">
        <v>-14738.5</v>
      </c>
      <c r="AN38" s="154">
        <v>0</v>
      </c>
      <c r="AO38" s="153">
        <v>-94667.69</v>
      </c>
      <c r="AP38" s="155">
        <v>-42472</v>
      </c>
      <c r="AQ38" s="157">
        <v>-32753.599999999999</v>
      </c>
      <c r="AR38" s="153">
        <v>-12447.35</v>
      </c>
      <c r="AS38" s="153">
        <v>0</v>
      </c>
      <c r="AT38" s="153">
        <v>-44</v>
      </c>
      <c r="AU38" s="153">
        <v>-4051.05</v>
      </c>
      <c r="AV38" s="156">
        <v>-24280.05</v>
      </c>
      <c r="AW38" s="152">
        <v>-9394.4</v>
      </c>
      <c r="AX38" s="152">
        <v>0</v>
      </c>
      <c r="AY38" s="152">
        <v>-43848.44</v>
      </c>
      <c r="AZ38" s="156">
        <v>0</v>
      </c>
      <c r="BA38" s="158">
        <v>0</v>
      </c>
      <c r="BB38" s="151">
        <v>0</v>
      </c>
      <c r="BC38" s="151">
        <v>0</v>
      </c>
      <c r="BD38" s="159">
        <v>-2521.13</v>
      </c>
      <c r="BE38" s="160"/>
      <c r="BF38" s="145">
        <f t="shared" si="7"/>
        <v>877224.32</v>
      </c>
      <c r="BG38" s="146">
        <f t="shared" si="8"/>
        <v>-797677.89000000025</v>
      </c>
      <c r="BH38" s="146">
        <f t="shared" si="14"/>
        <v>79546.429999999702</v>
      </c>
      <c r="BI38" s="148">
        <f t="shared" si="15"/>
        <v>-6926205.8200000003</v>
      </c>
      <c r="BJ38" s="201">
        <f t="shared" si="16"/>
        <v>99992.719999999739</v>
      </c>
      <c r="BL38" s="164"/>
      <c r="BQ38" s="82">
        <v>0</v>
      </c>
      <c r="BR38" s="223">
        <v>0</v>
      </c>
      <c r="BS38" s="223">
        <v>0</v>
      </c>
      <c r="BT38" s="223">
        <v>0</v>
      </c>
      <c r="BU38" s="223">
        <v>0</v>
      </c>
      <c r="BV38" s="223"/>
      <c r="BW38" s="223">
        <f t="shared" si="18"/>
        <v>0</v>
      </c>
      <c r="BX38" s="83">
        <v>0</v>
      </c>
      <c r="BY38" s="78">
        <f t="shared" si="19"/>
        <v>877224.32</v>
      </c>
      <c r="BZ38" s="70">
        <f t="shared" si="20"/>
        <v>-797677.89000000025</v>
      </c>
      <c r="CA38" s="70">
        <f t="shared" si="21"/>
        <v>79546.429999999702</v>
      </c>
      <c r="CB38" s="71">
        <f t="shared" si="22"/>
        <v>-6926205.8200000003</v>
      </c>
      <c r="CC38" s="270"/>
      <c r="CD38" s="201"/>
      <c r="CE38" s="69">
        <f t="shared" si="12"/>
        <v>79546.429999999702</v>
      </c>
      <c r="CF38" s="71">
        <f t="shared" si="13"/>
        <v>79546.429999999702</v>
      </c>
    </row>
    <row r="39" spans="1:84" s="161" customFormat="1" ht="15" customHeight="1" outlineLevel="1">
      <c r="A39" s="137">
        <v>0</v>
      </c>
      <c r="B39" s="138"/>
      <c r="C39" s="139">
        <v>42552</v>
      </c>
      <c r="D39" s="140">
        <v>0</v>
      </c>
      <c r="E39" s="141">
        <v>85</v>
      </c>
      <c r="F39" s="141">
        <v>8</v>
      </c>
      <c r="G39" s="141">
        <v>86</v>
      </c>
      <c r="H39" s="142">
        <v>6822121.8200000124</v>
      </c>
      <c r="I39" s="142">
        <v>356771.76</v>
      </c>
      <c r="J39" s="143">
        <v>0</v>
      </c>
      <c r="K39" s="144">
        <v>0</v>
      </c>
      <c r="L39" s="145">
        <v>0</v>
      </c>
      <c r="M39" s="145">
        <v>0</v>
      </c>
      <c r="N39" s="146">
        <v>868516.98</v>
      </c>
      <c r="O39" s="241">
        <v>0</v>
      </c>
      <c r="P39" s="146">
        <v>0</v>
      </c>
      <c r="Q39" s="146">
        <v>0</v>
      </c>
      <c r="R39" s="147"/>
      <c r="S39" s="147"/>
      <c r="T39" s="147">
        <v>-20654.849999999999</v>
      </c>
      <c r="U39" s="147"/>
      <c r="V39" s="147">
        <f t="shared" si="5"/>
        <v>847862.13</v>
      </c>
      <c r="W39" s="147">
        <v>0</v>
      </c>
      <c r="X39" s="147">
        <v>1005.44</v>
      </c>
      <c r="Y39" s="148">
        <v>-34146.81</v>
      </c>
      <c r="Z39" s="149">
        <f t="shared" si="6"/>
        <v>2.6811711337363401E-3</v>
      </c>
      <c r="AA39" s="150">
        <v>0</v>
      </c>
      <c r="AB39" s="151">
        <v>-169046.26999999996</v>
      </c>
      <c r="AC39" s="204"/>
      <c r="AD39" s="151">
        <v>0</v>
      </c>
      <c r="AE39" s="151">
        <v>0</v>
      </c>
      <c r="AF39" s="204"/>
      <c r="AG39" s="151">
        <v>-25330.94</v>
      </c>
      <c r="AH39" s="193">
        <v>0</v>
      </c>
      <c r="AI39" s="159">
        <v>-96016.77</v>
      </c>
      <c r="AJ39" s="152">
        <v>0</v>
      </c>
      <c r="AK39" s="153">
        <v>0</v>
      </c>
      <c r="AL39" s="153">
        <v>-282295.37</v>
      </c>
      <c r="AM39" s="153">
        <v>-32297.77</v>
      </c>
      <c r="AN39" s="154">
        <v>0</v>
      </c>
      <c r="AO39" s="153">
        <v>-100000</v>
      </c>
      <c r="AP39" s="155">
        <v>-27741</v>
      </c>
      <c r="AQ39" s="157">
        <v>-54330.98</v>
      </c>
      <c r="AR39" s="153">
        <v>-7836.74</v>
      </c>
      <c r="AS39" s="153">
        <v>0</v>
      </c>
      <c r="AT39" s="153">
        <v>-99.38</v>
      </c>
      <c r="AU39" s="153">
        <v>-4286.8999999999996</v>
      </c>
      <c r="AV39" s="156">
        <v>-13307.69</v>
      </c>
      <c r="AW39" s="152">
        <v>-8320.1299999999974</v>
      </c>
      <c r="AX39" s="152">
        <v>0</v>
      </c>
      <c r="AY39" s="152">
        <v>-53136</v>
      </c>
      <c r="AZ39" s="156">
        <v>0</v>
      </c>
      <c r="BA39" s="158">
        <v>0</v>
      </c>
      <c r="BB39" s="151">
        <v>0</v>
      </c>
      <c r="BC39" s="151">
        <v>0</v>
      </c>
      <c r="BD39" s="159">
        <v>0</v>
      </c>
      <c r="BE39" s="160"/>
      <c r="BF39" s="145">
        <f t="shared" si="7"/>
        <v>814720.76</v>
      </c>
      <c r="BG39" s="146">
        <f t="shared" si="8"/>
        <v>-874045.94</v>
      </c>
      <c r="BH39" s="146">
        <f t="shared" si="14"/>
        <v>-59325.179999999935</v>
      </c>
      <c r="BI39" s="148">
        <f t="shared" si="15"/>
        <v>-6985531</v>
      </c>
      <c r="BJ39" s="201">
        <f t="shared" si="16"/>
        <v>40667.540000000037</v>
      </c>
      <c r="BL39" s="164"/>
      <c r="BQ39" s="82">
        <v>0</v>
      </c>
      <c r="BR39" s="223">
        <v>0</v>
      </c>
      <c r="BS39" s="223">
        <v>0</v>
      </c>
      <c r="BT39" s="223">
        <v>0</v>
      </c>
      <c r="BU39" s="223">
        <v>0</v>
      </c>
      <c r="BV39" s="223"/>
      <c r="BW39" s="223">
        <f t="shared" si="18"/>
        <v>0</v>
      </c>
      <c r="BX39" s="83">
        <v>0</v>
      </c>
      <c r="BY39" s="78">
        <f t="shared" si="19"/>
        <v>814720.76</v>
      </c>
      <c r="BZ39" s="70">
        <f t="shared" si="20"/>
        <v>-874045.94</v>
      </c>
      <c r="CA39" s="70">
        <f t="shared" si="21"/>
        <v>-59325.179999999935</v>
      </c>
      <c r="CB39" s="71">
        <f t="shared" si="22"/>
        <v>-6985531</v>
      </c>
      <c r="CC39" s="270"/>
      <c r="CD39" s="201"/>
      <c r="CE39" s="69">
        <f t="shared" si="12"/>
        <v>-59325.179999999935</v>
      </c>
      <c r="CF39" s="71">
        <f t="shared" si="13"/>
        <v>-59325.179999999935</v>
      </c>
    </row>
    <row r="40" spans="1:84" s="161" customFormat="1" ht="15" customHeight="1" outlineLevel="1">
      <c r="A40" s="137">
        <v>0</v>
      </c>
      <c r="B40" s="138"/>
      <c r="C40" s="139">
        <v>42583</v>
      </c>
      <c r="D40" s="140">
        <v>1</v>
      </c>
      <c r="E40" s="141">
        <v>26</v>
      </c>
      <c r="F40" s="141">
        <v>3</v>
      </c>
      <c r="G40" s="141">
        <v>24</v>
      </c>
      <c r="H40" s="142">
        <v>1972287.7999999993</v>
      </c>
      <c r="I40" s="142">
        <v>168922.65</v>
      </c>
      <c r="J40" s="143">
        <v>0</v>
      </c>
      <c r="K40" s="144">
        <v>0</v>
      </c>
      <c r="L40" s="145">
        <v>0</v>
      </c>
      <c r="M40" s="145">
        <v>0</v>
      </c>
      <c r="N40" s="146">
        <v>916180.14</v>
      </c>
      <c r="O40" s="241">
        <v>0</v>
      </c>
      <c r="P40" s="146">
        <v>0</v>
      </c>
      <c r="Q40" s="146">
        <v>0</v>
      </c>
      <c r="R40" s="147"/>
      <c r="S40" s="147"/>
      <c r="T40" s="147">
        <v>-12862.640000000003</v>
      </c>
      <c r="U40" s="147"/>
      <c r="V40" s="147">
        <f t="shared" si="5"/>
        <v>903317.5</v>
      </c>
      <c r="W40" s="147">
        <v>0</v>
      </c>
      <c r="X40" s="147">
        <v>453.33</v>
      </c>
      <c r="Y40" s="148">
        <v>-7647.2300000000005</v>
      </c>
      <c r="Z40" s="149">
        <f t="shared" si="6"/>
        <v>3.1609610288659872E-3</v>
      </c>
      <c r="AA40" s="150">
        <v>0</v>
      </c>
      <c r="AB40" s="151">
        <v>-219799.09999999998</v>
      </c>
      <c r="AC40" s="204"/>
      <c r="AD40" s="151">
        <v>0</v>
      </c>
      <c r="AE40" s="151">
        <v>0</v>
      </c>
      <c r="AF40" s="204"/>
      <c r="AG40" s="151">
        <v>-9361.5</v>
      </c>
      <c r="AH40" s="193">
        <v>0</v>
      </c>
      <c r="AI40" s="159">
        <v>-96391.8</v>
      </c>
      <c r="AJ40" s="152">
        <v>0</v>
      </c>
      <c r="AK40" s="153">
        <v>0</v>
      </c>
      <c r="AL40" s="153">
        <v>-275844.33</v>
      </c>
      <c r="AM40" s="153">
        <v>0</v>
      </c>
      <c r="AN40" s="154">
        <v>0</v>
      </c>
      <c r="AO40" s="153">
        <v>-90000</v>
      </c>
      <c r="AP40" s="155">
        <v>-35095</v>
      </c>
      <c r="AQ40" s="157">
        <v>-69650.210000000006</v>
      </c>
      <c r="AR40" s="153">
        <v>-8187.95</v>
      </c>
      <c r="AS40" s="153">
        <v>0</v>
      </c>
      <c r="AT40" s="153">
        <v>-647.55999999999995</v>
      </c>
      <c r="AU40" s="153">
        <v>-2445.5</v>
      </c>
      <c r="AV40" s="156">
        <v>-20887.7</v>
      </c>
      <c r="AW40" s="152">
        <v>-9091.1799999999967</v>
      </c>
      <c r="AX40" s="152">
        <v>0</v>
      </c>
      <c r="AY40" s="152">
        <v>-53627.71</v>
      </c>
      <c r="AZ40" s="156">
        <v>-16298.27</v>
      </c>
      <c r="BA40" s="158">
        <v>0</v>
      </c>
      <c r="BB40" s="151">
        <v>0</v>
      </c>
      <c r="BC40" s="151">
        <v>0</v>
      </c>
      <c r="BD40" s="159">
        <v>0</v>
      </c>
      <c r="BE40" s="160"/>
      <c r="BF40" s="145">
        <f t="shared" si="7"/>
        <v>896123.6</v>
      </c>
      <c r="BG40" s="146">
        <f t="shared" si="8"/>
        <v>-907327.80999999994</v>
      </c>
      <c r="BH40" s="146">
        <f t="shared" si="14"/>
        <v>-11204.209999999963</v>
      </c>
      <c r="BI40" s="148">
        <f t="shared" si="15"/>
        <v>-6996735.21</v>
      </c>
      <c r="BJ40" s="201">
        <f t="shared" si="16"/>
        <v>29463.330000000075</v>
      </c>
      <c r="BL40" s="164"/>
      <c r="BQ40" s="82">
        <v>0</v>
      </c>
      <c r="BR40" s="223">
        <v>0</v>
      </c>
      <c r="BS40" s="223">
        <v>0</v>
      </c>
      <c r="BT40" s="223">
        <v>0</v>
      </c>
      <c r="BU40" s="223">
        <v>0</v>
      </c>
      <c r="BV40" s="223"/>
      <c r="BW40" s="223">
        <f t="shared" si="18"/>
        <v>0</v>
      </c>
      <c r="BX40" s="83">
        <v>0</v>
      </c>
      <c r="BY40" s="78">
        <f t="shared" si="19"/>
        <v>896123.6</v>
      </c>
      <c r="BZ40" s="70">
        <f t="shared" si="20"/>
        <v>-907327.80999999994</v>
      </c>
      <c r="CA40" s="70">
        <f t="shared" si="21"/>
        <v>-11204.209999999963</v>
      </c>
      <c r="CB40" s="71">
        <f t="shared" si="22"/>
        <v>-6996735.21</v>
      </c>
      <c r="CC40" s="270"/>
      <c r="CD40" s="201"/>
      <c r="CE40" s="69">
        <f t="shared" si="12"/>
        <v>-11204.209999999963</v>
      </c>
      <c r="CF40" s="71">
        <f t="shared" si="13"/>
        <v>-11204.209999999963</v>
      </c>
    </row>
    <row r="41" spans="1:84" s="161" customFormat="1" ht="15" customHeight="1" outlineLevel="1">
      <c r="A41" s="137">
        <v>0</v>
      </c>
      <c r="B41" s="138"/>
      <c r="C41" s="139">
        <v>42614</v>
      </c>
      <c r="D41" s="140">
        <v>0</v>
      </c>
      <c r="E41" s="141">
        <v>36</v>
      </c>
      <c r="F41" s="141">
        <v>0</v>
      </c>
      <c r="G41" s="141">
        <v>16</v>
      </c>
      <c r="H41" s="142">
        <v>1978340.1599999997</v>
      </c>
      <c r="I41" s="142">
        <v>0</v>
      </c>
      <c r="J41" s="143">
        <v>0</v>
      </c>
      <c r="K41" s="144">
        <v>0</v>
      </c>
      <c r="L41" s="145">
        <v>0</v>
      </c>
      <c r="M41" s="145">
        <v>0</v>
      </c>
      <c r="N41" s="146">
        <v>910901.16</v>
      </c>
      <c r="O41" s="241">
        <v>0</v>
      </c>
      <c r="P41" s="146">
        <v>0</v>
      </c>
      <c r="Q41" s="146">
        <v>0</v>
      </c>
      <c r="R41" s="147"/>
      <c r="S41" s="147"/>
      <c r="T41" s="147">
        <v>4832.6799999999994</v>
      </c>
      <c r="U41" s="147"/>
      <c r="V41" s="147">
        <f t="shared" si="5"/>
        <v>915733.84000000008</v>
      </c>
      <c r="W41" s="147">
        <v>0</v>
      </c>
      <c r="X41" s="147">
        <v>0</v>
      </c>
      <c r="Y41" s="148">
        <v>26693.429999999997</v>
      </c>
      <c r="Z41" s="149">
        <f t="shared" si="6"/>
        <v>4.0934209866215097E-3</v>
      </c>
      <c r="AA41" s="150">
        <v>0</v>
      </c>
      <c r="AB41" s="151">
        <v>-286354.60000000003</v>
      </c>
      <c r="AC41" s="204"/>
      <c r="AD41" s="151">
        <v>0</v>
      </c>
      <c r="AE41" s="151">
        <v>0</v>
      </c>
      <c r="AF41" s="204"/>
      <c r="AG41" s="151">
        <v>-10406.67</v>
      </c>
      <c r="AH41" s="193">
        <v>0</v>
      </c>
      <c r="AI41" s="159">
        <v>-97227.46</v>
      </c>
      <c r="AJ41" s="152">
        <v>0</v>
      </c>
      <c r="AK41" s="153">
        <v>0</v>
      </c>
      <c r="AL41" s="153">
        <v>-253949.99</v>
      </c>
      <c r="AM41" s="153">
        <v>-17919.21</v>
      </c>
      <c r="AN41" s="154">
        <v>0</v>
      </c>
      <c r="AO41" s="153">
        <v>-60000</v>
      </c>
      <c r="AP41" s="155">
        <v>-30646</v>
      </c>
      <c r="AQ41" s="157">
        <v>-6000</v>
      </c>
      <c r="AR41" s="153">
        <v>-7666.04</v>
      </c>
      <c r="AS41" s="153">
        <v>0</v>
      </c>
      <c r="AT41" s="153">
        <v>-2643.33</v>
      </c>
      <c r="AU41" s="153">
        <v>-7475.65</v>
      </c>
      <c r="AV41" s="156">
        <v>-84995.01</v>
      </c>
      <c r="AW41" s="152">
        <v>-11673.68</v>
      </c>
      <c r="AX41" s="152">
        <v>0</v>
      </c>
      <c r="AY41" s="152">
        <v>-54892</v>
      </c>
      <c r="AZ41" s="156">
        <v>0</v>
      </c>
      <c r="BA41" s="158">
        <v>0</v>
      </c>
      <c r="BB41" s="151">
        <v>0</v>
      </c>
      <c r="BC41" s="151">
        <v>0</v>
      </c>
      <c r="BD41" s="159">
        <v>0</v>
      </c>
      <c r="BE41" s="160"/>
      <c r="BF41" s="145">
        <f t="shared" si="7"/>
        <v>942427.27000000014</v>
      </c>
      <c r="BG41" s="146">
        <f t="shared" si="8"/>
        <v>-931849.64</v>
      </c>
      <c r="BH41" s="146">
        <f t="shared" si="14"/>
        <v>10577.630000000121</v>
      </c>
      <c r="BI41" s="148">
        <f t="shared" si="15"/>
        <v>-6986157.5800000001</v>
      </c>
      <c r="BJ41" s="201">
        <f t="shared" si="16"/>
        <v>40040.959999999963</v>
      </c>
      <c r="BL41" s="164"/>
      <c r="BQ41" s="82">
        <v>0</v>
      </c>
      <c r="BR41" s="223">
        <v>0</v>
      </c>
      <c r="BS41" s="223">
        <v>0</v>
      </c>
      <c r="BT41" s="223">
        <v>0</v>
      </c>
      <c r="BU41" s="223">
        <v>0</v>
      </c>
      <c r="BV41" s="223"/>
      <c r="BW41" s="223">
        <f t="shared" si="18"/>
        <v>0</v>
      </c>
      <c r="BX41" s="83">
        <v>0</v>
      </c>
      <c r="BY41" s="78">
        <f t="shared" ref="BY41:BY54" si="25">BF41</f>
        <v>942427.27000000014</v>
      </c>
      <c r="BZ41" s="70">
        <f t="shared" ref="BZ41:BZ54" si="26">BG41</f>
        <v>-931849.64</v>
      </c>
      <c r="CA41" s="70">
        <f t="shared" ref="CA41:CA54" si="27">BH41</f>
        <v>10577.630000000121</v>
      </c>
      <c r="CB41" s="71">
        <f t="shared" ref="CB41:CB54" si="28">BI41</f>
        <v>-6986157.5800000001</v>
      </c>
      <c r="CC41" s="270"/>
      <c r="CD41" s="201"/>
      <c r="CE41" s="69">
        <f t="shared" si="12"/>
        <v>10577.630000000121</v>
      </c>
      <c r="CF41" s="71">
        <f t="shared" si="13"/>
        <v>10577.630000000121</v>
      </c>
    </row>
    <row r="42" spans="1:84" s="161" customFormat="1" ht="15" customHeight="1" outlineLevel="1">
      <c r="A42" s="137">
        <v>0</v>
      </c>
      <c r="B42" s="138"/>
      <c r="C42" s="139">
        <v>42644</v>
      </c>
      <c r="D42" s="140">
        <v>3</v>
      </c>
      <c r="E42" s="141">
        <v>65</v>
      </c>
      <c r="F42" s="141">
        <v>7</v>
      </c>
      <c r="G42" s="141">
        <v>42</v>
      </c>
      <c r="H42" s="142">
        <v>4156712.34</v>
      </c>
      <c r="I42" s="142">
        <v>417575.01</v>
      </c>
      <c r="J42" s="143">
        <v>0</v>
      </c>
      <c r="K42" s="144">
        <v>0</v>
      </c>
      <c r="L42" s="145">
        <v>0</v>
      </c>
      <c r="M42" s="145">
        <v>0</v>
      </c>
      <c r="N42" s="146">
        <v>1065192.3700000001</v>
      </c>
      <c r="O42" s="241">
        <v>0</v>
      </c>
      <c r="P42" s="146">
        <v>0</v>
      </c>
      <c r="Q42" s="146">
        <v>0</v>
      </c>
      <c r="R42" s="147"/>
      <c r="S42" s="147"/>
      <c r="T42" s="147">
        <v>-7446.7300000000005</v>
      </c>
      <c r="U42" s="147"/>
      <c r="V42" s="147">
        <f t="shared" si="5"/>
        <v>1057745.6400000001</v>
      </c>
      <c r="W42" s="147">
        <v>0</v>
      </c>
      <c r="X42" s="147">
        <v>2511.16</v>
      </c>
      <c r="Y42" s="148">
        <v>-9906.7200000000012</v>
      </c>
      <c r="Z42" s="149">
        <f t="shared" si="6"/>
        <v>3.9245021598928896E-3</v>
      </c>
      <c r="AA42" s="150">
        <v>0</v>
      </c>
      <c r="AB42" s="151">
        <v>-264990.76</v>
      </c>
      <c r="AC42" s="204"/>
      <c r="AD42" s="151">
        <v>0</v>
      </c>
      <c r="AE42" s="151">
        <v>0</v>
      </c>
      <c r="AF42" s="204"/>
      <c r="AG42" s="151">
        <v>-19524.38</v>
      </c>
      <c r="AH42" s="193">
        <v>0</v>
      </c>
      <c r="AI42" s="159">
        <v>-97594.23</v>
      </c>
      <c r="AJ42" s="152">
        <v>0</v>
      </c>
      <c r="AK42" s="153">
        <v>0</v>
      </c>
      <c r="AL42" s="153">
        <v>-313970.15999999997</v>
      </c>
      <c r="AM42" s="153">
        <v>-18462.009999999998</v>
      </c>
      <c r="AN42" s="154">
        <v>0</v>
      </c>
      <c r="AO42" s="153">
        <v>-60000</v>
      </c>
      <c r="AP42" s="155">
        <v>-32574</v>
      </c>
      <c r="AQ42" s="157">
        <v>-85248.17</v>
      </c>
      <c r="AR42" s="153">
        <v>-10236.540000000001</v>
      </c>
      <c r="AS42" s="153">
        <v>0</v>
      </c>
      <c r="AT42" s="153">
        <v>-3587.95</v>
      </c>
      <c r="AU42" s="153">
        <v>-4261.0600000000004</v>
      </c>
      <c r="AV42" s="156">
        <v>-34975.449999999997</v>
      </c>
      <c r="AW42" s="152">
        <v>-10014.27</v>
      </c>
      <c r="AX42" s="152">
        <v>0</v>
      </c>
      <c r="AY42" s="152">
        <v>-58243.13</v>
      </c>
      <c r="AZ42" s="156">
        <v>-991.01</v>
      </c>
      <c r="BA42" s="158">
        <v>0</v>
      </c>
      <c r="BB42" s="151">
        <v>0</v>
      </c>
      <c r="BC42" s="151">
        <v>0</v>
      </c>
      <c r="BD42" s="159">
        <v>-627.34</v>
      </c>
      <c r="BE42" s="160"/>
      <c r="BF42" s="145">
        <f t="shared" ref="BF42:BF73" si="29">V42+Y42+W42+X42</f>
        <v>1050350.0800000001</v>
      </c>
      <c r="BG42" s="146">
        <f t="shared" ref="BG42:BG73" si="30">+SUM(AA42:BD42)</f>
        <v>-1015300.4600000001</v>
      </c>
      <c r="BH42" s="146">
        <f t="shared" si="14"/>
        <v>35049.619999999995</v>
      </c>
      <c r="BI42" s="148">
        <f t="shared" si="15"/>
        <v>-6951107.96</v>
      </c>
      <c r="BJ42" s="201">
        <f t="shared" si="16"/>
        <v>75090.580000000075</v>
      </c>
      <c r="BL42" s="164"/>
      <c r="BQ42" s="82">
        <v>0</v>
      </c>
      <c r="BR42" s="223">
        <v>0</v>
      </c>
      <c r="BS42" s="223">
        <v>0</v>
      </c>
      <c r="BT42" s="223">
        <v>0</v>
      </c>
      <c r="BU42" s="223">
        <v>0</v>
      </c>
      <c r="BV42" s="223"/>
      <c r="BW42" s="223">
        <f t="shared" si="18"/>
        <v>0</v>
      </c>
      <c r="BX42" s="83">
        <v>0</v>
      </c>
      <c r="BY42" s="78">
        <f t="shared" si="25"/>
        <v>1050350.0800000001</v>
      </c>
      <c r="BZ42" s="70">
        <f t="shared" si="26"/>
        <v>-1015300.4600000001</v>
      </c>
      <c r="CA42" s="70">
        <f t="shared" si="27"/>
        <v>35049.619999999995</v>
      </c>
      <c r="CB42" s="71">
        <f t="shared" si="28"/>
        <v>-6951107.96</v>
      </c>
      <c r="CC42" s="270"/>
      <c r="CD42" s="201"/>
      <c r="CE42" s="69">
        <f t="shared" ref="CE42:CE73" si="31">PV($CE$5,A42,,-BH42)</f>
        <v>35049.619999999995</v>
      </c>
      <c r="CF42" s="71">
        <f t="shared" ref="CF42:CF73" si="32">PV($CE$5,A42,,-CA42)</f>
        <v>35049.619999999995</v>
      </c>
    </row>
    <row r="43" spans="1:84" s="161" customFormat="1" ht="15" customHeight="1" outlineLevel="1">
      <c r="A43" s="137">
        <v>0</v>
      </c>
      <c r="B43" s="138"/>
      <c r="C43" s="139">
        <v>42675</v>
      </c>
      <c r="D43" s="140">
        <v>2</v>
      </c>
      <c r="E43" s="141">
        <v>48</v>
      </c>
      <c r="F43" s="141">
        <v>5</v>
      </c>
      <c r="G43" s="141">
        <v>19</v>
      </c>
      <c r="H43" s="142">
        <v>2526228.4499999993</v>
      </c>
      <c r="I43" s="142">
        <v>293248.83</v>
      </c>
      <c r="J43" s="143">
        <v>0</v>
      </c>
      <c r="K43" s="144">
        <v>0</v>
      </c>
      <c r="L43" s="145">
        <v>0</v>
      </c>
      <c r="M43" s="145">
        <v>0</v>
      </c>
      <c r="N43" s="146">
        <v>1100332.58</v>
      </c>
      <c r="O43" s="241">
        <v>0</v>
      </c>
      <c r="P43" s="146">
        <v>0</v>
      </c>
      <c r="Q43" s="146">
        <v>0</v>
      </c>
      <c r="R43" s="147"/>
      <c r="S43" s="147"/>
      <c r="T43" s="147">
        <v>-12973.419999999998</v>
      </c>
      <c r="U43" s="147"/>
      <c r="V43" s="147">
        <f t="shared" si="5"/>
        <v>1087359.1600000001</v>
      </c>
      <c r="W43" s="147">
        <v>0</v>
      </c>
      <c r="X43" s="147">
        <v>0</v>
      </c>
      <c r="Y43" s="148">
        <v>-5039.55</v>
      </c>
      <c r="Z43" s="149">
        <f t="shared" si="6"/>
        <v>5.5009672049776918E-3</v>
      </c>
      <c r="AA43" s="150">
        <v>0</v>
      </c>
      <c r="AB43" s="151">
        <v>-359639.08</v>
      </c>
      <c r="AC43" s="204"/>
      <c r="AD43" s="151">
        <v>0</v>
      </c>
      <c r="AE43" s="151">
        <v>0</v>
      </c>
      <c r="AF43" s="204"/>
      <c r="AG43" s="151">
        <v>-39165.25</v>
      </c>
      <c r="AH43" s="193">
        <v>0</v>
      </c>
      <c r="AI43" s="159">
        <v>-98337.27</v>
      </c>
      <c r="AJ43" s="152">
        <v>0</v>
      </c>
      <c r="AK43" s="153">
        <v>0</v>
      </c>
      <c r="AL43" s="153">
        <v>-298491.95</v>
      </c>
      <c r="AM43" s="153">
        <v>-17530.05</v>
      </c>
      <c r="AN43" s="154">
        <v>0</v>
      </c>
      <c r="AO43" s="153">
        <v>-15000</v>
      </c>
      <c r="AP43" s="155">
        <v>-30836</v>
      </c>
      <c r="AQ43" s="157">
        <v>-34800.71</v>
      </c>
      <c r="AR43" s="153">
        <v>-17666.04</v>
      </c>
      <c r="AS43" s="153">
        <v>0</v>
      </c>
      <c r="AT43" s="153">
        <v>-1082.7</v>
      </c>
      <c r="AU43" s="153">
        <v>-8379.1200000000008</v>
      </c>
      <c r="AV43" s="156">
        <v>-33585.1</v>
      </c>
      <c r="AW43" s="152">
        <v>-11771.530000000002</v>
      </c>
      <c r="AX43" s="152">
        <v>0</v>
      </c>
      <c r="AY43" s="152">
        <v>-64438.84</v>
      </c>
      <c r="AZ43" s="156">
        <v>0</v>
      </c>
      <c r="BA43" s="158">
        <v>0</v>
      </c>
      <c r="BB43" s="151">
        <v>0</v>
      </c>
      <c r="BC43" s="151">
        <v>0</v>
      </c>
      <c r="BD43" s="159">
        <v>0</v>
      </c>
      <c r="BE43" s="160"/>
      <c r="BF43" s="145">
        <f t="shared" si="29"/>
        <v>1082319.6100000001</v>
      </c>
      <c r="BG43" s="146">
        <f t="shared" si="30"/>
        <v>-1030723.64</v>
      </c>
      <c r="BH43" s="146">
        <f t="shared" si="14"/>
        <v>51595.970000000088</v>
      </c>
      <c r="BI43" s="148">
        <f t="shared" si="15"/>
        <v>-6899511.9900000002</v>
      </c>
      <c r="BJ43" s="201">
        <f t="shared" si="16"/>
        <v>126686.54999999981</v>
      </c>
      <c r="BL43" s="164"/>
      <c r="BQ43" s="82">
        <v>0</v>
      </c>
      <c r="BR43" s="223">
        <v>0</v>
      </c>
      <c r="BS43" s="223">
        <v>0</v>
      </c>
      <c r="BT43" s="223">
        <v>0</v>
      </c>
      <c r="BU43" s="223">
        <v>0</v>
      </c>
      <c r="BV43" s="223"/>
      <c r="BW43" s="223">
        <f t="shared" ref="BW43:BW61" si="33">SUM(BQ43:BT43)</f>
        <v>0</v>
      </c>
      <c r="BX43" s="83">
        <v>0</v>
      </c>
      <c r="BY43" s="78">
        <f t="shared" si="25"/>
        <v>1082319.6100000001</v>
      </c>
      <c r="BZ43" s="70">
        <f t="shared" si="26"/>
        <v>-1030723.64</v>
      </c>
      <c r="CA43" s="70">
        <f t="shared" si="27"/>
        <v>51595.970000000088</v>
      </c>
      <c r="CB43" s="71">
        <f t="shared" si="28"/>
        <v>-6899511.9900000002</v>
      </c>
      <c r="CC43" s="270"/>
      <c r="CD43" s="201"/>
      <c r="CE43" s="69">
        <f t="shared" si="31"/>
        <v>51595.970000000088</v>
      </c>
      <c r="CF43" s="71">
        <f t="shared" si="32"/>
        <v>51595.970000000088</v>
      </c>
    </row>
    <row r="44" spans="1:84" s="161" customFormat="1" ht="15" customHeight="1" outlineLevel="1">
      <c r="A44" s="137">
        <v>0</v>
      </c>
      <c r="B44" s="138"/>
      <c r="C44" s="139">
        <v>42705</v>
      </c>
      <c r="D44" s="140">
        <v>14</v>
      </c>
      <c r="E44" s="141">
        <v>93</v>
      </c>
      <c r="F44" s="141">
        <v>13</v>
      </c>
      <c r="G44" s="141">
        <v>30</v>
      </c>
      <c r="H44" s="142">
        <v>5079311.0900000036</v>
      </c>
      <c r="I44" s="142">
        <v>1003766.3300000003</v>
      </c>
      <c r="J44" s="143">
        <v>0</v>
      </c>
      <c r="K44" s="144">
        <v>0</v>
      </c>
      <c r="L44" s="145">
        <v>0</v>
      </c>
      <c r="M44" s="145">
        <v>0</v>
      </c>
      <c r="N44" s="146">
        <v>1041476.3</v>
      </c>
      <c r="O44" s="241">
        <v>0</v>
      </c>
      <c r="P44" s="146">
        <v>0</v>
      </c>
      <c r="Q44" s="146">
        <v>0</v>
      </c>
      <c r="R44" s="147"/>
      <c r="S44" s="147"/>
      <c r="T44" s="147">
        <v>-10847.48</v>
      </c>
      <c r="U44" s="147"/>
      <c r="V44" s="147">
        <f t="shared" si="5"/>
        <v>1030628.8200000001</v>
      </c>
      <c r="W44" s="147">
        <v>0</v>
      </c>
      <c r="X44" s="147">
        <v>0</v>
      </c>
      <c r="Y44" s="148">
        <v>-924.15999999999985</v>
      </c>
      <c r="Z44" s="149">
        <f t="shared" si="6"/>
        <v>5.6291463495429473E-3</v>
      </c>
      <c r="AA44" s="150">
        <v>0</v>
      </c>
      <c r="AB44" s="151">
        <v>-395422.45</v>
      </c>
      <c r="AC44" s="204"/>
      <c r="AD44" s="151">
        <v>0</v>
      </c>
      <c r="AE44" s="151">
        <v>0</v>
      </c>
      <c r="AF44" s="204"/>
      <c r="AG44" s="151">
        <v>-12674.5</v>
      </c>
      <c r="AH44" s="193">
        <v>0</v>
      </c>
      <c r="AI44" s="159">
        <v>-97639.81</v>
      </c>
      <c r="AJ44" s="152">
        <v>0</v>
      </c>
      <c r="AK44" s="153">
        <v>0</v>
      </c>
      <c r="AL44" s="153">
        <v>-304388.21999999997</v>
      </c>
      <c r="AM44" s="153">
        <v>-21634.49</v>
      </c>
      <c r="AN44" s="154">
        <v>0</v>
      </c>
      <c r="AO44" s="153">
        <v>0</v>
      </c>
      <c r="AP44" s="155">
        <v>-31796</v>
      </c>
      <c r="AQ44" s="157">
        <v>-68649.740000000005</v>
      </c>
      <c r="AR44" s="153">
        <v>-17666.04</v>
      </c>
      <c r="AS44" s="153">
        <v>0</v>
      </c>
      <c r="AT44" s="153">
        <v>-2409</v>
      </c>
      <c r="AU44" s="153">
        <v>-14403.23</v>
      </c>
      <c r="AV44" s="156">
        <v>-11418.94</v>
      </c>
      <c r="AW44" s="152">
        <v>-12544.03</v>
      </c>
      <c r="AX44" s="152">
        <v>0</v>
      </c>
      <c r="AY44" s="152">
        <v>-65755.56</v>
      </c>
      <c r="AZ44" s="156">
        <v>-2790.2</v>
      </c>
      <c r="BA44" s="158">
        <v>0</v>
      </c>
      <c r="BB44" s="151">
        <v>0</v>
      </c>
      <c r="BC44" s="151">
        <v>0</v>
      </c>
      <c r="BD44" s="159">
        <v>0</v>
      </c>
      <c r="BE44" s="160"/>
      <c r="BF44" s="145">
        <f t="shared" si="29"/>
        <v>1029704.66</v>
      </c>
      <c r="BG44" s="146">
        <f t="shared" si="30"/>
        <v>-1059192.21</v>
      </c>
      <c r="BH44" s="146">
        <f t="shared" si="14"/>
        <v>-29487.54999999993</v>
      </c>
      <c r="BI44" s="148">
        <f>BH44+BI43</f>
        <v>-6928999.54</v>
      </c>
      <c r="BJ44" s="201">
        <f t="shared" si="16"/>
        <v>97199</v>
      </c>
      <c r="BL44" s="164"/>
      <c r="BQ44" s="82">
        <v>0</v>
      </c>
      <c r="BR44" s="223">
        <v>0</v>
      </c>
      <c r="BS44" s="223">
        <v>0</v>
      </c>
      <c r="BT44" s="223">
        <v>0</v>
      </c>
      <c r="BU44" s="223">
        <v>0</v>
      </c>
      <c r="BV44" s="223"/>
      <c r="BW44" s="223">
        <f t="shared" si="33"/>
        <v>0</v>
      </c>
      <c r="BX44" s="83">
        <v>0</v>
      </c>
      <c r="BY44" s="78">
        <f t="shared" si="25"/>
        <v>1029704.66</v>
      </c>
      <c r="BZ44" s="70">
        <f t="shared" si="26"/>
        <v>-1059192.21</v>
      </c>
      <c r="CA44" s="70">
        <f t="shared" si="27"/>
        <v>-29487.54999999993</v>
      </c>
      <c r="CB44" s="71">
        <f t="shared" si="28"/>
        <v>-6928999.54</v>
      </c>
      <c r="CC44" s="270"/>
      <c r="CD44" s="201"/>
      <c r="CE44" s="69">
        <f t="shared" si="31"/>
        <v>-29487.54999999993</v>
      </c>
      <c r="CF44" s="71">
        <f t="shared" si="32"/>
        <v>-29487.54999999993</v>
      </c>
    </row>
    <row r="45" spans="1:84" s="161" customFormat="1" ht="15" customHeight="1" outlineLevel="1">
      <c r="A45" s="137">
        <v>0</v>
      </c>
      <c r="B45" s="138"/>
      <c r="C45" s="139">
        <v>42736</v>
      </c>
      <c r="D45" s="140">
        <v>61</v>
      </c>
      <c r="E45" s="141">
        <v>67</v>
      </c>
      <c r="F45" s="141">
        <v>26</v>
      </c>
      <c r="G45" s="141">
        <v>19</v>
      </c>
      <c r="H45" s="142">
        <v>4240899.0200000005</v>
      </c>
      <c r="I45" s="142">
        <v>3007703.6800000006</v>
      </c>
      <c r="J45" s="143">
        <v>0</v>
      </c>
      <c r="K45" s="144">
        <v>0</v>
      </c>
      <c r="L45" s="145">
        <v>0</v>
      </c>
      <c r="M45" s="145">
        <v>0</v>
      </c>
      <c r="N45" s="146">
        <v>1209216.19</v>
      </c>
      <c r="O45" s="241">
        <v>0</v>
      </c>
      <c r="P45" s="146">
        <v>0</v>
      </c>
      <c r="Q45" s="146">
        <v>0</v>
      </c>
      <c r="R45" s="147"/>
      <c r="S45" s="147"/>
      <c r="T45" s="147">
        <v>-13991.080000000002</v>
      </c>
      <c r="U45" s="147"/>
      <c r="V45" s="147">
        <f t="shared" si="5"/>
        <v>1195225.1099999999</v>
      </c>
      <c r="W45" s="147">
        <v>0</v>
      </c>
      <c r="X45" s="147">
        <v>0</v>
      </c>
      <c r="Y45" s="148">
        <v>-2637.26</v>
      </c>
      <c r="Z45" s="149">
        <f t="shared" si="6"/>
        <v>6.7108352509046626E-3</v>
      </c>
      <c r="AA45" s="150">
        <v>0</v>
      </c>
      <c r="AB45" s="151">
        <v>-486035.29</v>
      </c>
      <c r="AC45" s="204"/>
      <c r="AD45" s="151">
        <v>0</v>
      </c>
      <c r="AE45" s="151">
        <v>0</v>
      </c>
      <c r="AF45" s="204"/>
      <c r="AG45" s="151">
        <v>-481</v>
      </c>
      <c r="AH45" s="193">
        <v>0</v>
      </c>
      <c r="AI45" s="159">
        <v>-97856.71</v>
      </c>
      <c r="AJ45" s="152">
        <v>0</v>
      </c>
      <c r="AK45" s="153">
        <v>0</v>
      </c>
      <c r="AL45" s="153">
        <v>-376360.73000000004</v>
      </c>
      <c r="AM45" s="153">
        <v>0</v>
      </c>
      <c r="AN45" s="154">
        <v>0</v>
      </c>
      <c r="AO45" s="153">
        <v>0</v>
      </c>
      <c r="AP45" s="155">
        <v>-25125.47</v>
      </c>
      <c r="AQ45" s="157">
        <v>-31334.63</v>
      </c>
      <c r="AR45" s="153">
        <v>-17666.04</v>
      </c>
      <c r="AS45" s="153">
        <v>0</v>
      </c>
      <c r="AT45" s="153">
        <v>-660</v>
      </c>
      <c r="AU45" s="153">
        <v>-5493.7</v>
      </c>
      <c r="AV45" s="156">
        <v>-55739.12</v>
      </c>
      <c r="AW45" s="152">
        <v>-16155.419999999998</v>
      </c>
      <c r="AX45" s="152">
        <v>0</v>
      </c>
      <c r="AY45" s="152">
        <v>-69888.539999999994</v>
      </c>
      <c r="AZ45" s="156">
        <v>0</v>
      </c>
      <c r="BA45" s="158">
        <v>0</v>
      </c>
      <c r="BB45" s="151">
        <v>0</v>
      </c>
      <c r="BC45" s="151">
        <v>0</v>
      </c>
      <c r="BD45" s="159">
        <v>0</v>
      </c>
      <c r="BE45" s="160"/>
      <c r="BF45" s="145">
        <f t="shared" si="29"/>
        <v>1192587.8499999999</v>
      </c>
      <c r="BG45" s="146">
        <f t="shared" si="30"/>
        <v>-1182796.6499999999</v>
      </c>
      <c r="BH45" s="146">
        <f t="shared" si="14"/>
        <v>9791.1999999999534</v>
      </c>
      <c r="BI45" s="148">
        <f t="shared" si="15"/>
        <v>-6919208.3399999999</v>
      </c>
      <c r="BJ45" s="201">
        <f t="shared" si="16"/>
        <v>106990.20000000019</v>
      </c>
      <c r="BL45" s="164"/>
      <c r="BQ45" s="82">
        <v>0</v>
      </c>
      <c r="BR45" s="223">
        <v>0</v>
      </c>
      <c r="BS45" s="223">
        <v>0</v>
      </c>
      <c r="BT45" s="223">
        <v>0</v>
      </c>
      <c r="BU45" s="223">
        <v>0</v>
      </c>
      <c r="BV45" s="223"/>
      <c r="BW45" s="223">
        <f t="shared" si="33"/>
        <v>0</v>
      </c>
      <c r="BX45" s="83">
        <v>0</v>
      </c>
      <c r="BY45" s="78">
        <f t="shared" si="25"/>
        <v>1192587.8499999999</v>
      </c>
      <c r="BZ45" s="70">
        <f t="shared" si="26"/>
        <v>-1182796.6499999999</v>
      </c>
      <c r="CA45" s="70">
        <f t="shared" si="27"/>
        <v>9791.1999999999534</v>
      </c>
      <c r="CB45" s="71">
        <f t="shared" si="28"/>
        <v>-6919208.3399999999</v>
      </c>
      <c r="CC45" s="270"/>
      <c r="CD45" s="201"/>
      <c r="CE45" s="69">
        <f t="shared" si="31"/>
        <v>9791.1999999999534</v>
      </c>
      <c r="CF45" s="71">
        <f t="shared" si="32"/>
        <v>9791.1999999999534</v>
      </c>
    </row>
    <row r="46" spans="1:84" s="161" customFormat="1" ht="15" customHeight="1" outlineLevel="1">
      <c r="A46" s="137">
        <v>0</v>
      </c>
      <c r="B46" s="138"/>
      <c r="C46" s="139">
        <v>42767</v>
      </c>
      <c r="D46" s="140">
        <v>19</v>
      </c>
      <c r="E46" s="141">
        <v>4</v>
      </c>
      <c r="F46" s="141">
        <v>10</v>
      </c>
      <c r="G46" s="141">
        <v>4</v>
      </c>
      <c r="H46" s="142">
        <v>419384.17999999993</v>
      </c>
      <c r="I46" s="142">
        <v>1012132.4800000002</v>
      </c>
      <c r="J46" s="143">
        <v>0</v>
      </c>
      <c r="K46" s="144">
        <v>0</v>
      </c>
      <c r="L46" s="145">
        <v>0</v>
      </c>
      <c r="M46" s="145">
        <v>0</v>
      </c>
      <c r="N46" s="146">
        <v>1246537.3400000001</v>
      </c>
      <c r="O46" s="241">
        <v>0</v>
      </c>
      <c r="P46" s="146">
        <v>0</v>
      </c>
      <c r="Q46" s="146">
        <v>0</v>
      </c>
      <c r="R46" s="147"/>
      <c r="S46" s="147"/>
      <c r="T46" s="147">
        <v>-40532.199999999997</v>
      </c>
      <c r="U46" s="147"/>
      <c r="V46" s="147">
        <f t="shared" si="5"/>
        <v>1206005.1400000001</v>
      </c>
      <c r="W46" s="147">
        <v>550000</v>
      </c>
      <c r="X46" s="147">
        <v>0</v>
      </c>
      <c r="Y46" s="148">
        <v>11163.52</v>
      </c>
      <c r="Z46" s="149">
        <f t="shared" si="6"/>
        <v>6.6252102051770926E-3</v>
      </c>
      <c r="AA46" s="150">
        <v>0</v>
      </c>
      <c r="AB46" s="151">
        <v>-472449.72000000003</v>
      </c>
      <c r="AC46" s="204"/>
      <c r="AD46" s="151">
        <v>0</v>
      </c>
      <c r="AE46" s="151">
        <v>0</v>
      </c>
      <c r="AF46" s="204"/>
      <c r="AG46" s="151">
        <v>-7859</v>
      </c>
      <c r="AH46" s="193">
        <v>0</v>
      </c>
      <c r="AI46" s="159">
        <v>-98455.83</v>
      </c>
      <c r="AJ46" s="152">
        <v>0</v>
      </c>
      <c r="AK46" s="153">
        <v>0</v>
      </c>
      <c r="AL46" s="153">
        <v>-707658.5</v>
      </c>
      <c r="AM46" s="153">
        <v>-21460.86</v>
      </c>
      <c r="AN46" s="154">
        <v>-4872</v>
      </c>
      <c r="AO46" s="153">
        <v>0</v>
      </c>
      <c r="AP46" s="155">
        <v>-56973.01</v>
      </c>
      <c r="AQ46" s="157">
        <v>-159476.05000000002</v>
      </c>
      <c r="AR46" s="153">
        <v>-7666.04</v>
      </c>
      <c r="AS46" s="153">
        <v>-7000</v>
      </c>
      <c r="AT46" s="153">
        <v>-4387.47</v>
      </c>
      <c r="AU46" s="153">
        <v>-12232.62</v>
      </c>
      <c r="AV46" s="156">
        <v>-82940.039999999994</v>
      </c>
      <c r="AW46" s="152">
        <v>-14655.590000000004</v>
      </c>
      <c r="AX46" s="152">
        <v>0</v>
      </c>
      <c r="AY46" s="152">
        <v>-74142.09</v>
      </c>
      <c r="AZ46" s="156">
        <v>0</v>
      </c>
      <c r="BA46" s="158">
        <v>0</v>
      </c>
      <c r="BB46" s="151">
        <v>0</v>
      </c>
      <c r="BC46" s="151">
        <v>0</v>
      </c>
      <c r="BD46" s="159">
        <v>0</v>
      </c>
      <c r="BE46" s="160"/>
      <c r="BF46" s="145">
        <f t="shared" si="29"/>
        <v>1767168.6600000001</v>
      </c>
      <c r="BG46" s="146">
        <f t="shared" si="30"/>
        <v>-1732228.8200000005</v>
      </c>
      <c r="BH46" s="146">
        <f t="shared" si="14"/>
        <v>34939.839999999618</v>
      </c>
      <c r="BI46" s="148">
        <f t="shared" si="15"/>
        <v>-6884268.5</v>
      </c>
      <c r="BJ46" s="201">
        <f t="shared" si="16"/>
        <v>141930.04000000004</v>
      </c>
      <c r="BL46" s="164"/>
      <c r="BQ46" s="82">
        <v>0</v>
      </c>
      <c r="BR46" s="223">
        <v>0</v>
      </c>
      <c r="BS46" s="223">
        <v>0</v>
      </c>
      <c r="BT46" s="223">
        <v>0</v>
      </c>
      <c r="BU46" s="223">
        <v>0</v>
      </c>
      <c r="BV46" s="223"/>
      <c r="BW46" s="223">
        <f t="shared" si="33"/>
        <v>0</v>
      </c>
      <c r="BX46" s="83">
        <v>0</v>
      </c>
      <c r="BY46" s="78">
        <f t="shared" si="25"/>
        <v>1767168.6600000001</v>
      </c>
      <c r="BZ46" s="70">
        <f t="shared" si="26"/>
        <v>-1732228.8200000005</v>
      </c>
      <c r="CA46" s="70">
        <f t="shared" si="27"/>
        <v>34939.839999999618</v>
      </c>
      <c r="CB46" s="71">
        <f t="shared" si="28"/>
        <v>-6884268.5</v>
      </c>
      <c r="CC46" s="270"/>
      <c r="CD46" s="201"/>
      <c r="CE46" s="69">
        <f t="shared" si="31"/>
        <v>34939.839999999618</v>
      </c>
      <c r="CF46" s="71">
        <f t="shared" si="32"/>
        <v>34939.839999999618</v>
      </c>
    </row>
    <row r="47" spans="1:84" s="161" customFormat="1" ht="15" customHeight="1" outlineLevel="1">
      <c r="A47" s="137">
        <v>0</v>
      </c>
      <c r="B47" s="138"/>
      <c r="C47" s="139">
        <v>42795</v>
      </c>
      <c r="D47" s="140">
        <v>12</v>
      </c>
      <c r="E47" s="141">
        <v>6</v>
      </c>
      <c r="F47" s="141">
        <v>5</v>
      </c>
      <c r="G47" s="141">
        <v>3</v>
      </c>
      <c r="H47" s="142">
        <v>443968.92999999993</v>
      </c>
      <c r="I47" s="142">
        <v>587135.04</v>
      </c>
      <c r="J47" s="143">
        <v>0</v>
      </c>
      <c r="K47" s="144">
        <v>0</v>
      </c>
      <c r="L47" s="145">
        <v>0</v>
      </c>
      <c r="M47" s="145">
        <v>0</v>
      </c>
      <c r="N47" s="146">
        <v>1360804.25</v>
      </c>
      <c r="O47" s="241">
        <v>0</v>
      </c>
      <c r="P47" s="146">
        <v>0</v>
      </c>
      <c r="Q47" s="146">
        <v>0</v>
      </c>
      <c r="R47" s="147"/>
      <c r="S47" s="147"/>
      <c r="T47" s="147">
        <v>-8134.630000000001</v>
      </c>
      <c r="U47" s="147"/>
      <c r="V47" s="147">
        <f t="shared" si="5"/>
        <v>1352669.62</v>
      </c>
      <c r="W47" s="147">
        <v>450000</v>
      </c>
      <c r="X47" s="147">
        <v>0</v>
      </c>
      <c r="Y47" s="148">
        <v>6024.6200000000008</v>
      </c>
      <c r="Z47" s="149">
        <f t="shared" si="6"/>
        <v>9.4799378665257356E-3</v>
      </c>
      <c r="AA47" s="150">
        <v>0</v>
      </c>
      <c r="AB47" s="151">
        <v>-678511.28</v>
      </c>
      <c r="AC47" s="204"/>
      <c r="AD47" s="151">
        <v>0</v>
      </c>
      <c r="AE47" s="151">
        <v>0</v>
      </c>
      <c r="AF47" s="204"/>
      <c r="AG47" s="151">
        <v>-8757</v>
      </c>
      <c r="AH47" s="193">
        <v>0</v>
      </c>
      <c r="AI47" s="159">
        <v>-95000</v>
      </c>
      <c r="AJ47" s="152">
        <v>0</v>
      </c>
      <c r="AK47" s="153">
        <v>0</v>
      </c>
      <c r="AL47" s="153">
        <v>-604740.43000000005</v>
      </c>
      <c r="AM47" s="153">
        <v>-21628.560000000001</v>
      </c>
      <c r="AN47" s="154">
        <v>-7656</v>
      </c>
      <c r="AO47" s="153">
        <v>-100000</v>
      </c>
      <c r="AP47" s="155">
        <v>-70599.820000000007</v>
      </c>
      <c r="AQ47" s="157">
        <v>-72400.31</v>
      </c>
      <c r="AR47" s="153">
        <v>-8708.5400000000009</v>
      </c>
      <c r="AS47" s="153">
        <v>-7000</v>
      </c>
      <c r="AT47" s="153">
        <v>-719.45</v>
      </c>
      <c r="AU47" s="153">
        <v>-8437.91</v>
      </c>
      <c r="AV47" s="156">
        <v>-85152.700000000012</v>
      </c>
      <c r="AW47" s="152">
        <v>-32180.179999999997</v>
      </c>
      <c r="AX47" s="152">
        <v>0</v>
      </c>
      <c r="AY47" s="152">
        <v>-74760.22</v>
      </c>
      <c r="AZ47" s="156">
        <v>0</v>
      </c>
      <c r="BA47" s="158">
        <v>0</v>
      </c>
      <c r="BB47" s="151">
        <v>0</v>
      </c>
      <c r="BC47" s="151">
        <v>0</v>
      </c>
      <c r="BD47" s="159">
        <v>0</v>
      </c>
      <c r="BE47" s="160"/>
      <c r="BF47" s="145">
        <f t="shared" si="29"/>
        <v>1808694.2400000002</v>
      </c>
      <c r="BG47" s="146">
        <f t="shared" si="30"/>
        <v>-1876252.4</v>
      </c>
      <c r="BH47" s="146">
        <f t="shared" si="14"/>
        <v>-67558.159999999683</v>
      </c>
      <c r="BI47" s="148">
        <f t="shared" si="15"/>
        <v>-6951826.6600000001</v>
      </c>
      <c r="BJ47" s="201">
        <f t="shared" si="16"/>
        <v>74371.879999999888</v>
      </c>
      <c r="BL47" s="164"/>
      <c r="BQ47" s="82">
        <v>0</v>
      </c>
      <c r="BR47" s="223">
        <v>0</v>
      </c>
      <c r="BS47" s="223">
        <v>0</v>
      </c>
      <c r="BT47" s="223">
        <v>0</v>
      </c>
      <c r="BU47" s="223">
        <v>0</v>
      </c>
      <c r="BV47" s="223"/>
      <c r="BW47" s="223">
        <f t="shared" si="33"/>
        <v>0</v>
      </c>
      <c r="BX47" s="83">
        <v>0</v>
      </c>
      <c r="BY47" s="78">
        <f t="shared" si="25"/>
        <v>1808694.2400000002</v>
      </c>
      <c r="BZ47" s="70">
        <f t="shared" si="26"/>
        <v>-1876252.4</v>
      </c>
      <c r="CA47" s="70">
        <f t="shared" si="27"/>
        <v>-67558.159999999683</v>
      </c>
      <c r="CB47" s="71">
        <f t="shared" si="28"/>
        <v>-6951826.6600000001</v>
      </c>
      <c r="CC47" s="270"/>
      <c r="CD47" s="201"/>
      <c r="CE47" s="69">
        <f t="shared" si="31"/>
        <v>-67558.159999999683</v>
      </c>
      <c r="CF47" s="71">
        <f t="shared" si="32"/>
        <v>-67558.159999999683</v>
      </c>
    </row>
    <row r="48" spans="1:84" s="161" customFormat="1" ht="15" customHeight="1" outlineLevel="1">
      <c r="A48" s="137">
        <v>0</v>
      </c>
      <c r="B48" s="138"/>
      <c r="C48" s="139">
        <v>42826</v>
      </c>
      <c r="D48" s="140">
        <v>38</v>
      </c>
      <c r="E48" s="141">
        <v>28</v>
      </c>
      <c r="F48" s="141">
        <v>8</v>
      </c>
      <c r="G48" s="141">
        <v>13</v>
      </c>
      <c r="H48" s="142">
        <v>1665587.9000000004</v>
      </c>
      <c r="I48" s="142">
        <v>1363318.2799999993</v>
      </c>
      <c r="J48" s="143">
        <v>0</v>
      </c>
      <c r="K48" s="144">
        <v>0</v>
      </c>
      <c r="L48" s="145">
        <v>0</v>
      </c>
      <c r="M48" s="145">
        <v>0</v>
      </c>
      <c r="N48" s="146">
        <v>1186040.53</v>
      </c>
      <c r="O48" s="241">
        <v>0.1</v>
      </c>
      <c r="P48" s="146">
        <v>0</v>
      </c>
      <c r="Q48" s="146">
        <f t="shared" ref="Q48:Q60" si="34">-P45</f>
        <v>0</v>
      </c>
      <c r="R48" s="147"/>
      <c r="S48" s="147"/>
      <c r="T48" s="147">
        <v>1790.5299999999997</v>
      </c>
      <c r="U48" s="147"/>
      <c r="V48" s="147">
        <f t="shared" si="5"/>
        <v>1187831.06</v>
      </c>
      <c r="W48" s="147">
        <v>0</v>
      </c>
      <c r="X48" s="147">
        <v>0</v>
      </c>
      <c r="Y48" s="148">
        <v>-22601.899999999998</v>
      </c>
      <c r="Z48" s="149">
        <f t="shared" si="6"/>
        <v>6.6388809534038765E-3</v>
      </c>
      <c r="AA48" s="150">
        <v>0</v>
      </c>
      <c r="AB48" s="151">
        <v>-479915.81000000006</v>
      </c>
      <c r="AC48" s="204"/>
      <c r="AD48" s="151">
        <v>0</v>
      </c>
      <c r="AE48" s="151">
        <v>0</v>
      </c>
      <c r="AF48" s="204"/>
      <c r="AG48" s="151">
        <v>-1384</v>
      </c>
      <c r="AH48" s="193">
        <v>0</v>
      </c>
      <c r="AI48" s="159">
        <v>-95000</v>
      </c>
      <c r="AJ48" s="152">
        <v>0</v>
      </c>
      <c r="AK48" s="153">
        <v>0</v>
      </c>
      <c r="AL48" s="153">
        <v>-158195.59</v>
      </c>
      <c r="AM48" s="153">
        <v>-24144.17</v>
      </c>
      <c r="AN48" s="154">
        <v>-10440</v>
      </c>
      <c r="AO48" s="153">
        <v>-50000</v>
      </c>
      <c r="AP48" s="155">
        <v>-27494.78</v>
      </c>
      <c r="AQ48" s="157">
        <v>-81741.179999999993</v>
      </c>
      <c r="AR48" s="153">
        <v>-7666.04</v>
      </c>
      <c r="AS48" s="153">
        <v>-9115</v>
      </c>
      <c r="AT48" s="153">
        <v>-779.69</v>
      </c>
      <c r="AU48" s="153">
        <v>-16097.83</v>
      </c>
      <c r="AV48" s="156">
        <v>-78000.48000000001</v>
      </c>
      <c r="AW48" s="152">
        <v>-31460.54</v>
      </c>
      <c r="AX48" s="152">
        <v>0</v>
      </c>
      <c r="AY48" s="152">
        <v>-85210.47</v>
      </c>
      <c r="AZ48" s="156">
        <v>0</v>
      </c>
      <c r="BA48" s="158">
        <v>0</v>
      </c>
      <c r="BB48" s="151">
        <v>0</v>
      </c>
      <c r="BC48" s="151">
        <v>-6975</v>
      </c>
      <c r="BD48" s="159">
        <v>0</v>
      </c>
      <c r="BE48" s="160"/>
      <c r="BF48" s="145">
        <f t="shared" si="29"/>
        <v>1165229.1600000001</v>
      </c>
      <c r="BG48" s="146">
        <f t="shared" si="30"/>
        <v>-1163620.5799999998</v>
      </c>
      <c r="BH48" s="146">
        <f t="shared" si="14"/>
        <v>1608.5800000003073</v>
      </c>
      <c r="BI48" s="148">
        <f t="shared" si="15"/>
        <v>-6950218.0800000001</v>
      </c>
      <c r="BJ48" s="201">
        <f t="shared" si="16"/>
        <v>75980.459999999963</v>
      </c>
      <c r="BL48" s="164"/>
      <c r="BQ48" s="82">
        <v>0</v>
      </c>
      <c r="BR48" s="223">
        <v>0</v>
      </c>
      <c r="BS48" s="223">
        <v>0</v>
      </c>
      <c r="BT48" s="223">
        <v>0</v>
      </c>
      <c r="BU48" s="223">
        <v>0</v>
      </c>
      <c r="BV48" s="223"/>
      <c r="BW48" s="223">
        <f t="shared" si="33"/>
        <v>0</v>
      </c>
      <c r="BX48" s="83">
        <v>0</v>
      </c>
      <c r="BY48" s="78">
        <f t="shared" si="25"/>
        <v>1165229.1600000001</v>
      </c>
      <c r="BZ48" s="70">
        <f t="shared" si="26"/>
        <v>-1163620.5799999998</v>
      </c>
      <c r="CA48" s="70">
        <f t="shared" si="27"/>
        <v>1608.5800000003073</v>
      </c>
      <c r="CB48" s="71">
        <f t="shared" si="28"/>
        <v>-6950218.0800000001</v>
      </c>
      <c r="CC48" s="270"/>
      <c r="CD48" s="201"/>
      <c r="CE48" s="69">
        <f t="shared" si="31"/>
        <v>1608.5800000003073</v>
      </c>
      <c r="CF48" s="71">
        <f t="shared" si="32"/>
        <v>1608.5800000003073</v>
      </c>
    </row>
    <row r="49" spans="1:84" s="161" customFormat="1" ht="15" customHeight="1" outlineLevel="1">
      <c r="A49" s="137">
        <v>0</v>
      </c>
      <c r="B49" s="138"/>
      <c r="C49" s="139">
        <v>42856</v>
      </c>
      <c r="D49" s="140">
        <v>35</v>
      </c>
      <c r="E49" s="141">
        <v>45</v>
      </c>
      <c r="F49" s="141">
        <v>13</v>
      </c>
      <c r="G49" s="141">
        <v>27</v>
      </c>
      <c r="H49" s="142">
        <v>3008057.330000001</v>
      </c>
      <c r="I49" s="142">
        <v>1364820.5599999996</v>
      </c>
      <c r="J49" s="143">
        <v>0</v>
      </c>
      <c r="K49" s="144">
        <v>0</v>
      </c>
      <c r="L49" s="145">
        <v>0</v>
      </c>
      <c r="M49" s="145">
        <v>0</v>
      </c>
      <c r="N49" s="163">
        <v>1374800.59</v>
      </c>
      <c r="O49" s="241">
        <f>+O48</f>
        <v>0.1</v>
      </c>
      <c r="P49" s="146">
        <v>0</v>
      </c>
      <c r="Q49" s="146">
        <f t="shared" si="34"/>
        <v>0</v>
      </c>
      <c r="R49" s="147"/>
      <c r="S49" s="147"/>
      <c r="T49" s="147">
        <v>-2929.2300000000005</v>
      </c>
      <c r="U49" s="147"/>
      <c r="V49" s="147">
        <f t="shared" ref="V49:V63" si="35">SUM(P49:T49,K49:N49)</f>
        <v>1371871.36</v>
      </c>
      <c r="W49" s="147">
        <v>0</v>
      </c>
      <c r="X49" s="147">
        <v>0</v>
      </c>
      <c r="Y49" s="148">
        <v>12133.47</v>
      </c>
      <c r="Z49" s="149">
        <f t="shared" ref="Z49:Z113" si="36">IFERROR(SUM(AA49:AH49)/SUM($AA$8:$AH$8),0)</f>
        <v>7.1595055689429423E-3</v>
      </c>
      <c r="AA49" s="150">
        <v>0</v>
      </c>
      <c r="AB49" s="151">
        <v>-517507.1</v>
      </c>
      <c r="AC49" s="204"/>
      <c r="AD49" s="151">
        <v>0</v>
      </c>
      <c r="AE49" s="151">
        <v>0</v>
      </c>
      <c r="AF49" s="204"/>
      <c r="AG49" s="151">
        <v>-1536.5</v>
      </c>
      <c r="AH49" s="193">
        <v>0</v>
      </c>
      <c r="AI49" s="159">
        <v>-95000</v>
      </c>
      <c r="AJ49" s="152">
        <v>0</v>
      </c>
      <c r="AK49" s="153">
        <v>0</v>
      </c>
      <c r="AL49" s="153">
        <v>-350815.93</v>
      </c>
      <c r="AM49" s="153">
        <v>-24884.19</v>
      </c>
      <c r="AN49" s="154">
        <v>0</v>
      </c>
      <c r="AO49" s="153">
        <v>-67438.039999999994</v>
      </c>
      <c r="AP49" s="155">
        <v>-22159.8</v>
      </c>
      <c r="AQ49" s="157">
        <v>-71699.77</v>
      </c>
      <c r="AR49" s="153">
        <v>-8164.37</v>
      </c>
      <c r="AS49" s="153">
        <v>-9115</v>
      </c>
      <c r="AT49" s="153">
        <v>-1189.5</v>
      </c>
      <c r="AU49" s="153">
        <v>-11047.45</v>
      </c>
      <c r="AV49" s="156">
        <v>-85829.500000000015</v>
      </c>
      <c r="AW49" s="152">
        <v>-35028.58</v>
      </c>
      <c r="AX49" s="152">
        <v>0</v>
      </c>
      <c r="AY49" s="152">
        <v>-78927.649999999994</v>
      </c>
      <c r="AZ49" s="156">
        <v>0</v>
      </c>
      <c r="BA49" s="158">
        <v>0</v>
      </c>
      <c r="BB49" s="151">
        <v>0</v>
      </c>
      <c r="BC49" s="151">
        <v>-4500</v>
      </c>
      <c r="BD49" s="159">
        <v>0</v>
      </c>
      <c r="BE49" s="160"/>
      <c r="BF49" s="145">
        <f t="shared" si="29"/>
        <v>1384004.83</v>
      </c>
      <c r="BG49" s="146">
        <f t="shared" si="30"/>
        <v>-1384843.3800000001</v>
      </c>
      <c r="BH49" s="146">
        <f t="shared" si="14"/>
        <v>-838.55000000004657</v>
      </c>
      <c r="BI49" s="148">
        <f t="shared" si="15"/>
        <v>-6951056.6299999999</v>
      </c>
      <c r="BJ49" s="201">
        <f t="shared" si="16"/>
        <v>75141.910000000149</v>
      </c>
      <c r="BL49" s="164"/>
      <c r="BQ49" s="82">
        <v>0</v>
      </c>
      <c r="BR49" s="223">
        <v>0</v>
      </c>
      <c r="BS49" s="223">
        <v>0</v>
      </c>
      <c r="BT49" s="223">
        <v>0</v>
      </c>
      <c r="BU49" s="223">
        <v>0</v>
      </c>
      <c r="BV49" s="223"/>
      <c r="BW49" s="223">
        <f t="shared" si="33"/>
        <v>0</v>
      </c>
      <c r="BX49" s="83">
        <v>0</v>
      </c>
      <c r="BY49" s="78">
        <f t="shared" si="25"/>
        <v>1384004.83</v>
      </c>
      <c r="BZ49" s="70">
        <f t="shared" si="26"/>
        <v>-1384843.3800000001</v>
      </c>
      <c r="CA49" s="70">
        <f t="shared" si="27"/>
        <v>-838.55000000004657</v>
      </c>
      <c r="CB49" s="71">
        <f t="shared" si="28"/>
        <v>-6951056.6299999999</v>
      </c>
      <c r="CC49" s="270"/>
      <c r="CD49" s="201"/>
      <c r="CE49" s="69">
        <f t="shared" si="31"/>
        <v>-838.55000000004657</v>
      </c>
      <c r="CF49" s="71">
        <f t="shared" si="32"/>
        <v>-838.55000000004657</v>
      </c>
    </row>
    <row r="50" spans="1:84" s="161" customFormat="1" ht="15" customHeight="1" outlineLevel="1">
      <c r="A50" s="137">
        <v>0</v>
      </c>
      <c r="B50" s="138"/>
      <c r="C50" s="139">
        <v>42887</v>
      </c>
      <c r="D50" s="140">
        <v>37</v>
      </c>
      <c r="E50" s="141">
        <v>58</v>
      </c>
      <c r="F50" s="141">
        <v>31</v>
      </c>
      <c r="G50" s="141">
        <v>31</v>
      </c>
      <c r="H50" s="142">
        <v>3625298.0700000017</v>
      </c>
      <c r="I50" s="142">
        <v>1971857.3399999994</v>
      </c>
      <c r="J50" s="143">
        <v>0</v>
      </c>
      <c r="K50" s="144">
        <v>0</v>
      </c>
      <c r="L50" s="145">
        <v>0</v>
      </c>
      <c r="M50" s="145">
        <v>0</v>
      </c>
      <c r="N50" s="146">
        <v>1478210.14</v>
      </c>
      <c r="O50" s="241">
        <f t="shared" ref="O50:O114" si="37">+O49</f>
        <v>0.1</v>
      </c>
      <c r="P50" s="146">
        <v>0</v>
      </c>
      <c r="Q50" s="146">
        <f t="shared" si="34"/>
        <v>0</v>
      </c>
      <c r="R50" s="147"/>
      <c r="S50" s="147"/>
      <c r="T50" s="147">
        <v>-37911.909999999996</v>
      </c>
      <c r="U50" s="147"/>
      <c r="V50" s="147">
        <f t="shared" si="35"/>
        <v>1440298.23</v>
      </c>
      <c r="W50" s="147">
        <v>0</v>
      </c>
      <c r="X50" s="147">
        <v>0</v>
      </c>
      <c r="Y50" s="148">
        <v>-11818.97</v>
      </c>
      <c r="Z50" s="149">
        <f t="shared" si="36"/>
        <v>8.9341151497514554E-3</v>
      </c>
      <c r="AA50" s="150">
        <v>0</v>
      </c>
      <c r="AB50" s="151">
        <v>-635496.02999999991</v>
      </c>
      <c r="AC50" s="204"/>
      <c r="AD50" s="151">
        <v>0</v>
      </c>
      <c r="AE50" s="151">
        <v>0</v>
      </c>
      <c r="AF50" s="204"/>
      <c r="AG50" s="151">
        <v>-12201.67</v>
      </c>
      <c r="AH50" s="193">
        <v>0</v>
      </c>
      <c r="AI50" s="159">
        <v>-95000</v>
      </c>
      <c r="AJ50" s="152">
        <v>0</v>
      </c>
      <c r="AK50" s="153">
        <v>0</v>
      </c>
      <c r="AL50" s="153">
        <v>-222219.81</v>
      </c>
      <c r="AM50" s="153">
        <v>0</v>
      </c>
      <c r="AN50" s="154">
        <v>0</v>
      </c>
      <c r="AO50" s="153">
        <v>-50000</v>
      </c>
      <c r="AP50" s="155">
        <v>-11860</v>
      </c>
      <c r="AQ50" s="157">
        <v>-56269.86</v>
      </c>
      <c r="AR50" s="153">
        <v>-7666.04</v>
      </c>
      <c r="AS50" s="153">
        <v>-9115</v>
      </c>
      <c r="AT50" s="153">
        <v>-154.94</v>
      </c>
      <c r="AU50" s="153">
        <v>-9093.9599999999991</v>
      </c>
      <c r="AV50" s="156">
        <v>-81484.87</v>
      </c>
      <c r="AW50" s="152">
        <v>-40546.350000000006</v>
      </c>
      <c r="AX50" s="152">
        <v>0</v>
      </c>
      <c r="AY50" s="152">
        <v>-85182.32</v>
      </c>
      <c r="AZ50" s="156">
        <v>0</v>
      </c>
      <c r="BA50" s="158">
        <v>0</v>
      </c>
      <c r="BB50" s="151">
        <v>0</v>
      </c>
      <c r="BC50" s="151">
        <v>-4500</v>
      </c>
      <c r="BD50" s="159">
        <v>0</v>
      </c>
      <c r="BE50" s="160"/>
      <c r="BF50" s="145">
        <f t="shared" si="29"/>
        <v>1428479.26</v>
      </c>
      <c r="BG50" s="146">
        <f t="shared" si="30"/>
        <v>-1320790.8500000003</v>
      </c>
      <c r="BH50" s="146">
        <f t="shared" si="14"/>
        <v>107688.40999999968</v>
      </c>
      <c r="BI50" s="148">
        <f t="shared" si="15"/>
        <v>-6843368.2200000007</v>
      </c>
      <c r="BJ50" s="201">
        <f t="shared" si="16"/>
        <v>182830.31999999937</v>
      </c>
      <c r="BL50" s="164"/>
      <c r="BQ50" s="82">
        <v>0</v>
      </c>
      <c r="BR50" s="223">
        <v>0</v>
      </c>
      <c r="BS50" s="223">
        <v>0</v>
      </c>
      <c r="BT50" s="223">
        <v>0</v>
      </c>
      <c r="BU50" s="223">
        <v>0</v>
      </c>
      <c r="BV50" s="223"/>
      <c r="BW50" s="223">
        <f t="shared" si="33"/>
        <v>0</v>
      </c>
      <c r="BX50" s="83">
        <v>0</v>
      </c>
      <c r="BY50" s="78">
        <f t="shared" si="25"/>
        <v>1428479.26</v>
      </c>
      <c r="BZ50" s="70">
        <f t="shared" si="26"/>
        <v>-1320790.8500000003</v>
      </c>
      <c r="CA50" s="70">
        <f t="shared" si="27"/>
        <v>107688.40999999968</v>
      </c>
      <c r="CB50" s="71">
        <f t="shared" si="28"/>
        <v>-6843368.2200000007</v>
      </c>
      <c r="CC50" s="270"/>
      <c r="CD50" s="201"/>
      <c r="CE50" s="69">
        <f t="shared" si="31"/>
        <v>107688.40999999968</v>
      </c>
      <c r="CF50" s="71">
        <f t="shared" si="32"/>
        <v>107688.40999999968</v>
      </c>
    </row>
    <row r="51" spans="1:84" s="161" customFormat="1" ht="15" customHeight="1" outlineLevel="1">
      <c r="A51" s="137">
        <v>0</v>
      </c>
      <c r="B51" s="138"/>
      <c r="C51" s="139">
        <v>42917</v>
      </c>
      <c r="D51" s="140">
        <v>115</v>
      </c>
      <c r="E51" s="141">
        <v>95</v>
      </c>
      <c r="F51" s="141">
        <v>73</v>
      </c>
      <c r="G51" s="141">
        <v>73</v>
      </c>
      <c r="H51" s="142">
        <v>6999590.9499999993</v>
      </c>
      <c r="I51" s="142">
        <v>5359819.8400000036</v>
      </c>
      <c r="J51" s="143">
        <v>0</v>
      </c>
      <c r="K51" s="144">
        <v>0</v>
      </c>
      <c r="L51" s="145">
        <v>0</v>
      </c>
      <c r="M51" s="145">
        <v>0</v>
      </c>
      <c r="N51" s="146">
        <v>1443116.36</v>
      </c>
      <c r="O51" s="241">
        <f t="shared" si="37"/>
        <v>0.1</v>
      </c>
      <c r="P51" s="146">
        <v>0</v>
      </c>
      <c r="Q51" s="146">
        <f t="shared" si="34"/>
        <v>0</v>
      </c>
      <c r="R51" s="147"/>
      <c r="S51" s="147"/>
      <c r="T51" s="147">
        <v>-19988.650000000001</v>
      </c>
      <c r="U51" s="147"/>
      <c r="V51" s="147">
        <f t="shared" si="35"/>
        <v>1423127.7100000002</v>
      </c>
      <c r="W51" s="147">
        <v>0</v>
      </c>
      <c r="X51" s="147">
        <v>0</v>
      </c>
      <c r="Y51" s="148">
        <v>-6684.1299999999992</v>
      </c>
      <c r="Z51" s="149">
        <f t="shared" si="36"/>
        <v>1.010037815867428E-2</v>
      </c>
      <c r="AA51" s="150">
        <v>0</v>
      </c>
      <c r="AB51" s="151">
        <v>-726667.91999999993</v>
      </c>
      <c r="AC51" s="204"/>
      <c r="AD51" s="151">
        <v>0</v>
      </c>
      <c r="AE51" s="151">
        <v>0</v>
      </c>
      <c r="AF51" s="204"/>
      <c r="AG51" s="151">
        <v>-5580.5</v>
      </c>
      <c r="AH51" s="193">
        <v>0</v>
      </c>
      <c r="AI51" s="159">
        <v>-95000</v>
      </c>
      <c r="AJ51" s="152">
        <v>-7000</v>
      </c>
      <c r="AK51" s="153">
        <v>0</v>
      </c>
      <c r="AL51" s="153">
        <v>-210439.84</v>
      </c>
      <c r="AM51" s="153">
        <v>-27674.34</v>
      </c>
      <c r="AN51" s="154">
        <v>0</v>
      </c>
      <c r="AO51" s="153">
        <v>0</v>
      </c>
      <c r="AP51" s="155">
        <v>-25810</v>
      </c>
      <c r="AQ51" s="157">
        <v>-38079.340000000004</v>
      </c>
      <c r="AR51" s="153">
        <v>-11434.08</v>
      </c>
      <c r="AS51" s="153">
        <v>-7480.21</v>
      </c>
      <c r="AT51" s="153">
        <v>-263.83999999999997</v>
      </c>
      <c r="AU51" s="153">
        <v>-7081.1</v>
      </c>
      <c r="AV51" s="156">
        <v>-109792.78</v>
      </c>
      <c r="AW51" s="152">
        <v>-35142.6</v>
      </c>
      <c r="AX51" s="152">
        <v>0</v>
      </c>
      <c r="AY51" s="152">
        <v>-91591.21</v>
      </c>
      <c r="AZ51" s="156">
        <v>0</v>
      </c>
      <c r="BA51" s="158">
        <v>0</v>
      </c>
      <c r="BB51" s="151">
        <v>0</v>
      </c>
      <c r="BC51" s="151">
        <v>-4500</v>
      </c>
      <c r="BD51" s="159">
        <v>0</v>
      </c>
      <c r="BE51" s="160"/>
      <c r="BF51" s="145">
        <f t="shared" si="29"/>
        <v>1416443.5800000003</v>
      </c>
      <c r="BG51" s="146">
        <f t="shared" si="30"/>
        <v>-1403537.7600000002</v>
      </c>
      <c r="BH51" s="146">
        <f t="shared" si="14"/>
        <v>12905.820000000065</v>
      </c>
      <c r="BI51" s="148">
        <f t="shared" si="15"/>
        <v>-6830462.4000000004</v>
      </c>
      <c r="BJ51" s="201">
        <f t="shared" si="16"/>
        <v>195736.13999999966</v>
      </c>
      <c r="BL51" s="164"/>
      <c r="BQ51" s="82">
        <v>0</v>
      </c>
      <c r="BR51" s="223">
        <v>0</v>
      </c>
      <c r="BS51" s="223">
        <v>0</v>
      </c>
      <c r="BT51" s="223">
        <v>0</v>
      </c>
      <c r="BU51" s="223">
        <v>0</v>
      </c>
      <c r="BV51" s="223"/>
      <c r="BW51" s="223">
        <f t="shared" si="33"/>
        <v>0</v>
      </c>
      <c r="BX51" s="83">
        <v>0</v>
      </c>
      <c r="BY51" s="78">
        <f t="shared" si="25"/>
        <v>1416443.5800000003</v>
      </c>
      <c r="BZ51" s="70">
        <f t="shared" si="26"/>
        <v>-1403537.7600000002</v>
      </c>
      <c r="CA51" s="70">
        <f t="shared" si="27"/>
        <v>12905.820000000065</v>
      </c>
      <c r="CB51" s="71">
        <f t="shared" si="28"/>
        <v>-6830462.4000000004</v>
      </c>
      <c r="CC51" s="270"/>
      <c r="CD51" s="201"/>
      <c r="CE51" s="69">
        <f t="shared" si="31"/>
        <v>12905.820000000065</v>
      </c>
      <c r="CF51" s="71">
        <f t="shared" si="32"/>
        <v>12905.820000000065</v>
      </c>
    </row>
    <row r="52" spans="1:84" s="161" customFormat="1" ht="15" customHeight="1" outlineLevel="1">
      <c r="A52" s="137">
        <v>0</v>
      </c>
      <c r="B52" s="138"/>
      <c r="C52" s="139">
        <v>42948</v>
      </c>
      <c r="D52" s="140">
        <v>28</v>
      </c>
      <c r="E52" s="141">
        <v>23</v>
      </c>
      <c r="F52" s="141">
        <v>18</v>
      </c>
      <c r="G52" s="141">
        <v>32</v>
      </c>
      <c r="H52" s="142">
        <v>2317037.1900000004</v>
      </c>
      <c r="I52" s="142">
        <v>1314665.8499999999</v>
      </c>
      <c r="J52" s="143">
        <v>0</v>
      </c>
      <c r="K52" s="144">
        <v>0</v>
      </c>
      <c r="L52" s="145">
        <v>0</v>
      </c>
      <c r="M52" s="145">
        <v>0</v>
      </c>
      <c r="N52" s="146">
        <v>1494607.82</v>
      </c>
      <c r="O52" s="241">
        <f t="shared" si="37"/>
        <v>0.1</v>
      </c>
      <c r="P52" s="146">
        <v>0</v>
      </c>
      <c r="Q52" s="146">
        <f t="shared" si="34"/>
        <v>0</v>
      </c>
      <c r="R52" s="147"/>
      <c r="S52" s="147"/>
      <c r="T52" s="147">
        <v>-11489.91</v>
      </c>
      <c r="U52" s="147"/>
      <c r="V52" s="147">
        <f>SUM(P52:T52,K52:N52)</f>
        <v>1483117.9100000001</v>
      </c>
      <c r="W52" s="147">
        <v>0</v>
      </c>
      <c r="X52" s="147">
        <v>0</v>
      </c>
      <c r="Y52" s="148">
        <v>11852.060000000001</v>
      </c>
      <c r="Z52" s="149">
        <f t="shared" si="36"/>
        <v>1.227848937239316E-2</v>
      </c>
      <c r="AA52" s="150">
        <v>0</v>
      </c>
      <c r="AB52" s="151">
        <v>-886984.7300000001</v>
      </c>
      <c r="AC52" s="204"/>
      <c r="AD52" s="151">
        <v>0</v>
      </c>
      <c r="AE52" s="151">
        <v>0</v>
      </c>
      <c r="AF52" s="204"/>
      <c r="AG52" s="151">
        <v>-3170.5</v>
      </c>
      <c r="AH52" s="193">
        <v>0</v>
      </c>
      <c r="AI52" s="159">
        <v>-95000</v>
      </c>
      <c r="AJ52" s="152">
        <v>-5000</v>
      </c>
      <c r="AK52" s="153">
        <v>0</v>
      </c>
      <c r="AL52" s="153">
        <v>-224061.89</v>
      </c>
      <c r="AM52" s="153">
        <v>-24142.080000000002</v>
      </c>
      <c r="AN52" s="154">
        <v>0</v>
      </c>
      <c r="AO52" s="153">
        <v>0</v>
      </c>
      <c r="AP52" s="155">
        <v>-13460</v>
      </c>
      <c r="AQ52" s="157">
        <v>-51318.1</v>
      </c>
      <c r="AR52" s="153">
        <v>-12514.85</v>
      </c>
      <c r="AS52" s="153">
        <v>-24707.82</v>
      </c>
      <c r="AT52" s="153">
        <v>-142.1</v>
      </c>
      <c r="AU52" s="153">
        <v>-19046.419999999998</v>
      </c>
      <c r="AV52" s="156">
        <v>-105978.33</v>
      </c>
      <c r="AW52" s="152">
        <v>-38750.1</v>
      </c>
      <c r="AX52" s="152">
        <v>0</v>
      </c>
      <c r="AY52" s="152">
        <v>-88700.94</v>
      </c>
      <c r="AZ52" s="156">
        <v>-13375.53</v>
      </c>
      <c r="BA52" s="158">
        <v>0</v>
      </c>
      <c r="BB52" s="151">
        <v>0</v>
      </c>
      <c r="BC52" s="151">
        <v>-4225</v>
      </c>
      <c r="BD52" s="159">
        <v>0</v>
      </c>
      <c r="BE52" s="160"/>
      <c r="BF52" s="145">
        <f t="shared" si="29"/>
        <v>1494969.9700000002</v>
      </c>
      <c r="BG52" s="146">
        <f t="shared" si="30"/>
        <v>-1610578.3900000006</v>
      </c>
      <c r="BH52" s="146">
        <f t="shared" si="14"/>
        <v>-115608.42000000039</v>
      </c>
      <c r="BI52" s="148">
        <f t="shared" si="15"/>
        <v>-6946070.8200000003</v>
      </c>
      <c r="BJ52" s="201">
        <f t="shared" si="16"/>
        <v>80127.719999999739</v>
      </c>
      <c r="BK52" s="86"/>
      <c r="BL52" s="164"/>
      <c r="BQ52" s="82">
        <v>0</v>
      </c>
      <c r="BR52" s="223">
        <v>0</v>
      </c>
      <c r="BS52" s="223">
        <v>0</v>
      </c>
      <c r="BT52" s="223">
        <v>0</v>
      </c>
      <c r="BU52" s="223">
        <v>0</v>
      </c>
      <c r="BV52" s="223"/>
      <c r="BW52" s="223">
        <f t="shared" si="33"/>
        <v>0</v>
      </c>
      <c r="BX52" s="83">
        <v>0</v>
      </c>
      <c r="BY52" s="78">
        <f t="shared" si="25"/>
        <v>1494969.9700000002</v>
      </c>
      <c r="BZ52" s="70">
        <f t="shared" si="26"/>
        <v>-1610578.3900000006</v>
      </c>
      <c r="CA52" s="70">
        <f t="shared" si="27"/>
        <v>-115608.42000000039</v>
      </c>
      <c r="CB52" s="71">
        <f t="shared" si="28"/>
        <v>-6946070.8200000003</v>
      </c>
      <c r="CC52" s="270"/>
      <c r="CD52" s="201"/>
      <c r="CE52" s="69">
        <f t="shared" si="31"/>
        <v>-115608.42000000039</v>
      </c>
      <c r="CF52" s="71">
        <f t="shared" si="32"/>
        <v>-115608.42000000039</v>
      </c>
    </row>
    <row r="53" spans="1:84" s="161" customFormat="1" ht="15" customHeight="1" outlineLevel="1">
      <c r="A53" s="137">
        <v>0</v>
      </c>
      <c r="B53" s="138"/>
      <c r="C53" s="139">
        <v>42979</v>
      </c>
      <c r="D53" s="140">
        <v>30</v>
      </c>
      <c r="E53" s="141">
        <v>32</v>
      </c>
      <c r="F53" s="141">
        <v>40</v>
      </c>
      <c r="G53" s="141">
        <v>30</v>
      </c>
      <c r="H53" s="142">
        <v>2575427.9100000011</v>
      </c>
      <c r="I53" s="142">
        <v>2074161.5999999996</v>
      </c>
      <c r="J53" s="143">
        <v>0</v>
      </c>
      <c r="K53" s="144">
        <v>0</v>
      </c>
      <c r="L53" s="145">
        <v>0</v>
      </c>
      <c r="M53" s="145">
        <v>0</v>
      </c>
      <c r="N53" s="146">
        <v>1353544.18</v>
      </c>
      <c r="O53" s="241">
        <f t="shared" si="37"/>
        <v>0.1</v>
      </c>
      <c r="P53" s="146">
        <v>0</v>
      </c>
      <c r="Q53" s="146">
        <f t="shared" si="34"/>
        <v>0</v>
      </c>
      <c r="R53" s="147"/>
      <c r="S53" s="147"/>
      <c r="T53" s="147">
        <v>2925.1500000000005</v>
      </c>
      <c r="U53" s="147"/>
      <c r="V53" s="147">
        <f t="shared" si="35"/>
        <v>1356469.3299999998</v>
      </c>
      <c r="W53" s="147">
        <v>0</v>
      </c>
      <c r="X53" s="147">
        <v>175000</v>
      </c>
      <c r="Y53" s="148">
        <v>-12209.02</v>
      </c>
      <c r="Z53" s="149">
        <f t="shared" si="36"/>
        <v>1.2318365710025236E-2</v>
      </c>
      <c r="AA53" s="150">
        <v>0</v>
      </c>
      <c r="AB53" s="151">
        <v>-889760.15</v>
      </c>
      <c r="AC53" s="204"/>
      <c r="AD53" s="151">
        <v>0</v>
      </c>
      <c r="AE53" s="151">
        <v>0</v>
      </c>
      <c r="AF53" s="204"/>
      <c r="AG53" s="151">
        <v>-3286</v>
      </c>
      <c r="AH53" s="193">
        <v>0</v>
      </c>
      <c r="AI53" s="159">
        <v>-95000</v>
      </c>
      <c r="AJ53" s="152">
        <v>-5000</v>
      </c>
      <c r="AK53" s="153">
        <v>0</v>
      </c>
      <c r="AL53" s="153">
        <v>-135800</v>
      </c>
      <c r="AM53" s="153">
        <v>0</v>
      </c>
      <c r="AN53" s="154">
        <v>0</v>
      </c>
      <c r="AO53" s="153">
        <v>0</v>
      </c>
      <c r="AP53" s="155">
        <v>-27240</v>
      </c>
      <c r="AQ53" s="157">
        <v>-73236.56</v>
      </c>
      <c r="AR53" s="153">
        <v>-22423.93</v>
      </c>
      <c r="AS53" s="153">
        <v>-8449.01</v>
      </c>
      <c r="AT53" s="153">
        <v>-865.4</v>
      </c>
      <c r="AU53" s="153">
        <v>-8597.4699999999993</v>
      </c>
      <c r="AV53" s="156">
        <v>-62372.979999999996</v>
      </c>
      <c r="AW53" s="152">
        <v>-41374.28</v>
      </c>
      <c r="AX53" s="152">
        <v>0</v>
      </c>
      <c r="AY53" s="152">
        <v>-49419.65</v>
      </c>
      <c r="AZ53" s="156">
        <v>-155.76</v>
      </c>
      <c r="BA53" s="158">
        <v>0</v>
      </c>
      <c r="BB53" s="151">
        <v>0</v>
      </c>
      <c r="BC53" s="151">
        <v>-4000</v>
      </c>
      <c r="BD53" s="159">
        <v>0</v>
      </c>
      <c r="BE53" s="160"/>
      <c r="BF53" s="145">
        <f t="shared" si="29"/>
        <v>1519260.3099999998</v>
      </c>
      <c r="BG53" s="146">
        <f t="shared" si="30"/>
        <v>-1426981.1899999997</v>
      </c>
      <c r="BH53" s="146">
        <f t="shared" si="14"/>
        <v>92279.120000000112</v>
      </c>
      <c r="BI53" s="148">
        <f t="shared" si="15"/>
        <v>-6853791.7000000002</v>
      </c>
      <c r="BJ53" s="201">
        <f t="shared" si="16"/>
        <v>172406.83999999985</v>
      </c>
      <c r="BK53" s="86"/>
      <c r="BL53" s="164"/>
      <c r="BQ53" s="82">
        <v>0</v>
      </c>
      <c r="BR53" s="223">
        <v>0</v>
      </c>
      <c r="BS53" s="223">
        <v>0</v>
      </c>
      <c r="BT53" s="223">
        <v>0</v>
      </c>
      <c r="BU53" s="223">
        <v>0</v>
      </c>
      <c r="BV53" s="223"/>
      <c r="BW53" s="223">
        <f t="shared" si="33"/>
        <v>0</v>
      </c>
      <c r="BX53" s="83">
        <v>0</v>
      </c>
      <c r="BY53" s="78">
        <f t="shared" si="25"/>
        <v>1519260.3099999998</v>
      </c>
      <c r="BZ53" s="70">
        <f t="shared" si="26"/>
        <v>-1426981.1899999997</v>
      </c>
      <c r="CA53" s="70">
        <f t="shared" si="27"/>
        <v>92279.120000000112</v>
      </c>
      <c r="CB53" s="71">
        <f t="shared" si="28"/>
        <v>-6853791.7000000002</v>
      </c>
      <c r="CC53" s="270"/>
      <c r="CD53" s="201"/>
      <c r="CE53" s="69">
        <f t="shared" si="31"/>
        <v>92279.120000000112</v>
      </c>
      <c r="CF53" s="71">
        <f t="shared" si="32"/>
        <v>92279.120000000112</v>
      </c>
    </row>
    <row r="54" spans="1:84" s="161" customFormat="1" ht="15" customHeight="1" outlineLevel="1">
      <c r="A54" s="137">
        <v>0</v>
      </c>
      <c r="B54" s="138"/>
      <c r="C54" s="139">
        <v>43009</v>
      </c>
      <c r="D54" s="140">
        <v>100</v>
      </c>
      <c r="E54" s="141">
        <v>59</v>
      </c>
      <c r="F54" s="141">
        <v>46</v>
      </c>
      <c r="G54" s="141">
        <v>40</v>
      </c>
      <c r="H54" s="142">
        <v>4061197.5400000019</v>
      </c>
      <c r="I54" s="142">
        <v>4080550.6400000011</v>
      </c>
      <c r="J54" s="143">
        <v>0</v>
      </c>
      <c r="K54" s="144">
        <v>0</v>
      </c>
      <c r="L54" s="145">
        <v>0</v>
      </c>
      <c r="M54" s="145">
        <v>0</v>
      </c>
      <c r="N54" s="146">
        <v>1631016.59</v>
      </c>
      <c r="O54" s="241">
        <f t="shared" si="37"/>
        <v>0.1</v>
      </c>
      <c r="P54" s="146">
        <v>0</v>
      </c>
      <c r="Q54" s="146">
        <f t="shared" si="34"/>
        <v>0</v>
      </c>
      <c r="R54" s="147"/>
      <c r="S54" s="147"/>
      <c r="T54" s="147">
        <v>-27987.97</v>
      </c>
      <c r="U54" s="147"/>
      <c r="V54" s="147">
        <f t="shared" si="35"/>
        <v>1603028.62</v>
      </c>
      <c r="W54" s="147">
        <v>0</v>
      </c>
      <c r="X54" s="147">
        <v>25000</v>
      </c>
      <c r="Y54" s="148">
        <v>-9653.7199999999993</v>
      </c>
      <c r="Z54" s="149">
        <f t="shared" si="36"/>
        <v>1.0774248014786714E-2</v>
      </c>
      <c r="AA54" s="150">
        <v>0</v>
      </c>
      <c r="AB54" s="151">
        <v>-781102.05</v>
      </c>
      <c r="AC54" s="204"/>
      <c r="AD54" s="151">
        <v>0</v>
      </c>
      <c r="AE54" s="151">
        <v>0</v>
      </c>
      <c r="AF54" s="204"/>
      <c r="AG54" s="151">
        <v>0</v>
      </c>
      <c r="AH54" s="193">
        <v>0</v>
      </c>
      <c r="AI54" s="159">
        <v>0</v>
      </c>
      <c r="AJ54" s="152">
        <v>-5000</v>
      </c>
      <c r="AK54" s="153">
        <v>0</v>
      </c>
      <c r="AL54" s="153">
        <v>-179271.5</v>
      </c>
      <c r="AM54" s="153">
        <v>0</v>
      </c>
      <c r="AN54" s="154">
        <v>-89900</v>
      </c>
      <c r="AO54" s="153">
        <v>0</v>
      </c>
      <c r="AP54" s="155">
        <v>-55120.63</v>
      </c>
      <c r="AQ54" s="157">
        <v>-222180.78</v>
      </c>
      <c r="AR54" s="153">
        <v>-11944.81</v>
      </c>
      <c r="AS54" s="153">
        <v>-24323.65</v>
      </c>
      <c r="AT54" s="153">
        <v>-355.08</v>
      </c>
      <c r="AU54" s="153">
        <v>-10349.9</v>
      </c>
      <c r="AV54" s="156">
        <v>-97824.5</v>
      </c>
      <c r="AW54" s="152">
        <v>-39533.78</v>
      </c>
      <c r="AX54" s="152">
        <v>0</v>
      </c>
      <c r="AY54" s="152">
        <v>-90884.2</v>
      </c>
      <c r="AZ54" s="156">
        <v>0</v>
      </c>
      <c r="BA54" s="158">
        <v>0</v>
      </c>
      <c r="BB54" s="151">
        <v>-14285.72</v>
      </c>
      <c r="BC54" s="151">
        <v>-4000</v>
      </c>
      <c r="BD54" s="159">
        <v>0</v>
      </c>
      <c r="BE54" s="160"/>
      <c r="BF54" s="145">
        <f t="shared" si="29"/>
        <v>1618374.9000000001</v>
      </c>
      <c r="BG54" s="146">
        <f t="shared" si="30"/>
        <v>-1626076.5999999999</v>
      </c>
      <c r="BH54" s="146">
        <f t="shared" si="14"/>
        <v>-7701.6999999997206</v>
      </c>
      <c r="BI54" s="148">
        <f t="shared" si="15"/>
        <v>-6861493.4000000004</v>
      </c>
      <c r="BJ54" s="201">
        <f t="shared" si="16"/>
        <v>164705.13999999966</v>
      </c>
      <c r="BK54" s="86"/>
      <c r="BL54" s="164"/>
      <c r="BQ54" s="82">
        <v>0</v>
      </c>
      <c r="BR54" s="223">
        <v>0</v>
      </c>
      <c r="BS54" s="223">
        <v>0</v>
      </c>
      <c r="BT54" s="223">
        <v>0</v>
      </c>
      <c r="BU54" s="223">
        <v>0</v>
      </c>
      <c r="BV54" s="223"/>
      <c r="BW54" s="223">
        <f t="shared" si="33"/>
        <v>0</v>
      </c>
      <c r="BX54" s="83">
        <v>0</v>
      </c>
      <c r="BY54" s="78">
        <f t="shared" si="25"/>
        <v>1618374.9000000001</v>
      </c>
      <c r="BZ54" s="70">
        <f t="shared" si="26"/>
        <v>-1626076.5999999999</v>
      </c>
      <c r="CA54" s="70">
        <f t="shared" si="27"/>
        <v>-7701.6999999997206</v>
      </c>
      <c r="CB54" s="71">
        <f t="shared" si="28"/>
        <v>-6861493.4000000004</v>
      </c>
      <c r="CC54" s="270"/>
      <c r="CD54" s="201"/>
      <c r="CE54" s="69">
        <f t="shared" si="31"/>
        <v>-7701.6999999997206</v>
      </c>
      <c r="CF54" s="71">
        <f t="shared" si="32"/>
        <v>-7701.6999999997206</v>
      </c>
    </row>
    <row r="55" spans="1:84" s="161" customFormat="1" ht="15" customHeight="1" outlineLevel="1">
      <c r="A55" s="137">
        <v>0</v>
      </c>
      <c r="B55" s="138"/>
      <c r="C55" s="139">
        <v>43040</v>
      </c>
      <c r="D55" s="140">
        <v>78</v>
      </c>
      <c r="E55" s="141">
        <v>22</v>
      </c>
      <c r="F55" s="141">
        <v>30</v>
      </c>
      <c r="G55" s="141">
        <v>22</v>
      </c>
      <c r="H55" s="142">
        <v>1840048.8700000006</v>
      </c>
      <c r="I55" s="142">
        <v>3004167.5699999975</v>
      </c>
      <c r="J55" s="143">
        <v>0</v>
      </c>
      <c r="K55" s="144">
        <v>0</v>
      </c>
      <c r="L55" s="145">
        <v>0</v>
      </c>
      <c r="M55" s="145">
        <v>0</v>
      </c>
      <c r="N55" s="146">
        <v>1595694.88</v>
      </c>
      <c r="O55" s="241">
        <f t="shared" si="37"/>
        <v>0.1</v>
      </c>
      <c r="P55" s="146">
        <v>0</v>
      </c>
      <c r="Q55" s="146">
        <f t="shared" si="34"/>
        <v>0</v>
      </c>
      <c r="R55" s="147"/>
      <c r="S55" s="147"/>
      <c r="T55" s="147">
        <v>-12088.94</v>
      </c>
      <c r="U55" s="147"/>
      <c r="V55" s="147">
        <f t="shared" si="35"/>
        <v>1583605.94</v>
      </c>
      <c r="W55" s="147">
        <v>0</v>
      </c>
      <c r="X55" s="147">
        <v>1000000</v>
      </c>
      <c r="Y55" s="148">
        <v>29683.66</v>
      </c>
      <c r="Z55" s="149">
        <f t="shared" si="36"/>
        <v>1.5014817172965451E-2</v>
      </c>
      <c r="AA55" s="150">
        <v>0</v>
      </c>
      <c r="AB55" s="151">
        <v>-1088531.1400000001</v>
      </c>
      <c r="AC55" s="204"/>
      <c r="AD55" s="151">
        <v>0</v>
      </c>
      <c r="AE55" s="151">
        <v>0</v>
      </c>
      <c r="AF55" s="204"/>
      <c r="AG55" s="151">
        <v>0</v>
      </c>
      <c r="AH55" s="193">
        <v>0</v>
      </c>
      <c r="AI55" s="159">
        <v>-190000</v>
      </c>
      <c r="AJ55" s="152">
        <f>-5000-365.85</f>
        <v>-5365.85</v>
      </c>
      <c r="AK55" s="153">
        <v>0</v>
      </c>
      <c r="AL55" s="153">
        <v>-642825.49</v>
      </c>
      <c r="AM55" s="153">
        <v>-87587.34</v>
      </c>
      <c r="AN55" s="154">
        <v>-35525</v>
      </c>
      <c r="AO55" s="153">
        <v>0</v>
      </c>
      <c r="AP55" s="155">
        <v>-54973.04</v>
      </c>
      <c r="AQ55" s="157">
        <v>-114035.8</v>
      </c>
      <c r="AR55" s="153">
        <v>-12418.14</v>
      </c>
      <c r="AS55" s="153">
        <v>-8352.9699999999993</v>
      </c>
      <c r="AT55" s="153">
        <v>-177.67</v>
      </c>
      <c r="AU55" s="153">
        <v>-8033.55</v>
      </c>
      <c r="AV55" s="156">
        <v>-172899.79</v>
      </c>
      <c r="AW55" s="152">
        <v>-53982.38</v>
      </c>
      <c r="AX55" s="152">
        <v>0</v>
      </c>
      <c r="AY55" s="152">
        <v>-141834.14000000001</v>
      </c>
      <c r="AZ55" s="156">
        <v>-13095.4</v>
      </c>
      <c r="BA55" s="158">
        <v>0</v>
      </c>
      <c r="BB55" s="151">
        <v>0</v>
      </c>
      <c r="BC55" s="151">
        <f>-4900-8000</f>
        <v>-12900</v>
      </c>
      <c r="BD55" s="159">
        <v>0</v>
      </c>
      <c r="BE55" s="160"/>
      <c r="BF55" s="145">
        <f t="shared" si="29"/>
        <v>2613289.5999999996</v>
      </c>
      <c r="BG55" s="146">
        <f t="shared" si="30"/>
        <v>-2642537.7000000002</v>
      </c>
      <c r="BH55" s="146">
        <f t="shared" si="14"/>
        <v>-29248.100000000559</v>
      </c>
      <c r="BI55" s="148">
        <f t="shared" si="15"/>
        <v>-6890741.5000000009</v>
      </c>
      <c r="BJ55" s="201">
        <f t="shared" si="16"/>
        <v>135457.03999999911</v>
      </c>
      <c r="BK55" s="86"/>
      <c r="BL55" s="164"/>
      <c r="BQ55" s="82">
        <v>0</v>
      </c>
      <c r="BR55" s="223">
        <v>0</v>
      </c>
      <c r="BS55" s="223">
        <v>0</v>
      </c>
      <c r="BT55" s="223">
        <v>0</v>
      </c>
      <c r="BU55" s="223">
        <v>0</v>
      </c>
      <c r="BV55" s="223"/>
      <c r="BW55" s="223">
        <f t="shared" si="33"/>
        <v>0</v>
      </c>
      <c r="BX55" s="83">
        <v>0</v>
      </c>
      <c r="BY55" s="78">
        <f t="shared" ref="BY55:BY62" si="38">BF55</f>
        <v>2613289.5999999996</v>
      </c>
      <c r="BZ55" s="70">
        <f t="shared" ref="BZ55:BZ62" si="39">BG55</f>
        <v>-2642537.7000000002</v>
      </c>
      <c r="CA55" s="70">
        <f t="shared" ref="CA55:CA62" si="40">BH55</f>
        <v>-29248.100000000559</v>
      </c>
      <c r="CB55" s="71">
        <f t="shared" ref="CB55:CB62" si="41">BI55</f>
        <v>-6890741.5000000009</v>
      </c>
      <c r="CC55" s="270"/>
      <c r="CD55" s="201"/>
      <c r="CE55" s="69">
        <f t="shared" si="31"/>
        <v>-29248.100000000559</v>
      </c>
      <c r="CF55" s="71">
        <f t="shared" si="32"/>
        <v>-29248.100000000559</v>
      </c>
    </row>
    <row r="56" spans="1:84" s="161" customFormat="1" ht="15" customHeight="1" outlineLevel="1">
      <c r="A56" s="137">
        <v>0</v>
      </c>
      <c r="B56" s="138"/>
      <c r="C56" s="139">
        <v>43070</v>
      </c>
      <c r="D56" s="140">
        <v>37</v>
      </c>
      <c r="E56" s="141">
        <v>110</v>
      </c>
      <c r="F56" s="141">
        <v>7</v>
      </c>
      <c r="G56" s="141">
        <v>64</v>
      </c>
      <c r="H56" s="142">
        <v>7522233.6399999969</v>
      </c>
      <c r="I56" s="142">
        <v>1205509.3599999994</v>
      </c>
      <c r="J56" s="143">
        <v>0</v>
      </c>
      <c r="K56" s="144">
        <v>0</v>
      </c>
      <c r="L56" s="145">
        <v>0</v>
      </c>
      <c r="M56" s="145">
        <v>0</v>
      </c>
      <c r="N56" s="146">
        <v>1664559.68</v>
      </c>
      <c r="O56" s="241">
        <f t="shared" si="37"/>
        <v>0.1</v>
      </c>
      <c r="P56" s="146">
        <v>0</v>
      </c>
      <c r="Q56" s="146">
        <f t="shared" si="34"/>
        <v>0</v>
      </c>
      <c r="R56" s="147"/>
      <c r="S56" s="147"/>
      <c r="T56" s="147">
        <v>-20245.91</v>
      </c>
      <c r="U56" s="147"/>
      <c r="V56" s="147">
        <f t="shared" si="35"/>
        <v>1644313.77</v>
      </c>
      <c r="W56" s="147">
        <v>0</v>
      </c>
      <c r="X56" s="147">
        <v>0</v>
      </c>
      <c r="Y56" s="148">
        <v>3298.09</v>
      </c>
      <c r="Z56" s="149">
        <f t="shared" si="36"/>
        <v>1.3142890359307675E-2</v>
      </c>
      <c r="AA56" s="150">
        <v>0</v>
      </c>
      <c r="AB56" s="151">
        <v>-952821.82</v>
      </c>
      <c r="AC56" s="204"/>
      <c r="AD56" s="151">
        <v>0</v>
      </c>
      <c r="AE56" s="151">
        <v>0</v>
      </c>
      <c r="AF56" s="204"/>
      <c r="AG56" s="151">
        <v>0</v>
      </c>
      <c r="AH56" s="193">
        <v>0</v>
      </c>
      <c r="AI56" s="159">
        <v>-95000</v>
      </c>
      <c r="AJ56" s="152">
        <v>-5000</v>
      </c>
      <c r="AK56" s="153">
        <v>0</v>
      </c>
      <c r="AL56" s="153">
        <v>-200601.54</v>
      </c>
      <c r="AM56" s="153">
        <v>-58633.19</v>
      </c>
      <c r="AN56" s="154">
        <v>-21325</v>
      </c>
      <c r="AO56" s="153">
        <v>0</v>
      </c>
      <c r="AP56" s="155">
        <v>-11400</v>
      </c>
      <c r="AQ56" s="157">
        <v>-76601.83</v>
      </c>
      <c r="AR56" s="153">
        <v>-9275.17</v>
      </c>
      <c r="AS56" s="153">
        <v>-15937.6</v>
      </c>
      <c r="AT56" s="153">
        <v>-827.4</v>
      </c>
      <c r="AU56" s="153">
        <v>-15811.99</v>
      </c>
      <c r="AV56" s="156">
        <v>-101025.90000000001</v>
      </c>
      <c r="AW56" s="152">
        <v>-34611.08</v>
      </c>
      <c r="AX56" s="152">
        <v>0</v>
      </c>
      <c r="AY56" s="152">
        <f>-95528.71-10354.42</f>
        <v>-105883.13</v>
      </c>
      <c r="AZ56" s="156">
        <v>0</v>
      </c>
      <c r="BA56" s="158">
        <v>0</v>
      </c>
      <c r="BB56" s="151">
        <v>0</v>
      </c>
      <c r="BC56" s="151">
        <f>-4900-4000</f>
        <v>-8900</v>
      </c>
      <c r="BD56" s="159">
        <v>0</v>
      </c>
      <c r="BE56" s="160"/>
      <c r="BF56" s="145">
        <f t="shared" si="29"/>
        <v>1647611.86</v>
      </c>
      <c r="BG56" s="146">
        <f t="shared" si="30"/>
        <v>-1713655.65</v>
      </c>
      <c r="BH56" s="146">
        <f t="shared" si="14"/>
        <v>-66043.789999999804</v>
      </c>
      <c r="BI56" s="148">
        <f t="shared" si="15"/>
        <v>-6956785.290000001</v>
      </c>
      <c r="BJ56" s="201">
        <f t="shared" si="16"/>
        <v>69413.249999999069</v>
      </c>
      <c r="BK56" s="86"/>
      <c r="BL56" s="164"/>
      <c r="BQ56" s="82">
        <v>0</v>
      </c>
      <c r="BR56" s="223">
        <v>0</v>
      </c>
      <c r="BS56" s="223">
        <v>0</v>
      </c>
      <c r="BT56" s="223">
        <v>0</v>
      </c>
      <c r="BU56" s="223">
        <v>0</v>
      </c>
      <c r="BV56" s="223"/>
      <c r="BW56" s="223">
        <f t="shared" si="33"/>
        <v>0</v>
      </c>
      <c r="BX56" s="83">
        <v>0</v>
      </c>
      <c r="BY56" s="78">
        <f t="shared" si="38"/>
        <v>1647611.86</v>
      </c>
      <c r="BZ56" s="70">
        <f t="shared" si="39"/>
        <v>-1713655.65</v>
      </c>
      <c r="CA56" s="70">
        <f t="shared" si="40"/>
        <v>-66043.789999999804</v>
      </c>
      <c r="CB56" s="71">
        <f t="shared" si="41"/>
        <v>-6956785.290000001</v>
      </c>
      <c r="CC56" s="270"/>
      <c r="CD56" s="201"/>
      <c r="CE56" s="69">
        <f t="shared" si="31"/>
        <v>-66043.789999999804</v>
      </c>
      <c r="CF56" s="71">
        <f t="shared" si="32"/>
        <v>-66043.789999999804</v>
      </c>
    </row>
    <row r="57" spans="1:84" s="161" customFormat="1" ht="15" customHeight="1" outlineLevel="1">
      <c r="A57" s="137">
        <v>0</v>
      </c>
      <c r="B57" s="138"/>
      <c r="C57" s="139">
        <v>43101</v>
      </c>
      <c r="D57" s="140">
        <v>36</v>
      </c>
      <c r="E57" s="141">
        <v>275</v>
      </c>
      <c r="F57" s="141">
        <v>14</v>
      </c>
      <c r="G57" s="141">
        <v>161</v>
      </c>
      <c r="H57" s="142">
        <v>20322655.449999943</v>
      </c>
      <c r="I57" s="142">
        <v>1501711.8200000003</v>
      </c>
      <c r="J57" s="143">
        <v>0</v>
      </c>
      <c r="K57" s="144">
        <v>0</v>
      </c>
      <c r="L57" s="145">
        <v>0</v>
      </c>
      <c r="M57" s="145">
        <v>0</v>
      </c>
      <c r="N57" s="146">
        <v>1731293.29</v>
      </c>
      <c r="O57" s="241">
        <f t="shared" si="37"/>
        <v>0.1</v>
      </c>
      <c r="P57" s="146">
        <v>0</v>
      </c>
      <c r="Q57" s="146">
        <f t="shared" si="34"/>
        <v>0</v>
      </c>
      <c r="R57" s="147"/>
      <c r="S57" s="147"/>
      <c r="T57" s="147">
        <v>6723.57</v>
      </c>
      <c r="U57" s="147"/>
      <c r="V57" s="147">
        <f t="shared" si="35"/>
        <v>1738016.86</v>
      </c>
      <c r="W57" s="147">
        <v>0</v>
      </c>
      <c r="X57" s="147">
        <v>0</v>
      </c>
      <c r="Y57" s="148">
        <v>-7241.7400000000016</v>
      </c>
      <c r="Z57" s="149">
        <f t="shared" si="36"/>
        <v>1.0510763512440043E-2</v>
      </c>
      <c r="AA57" s="150">
        <v>0</v>
      </c>
      <c r="AB57" s="151">
        <f>-758089.53</f>
        <v>-758089.53</v>
      </c>
      <c r="AC57" s="204"/>
      <c r="AD57" s="151">
        <v>0</v>
      </c>
      <c r="AE57" s="151">
        <v>0</v>
      </c>
      <c r="AF57" s="204"/>
      <c r="AG57" s="151">
        <v>-3910.65</v>
      </c>
      <c r="AH57" s="193">
        <v>0</v>
      </c>
      <c r="AI57" s="159">
        <v>-95000</v>
      </c>
      <c r="AJ57" s="152">
        <v>-5000</v>
      </c>
      <c r="AK57" s="153">
        <v>0</v>
      </c>
      <c r="AL57" s="153">
        <v>-250083.91</v>
      </c>
      <c r="AM57" s="153">
        <v>-35468.36</v>
      </c>
      <c r="AN57" s="154">
        <v>-20000</v>
      </c>
      <c r="AO57" s="153">
        <v>0</v>
      </c>
      <c r="AP57" s="155">
        <v>-47233.34</v>
      </c>
      <c r="AQ57" s="157">
        <v>-112074.63</v>
      </c>
      <c r="AR57" s="153">
        <v>-9959.81</v>
      </c>
      <c r="AS57" s="153">
        <v>-7968.8</v>
      </c>
      <c r="AT57" s="153">
        <v>-74.88</v>
      </c>
      <c r="AU57" s="153">
        <v>-11472.97</v>
      </c>
      <c r="AV57" s="156">
        <v>-130895.07</v>
      </c>
      <c r="AW57" s="152">
        <v>-34804.69</v>
      </c>
      <c r="AX57" s="152">
        <v>0</v>
      </c>
      <c r="AY57" s="152">
        <v>-105377.54</v>
      </c>
      <c r="AZ57" s="156">
        <v>0</v>
      </c>
      <c r="BA57" s="158">
        <v>0</v>
      </c>
      <c r="BB57" s="151">
        <v>0</v>
      </c>
      <c r="BC57" s="151">
        <f>-4900-4000</f>
        <v>-8900</v>
      </c>
      <c r="BD57" s="159">
        <v>0</v>
      </c>
      <c r="BE57" s="160"/>
      <c r="BF57" s="145">
        <f t="shared" si="29"/>
        <v>1730775.12</v>
      </c>
      <c r="BG57" s="146">
        <f t="shared" si="30"/>
        <v>-1636314.1800000004</v>
      </c>
      <c r="BH57" s="146">
        <f t="shared" si="14"/>
        <v>94460.939999999711</v>
      </c>
      <c r="BI57" s="148">
        <f t="shared" ref="BI57:BI121" si="42">BH57+BI56</f>
        <v>-6862324.3500000015</v>
      </c>
      <c r="BJ57" s="201">
        <f t="shared" si="16"/>
        <v>163874.18999999855</v>
      </c>
      <c r="BK57" s="86"/>
      <c r="BL57" s="164"/>
      <c r="BQ57" s="82">
        <v>0</v>
      </c>
      <c r="BR57" s="223">
        <v>0</v>
      </c>
      <c r="BS57" s="223">
        <v>0</v>
      </c>
      <c r="BT57" s="223">
        <v>0</v>
      </c>
      <c r="BU57" s="223">
        <v>0</v>
      </c>
      <c r="BV57" s="223"/>
      <c r="BW57" s="223">
        <f t="shared" si="33"/>
        <v>0</v>
      </c>
      <c r="BX57" s="83">
        <v>0</v>
      </c>
      <c r="BY57" s="78">
        <f t="shared" si="38"/>
        <v>1730775.12</v>
      </c>
      <c r="BZ57" s="70">
        <f t="shared" si="39"/>
        <v>-1636314.1800000004</v>
      </c>
      <c r="CA57" s="70">
        <f t="shared" si="40"/>
        <v>94460.939999999711</v>
      </c>
      <c r="CB57" s="71">
        <f t="shared" si="41"/>
        <v>-6862324.3500000015</v>
      </c>
      <c r="CC57" s="270"/>
      <c r="CD57" s="201"/>
      <c r="CE57" s="69">
        <f t="shared" si="31"/>
        <v>94460.939999999711</v>
      </c>
      <c r="CF57" s="71">
        <f t="shared" si="32"/>
        <v>94460.939999999711</v>
      </c>
    </row>
    <row r="58" spans="1:84" s="161" customFormat="1" ht="15" customHeight="1" outlineLevel="1">
      <c r="A58" s="137">
        <v>0</v>
      </c>
      <c r="B58" s="138"/>
      <c r="C58" s="139">
        <v>43132</v>
      </c>
      <c r="D58" s="140">
        <v>84</v>
      </c>
      <c r="E58" s="141">
        <v>140</v>
      </c>
      <c r="F58" s="141">
        <v>30</v>
      </c>
      <c r="G58" s="141">
        <v>46</v>
      </c>
      <c r="H58" s="142">
        <v>8325552.6199999917</v>
      </c>
      <c r="I58" s="142">
        <v>3266424.120000001</v>
      </c>
      <c r="J58" s="143">
        <v>0</v>
      </c>
      <c r="K58" s="144">
        <v>0</v>
      </c>
      <c r="L58" s="145">
        <v>0</v>
      </c>
      <c r="M58" s="145">
        <v>0</v>
      </c>
      <c r="N58" s="146">
        <v>1655423.88</v>
      </c>
      <c r="O58" s="241">
        <f t="shared" si="37"/>
        <v>0.1</v>
      </c>
      <c r="P58" s="146">
        <v>0</v>
      </c>
      <c r="Q58" s="146">
        <f t="shared" si="34"/>
        <v>0</v>
      </c>
      <c r="R58" s="147"/>
      <c r="S58" s="147"/>
      <c r="T58" s="147">
        <v>-2229.59</v>
      </c>
      <c r="U58" s="147"/>
      <c r="V58" s="147">
        <f t="shared" si="35"/>
        <v>1653194.2899999998</v>
      </c>
      <c r="W58" s="147">
        <v>0</v>
      </c>
      <c r="X58" s="147">
        <v>0</v>
      </c>
      <c r="Y58" s="148">
        <v>21679.279999999999</v>
      </c>
      <c r="Z58" s="149">
        <f t="shared" si="36"/>
        <v>1.1033869743486762E-2</v>
      </c>
      <c r="AA58" s="150">
        <v>0</v>
      </c>
      <c r="AB58" s="151">
        <v>-799923.87999999989</v>
      </c>
      <c r="AC58" s="204"/>
      <c r="AD58" s="151">
        <v>0</v>
      </c>
      <c r="AE58" s="151">
        <v>0</v>
      </c>
      <c r="AF58" s="204"/>
      <c r="AG58" s="151">
        <v>0</v>
      </c>
      <c r="AH58" s="193">
        <v>0</v>
      </c>
      <c r="AI58" s="159">
        <v>-95000</v>
      </c>
      <c r="AJ58" s="152">
        <v>-5000</v>
      </c>
      <c r="AK58" s="153">
        <v>0</v>
      </c>
      <c r="AL58" s="153">
        <v>-255412.06</v>
      </c>
      <c r="AM58" s="153">
        <v>-68667.210000000006</v>
      </c>
      <c r="AN58" s="154">
        <v>-42775</v>
      </c>
      <c r="AO58" s="153">
        <v>0</v>
      </c>
      <c r="AP58" s="155">
        <v>-28493.33</v>
      </c>
      <c r="AQ58" s="157">
        <v>-107973</v>
      </c>
      <c r="AR58" s="153">
        <v>-9209.81</v>
      </c>
      <c r="AS58" s="153">
        <v>-8113.35</v>
      </c>
      <c r="AT58" s="153">
        <v>-927.6</v>
      </c>
      <c r="AU58" s="153">
        <v>-10645.24</v>
      </c>
      <c r="AV58" s="156">
        <v>-133950.29999999999</v>
      </c>
      <c r="AW58" s="152">
        <v>-35222.17</v>
      </c>
      <c r="AX58" s="152">
        <v>0</v>
      </c>
      <c r="AY58" s="152">
        <v>-106615.2</v>
      </c>
      <c r="AZ58" s="156">
        <v>0</v>
      </c>
      <c r="BA58" s="158">
        <v>0</v>
      </c>
      <c r="BB58" s="151">
        <v>0</v>
      </c>
      <c r="BC58" s="151">
        <f>-4900-4000</f>
        <v>-8900</v>
      </c>
      <c r="BD58" s="159">
        <v>0</v>
      </c>
      <c r="BE58" s="160"/>
      <c r="BF58" s="145">
        <f t="shared" si="29"/>
        <v>1674873.5699999998</v>
      </c>
      <c r="BG58" s="146">
        <f t="shared" si="30"/>
        <v>-1716828.1500000001</v>
      </c>
      <c r="BH58" s="146">
        <f t="shared" si="14"/>
        <v>-41954.580000000307</v>
      </c>
      <c r="BI58" s="148">
        <f t="shared" si="42"/>
        <v>-6904278.9300000016</v>
      </c>
      <c r="BJ58" s="201">
        <f t="shared" si="16"/>
        <v>121919.60999999847</v>
      </c>
      <c r="BK58" s="86"/>
      <c r="BL58" s="164"/>
      <c r="BQ58" s="82">
        <v>0</v>
      </c>
      <c r="BR58" s="223">
        <v>0</v>
      </c>
      <c r="BS58" s="223">
        <v>0</v>
      </c>
      <c r="BT58" s="223">
        <v>0</v>
      </c>
      <c r="BU58" s="223">
        <v>0</v>
      </c>
      <c r="BV58" s="223"/>
      <c r="BW58" s="223">
        <f t="shared" si="33"/>
        <v>0</v>
      </c>
      <c r="BX58" s="83">
        <v>0</v>
      </c>
      <c r="BY58" s="78">
        <f t="shared" si="38"/>
        <v>1674873.5699999998</v>
      </c>
      <c r="BZ58" s="70">
        <f t="shared" si="39"/>
        <v>-1716828.1500000001</v>
      </c>
      <c r="CA58" s="70">
        <f t="shared" si="40"/>
        <v>-41954.580000000307</v>
      </c>
      <c r="CB58" s="71">
        <f t="shared" si="41"/>
        <v>-6904278.9300000016</v>
      </c>
      <c r="CC58" s="270"/>
      <c r="CD58" s="201"/>
      <c r="CE58" s="69">
        <f t="shared" si="31"/>
        <v>-41954.580000000307</v>
      </c>
      <c r="CF58" s="71">
        <f t="shared" si="32"/>
        <v>-41954.580000000307</v>
      </c>
    </row>
    <row r="59" spans="1:84" ht="15" customHeight="1" outlineLevel="1">
      <c r="A59" s="35">
        <v>0</v>
      </c>
      <c r="B59" s="87"/>
      <c r="C59" s="139">
        <v>43160</v>
      </c>
      <c r="D59" s="75">
        <v>50</v>
      </c>
      <c r="E59" s="110">
        <v>74</v>
      </c>
      <c r="F59" s="110">
        <v>26</v>
      </c>
      <c r="G59" s="110">
        <v>32</v>
      </c>
      <c r="H59" s="76">
        <v>0</v>
      </c>
      <c r="I59" s="76">
        <v>0</v>
      </c>
      <c r="J59" s="77">
        <v>7351803.7800000003</v>
      </c>
      <c r="K59" s="69">
        <v>0</v>
      </c>
      <c r="L59" s="78">
        <v>0</v>
      </c>
      <c r="M59" s="78">
        <v>0</v>
      </c>
      <c r="N59" s="146">
        <v>1902417.54</v>
      </c>
      <c r="O59" s="241">
        <f t="shared" si="37"/>
        <v>0.1</v>
      </c>
      <c r="P59" s="70">
        <v>0</v>
      </c>
      <c r="Q59" s="70">
        <f t="shared" si="34"/>
        <v>0</v>
      </c>
      <c r="R59" s="79"/>
      <c r="S59" s="79"/>
      <c r="T59" s="147">
        <v>-25339.8</v>
      </c>
      <c r="U59" s="147"/>
      <c r="V59" s="147">
        <f t="shared" si="35"/>
        <v>1877077.74</v>
      </c>
      <c r="W59" s="79">
        <v>0</v>
      </c>
      <c r="X59" s="147">
        <v>0</v>
      </c>
      <c r="Y59" s="148">
        <v>-18607.629999999997</v>
      </c>
      <c r="Z59" s="149">
        <f t="shared" si="36"/>
        <v>1.1608851407991852E-2</v>
      </c>
      <c r="AA59" s="80">
        <v>0</v>
      </c>
      <c r="AB59" s="151">
        <v>-841608.4</v>
      </c>
      <c r="AC59" s="204"/>
      <c r="AD59" s="81">
        <v>0</v>
      </c>
      <c r="AE59" s="81">
        <v>0</v>
      </c>
      <c r="AF59" s="208"/>
      <c r="AG59" s="81">
        <v>0</v>
      </c>
      <c r="AH59" s="246">
        <v>0</v>
      </c>
      <c r="AI59" s="159">
        <v>-95000</v>
      </c>
      <c r="AJ59" s="152">
        <v>-5000</v>
      </c>
      <c r="AK59" s="85">
        <v>0</v>
      </c>
      <c r="AL59" s="153">
        <v>-165912.98000000001</v>
      </c>
      <c r="AM59" s="153">
        <v>0</v>
      </c>
      <c r="AN59" s="154">
        <v>0</v>
      </c>
      <c r="AO59" s="153">
        <v>0</v>
      </c>
      <c r="AP59" s="155">
        <v>-25591.83</v>
      </c>
      <c r="AQ59" s="157">
        <v>-107651.47</v>
      </c>
      <c r="AR59" s="153">
        <v>-720</v>
      </c>
      <c r="AS59" s="153">
        <v>-8113.35</v>
      </c>
      <c r="AT59" s="153">
        <v>-1208.03</v>
      </c>
      <c r="AU59" s="153">
        <v>-5519.5</v>
      </c>
      <c r="AV59" s="156">
        <v>-413571.37000000005</v>
      </c>
      <c r="AW59" s="152">
        <v>-15573.13</v>
      </c>
      <c r="AX59" s="82">
        <v>0</v>
      </c>
      <c r="AY59" s="152">
        <v>-110803.75</v>
      </c>
      <c r="AZ59" s="84"/>
      <c r="BA59" s="158">
        <v>-10000</v>
      </c>
      <c r="BB59" s="81"/>
      <c r="BC59" s="151">
        <v>-24000</v>
      </c>
      <c r="BD59" s="125">
        <v>0</v>
      </c>
      <c r="BE59" s="133"/>
      <c r="BF59" s="145">
        <f t="shared" si="29"/>
        <v>1858470.11</v>
      </c>
      <c r="BG59" s="146">
        <f t="shared" si="30"/>
        <v>-1830273.8100000003</v>
      </c>
      <c r="BH59" s="146">
        <f t="shared" si="14"/>
        <v>28196.299999999814</v>
      </c>
      <c r="BI59" s="148">
        <f t="shared" si="42"/>
        <v>-6876082.6300000018</v>
      </c>
      <c r="BJ59" s="201">
        <f t="shared" si="16"/>
        <v>150115.90999999829</v>
      </c>
      <c r="BK59" s="86"/>
      <c r="BQ59" s="82">
        <v>0</v>
      </c>
      <c r="BR59" s="223">
        <v>0</v>
      </c>
      <c r="BS59" s="223">
        <v>0</v>
      </c>
      <c r="BT59" s="223">
        <v>0</v>
      </c>
      <c r="BU59" s="223">
        <v>0</v>
      </c>
      <c r="BV59" s="223"/>
      <c r="BW59" s="223">
        <f t="shared" si="33"/>
        <v>0</v>
      </c>
      <c r="BX59" s="83">
        <v>0</v>
      </c>
      <c r="BY59" s="78">
        <f t="shared" si="38"/>
        <v>1858470.11</v>
      </c>
      <c r="BZ59" s="70">
        <f t="shared" si="39"/>
        <v>-1830273.8100000003</v>
      </c>
      <c r="CA59" s="70">
        <f t="shared" si="40"/>
        <v>28196.299999999814</v>
      </c>
      <c r="CB59" s="71">
        <f t="shared" si="41"/>
        <v>-6876082.6300000018</v>
      </c>
      <c r="CC59" s="270"/>
      <c r="CD59" s="201"/>
      <c r="CE59" s="69">
        <f t="shared" si="31"/>
        <v>28196.299999999814</v>
      </c>
      <c r="CF59" s="71">
        <f t="shared" si="32"/>
        <v>28196.299999999814</v>
      </c>
    </row>
    <row r="60" spans="1:84" ht="15" customHeight="1" outlineLevel="1">
      <c r="A60" s="35">
        <v>0</v>
      </c>
      <c r="B60" s="87"/>
      <c r="C60" s="139">
        <v>43191</v>
      </c>
      <c r="D60" s="75">
        <v>50</v>
      </c>
      <c r="E60" s="110">
        <v>80</v>
      </c>
      <c r="F60" s="110">
        <v>20</v>
      </c>
      <c r="G60" s="110">
        <v>21</v>
      </c>
      <c r="H60" s="76">
        <v>0</v>
      </c>
      <c r="I60" s="76">
        <v>0</v>
      </c>
      <c r="J60" s="77">
        <v>6808905.959999999</v>
      </c>
      <c r="K60" s="69">
        <v>0</v>
      </c>
      <c r="L60" s="78">
        <v>0</v>
      </c>
      <c r="M60" s="78">
        <v>0</v>
      </c>
      <c r="N60" s="146">
        <v>1873284.48</v>
      </c>
      <c r="O60" s="241">
        <f t="shared" si="37"/>
        <v>0.1</v>
      </c>
      <c r="P60" s="70">
        <v>0</v>
      </c>
      <c r="Q60" s="70">
        <f t="shared" si="34"/>
        <v>0</v>
      </c>
      <c r="R60" s="79"/>
      <c r="S60" s="79"/>
      <c r="T60" s="147">
        <v>10468.140000000001</v>
      </c>
      <c r="U60" s="147"/>
      <c r="V60" s="147">
        <f t="shared" si="35"/>
        <v>1883752.6199999999</v>
      </c>
      <c r="W60" s="79">
        <v>0</v>
      </c>
      <c r="X60" s="147">
        <v>100000</v>
      </c>
      <c r="Y60" s="148">
        <v>-5312.24</v>
      </c>
      <c r="Z60" s="149">
        <f t="shared" si="36"/>
        <v>1.1137636748973584E-2</v>
      </c>
      <c r="AA60" s="80">
        <v>0</v>
      </c>
      <c r="AB60" s="151">
        <v>-767846.69</v>
      </c>
      <c r="AC60" s="204"/>
      <c r="AD60" s="81">
        <v>0</v>
      </c>
      <c r="AE60" s="81">
        <v>0</v>
      </c>
      <c r="AF60" s="208"/>
      <c r="AG60" s="151">
        <v>-39600</v>
      </c>
      <c r="AH60" s="246">
        <v>0</v>
      </c>
      <c r="AI60" s="159">
        <v>-70000</v>
      </c>
      <c r="AJ60" s="152">
        <v>-5000</v>
      </c>
      <c r="AK60" s="85">
        <v>0</v>
      </c>
      <c r="AL60" s="153">
        <v>-317890.89</v>
      </c>
      <c r="AM60" s="153">
        <v>-36647.99</v>
      </c>
      <c r="AN60" s="154">
        <v>-36250</v>
      </c>
      <c r="AO60" s="153">
        <v>0</v>
      </c>
      <c r="AP60" s="155">
        <v>-42406</v>
      </c>
      <c r="AQ60" s="157">
        <v>-126808.47</v>
      </c>
      <c r="AR60" s="153">
        <v>-953.38</v>
      </c>
      <c r="AS60" s="153">
        <v>-15000</v>
      </c>
      <c r="AT60" s="153">
        <v>-861.3</v>
      </c>
      <c r="AU60" s="153">
        <v>-14137.29</v>
      </c>
      <c r="AV60" s="156">
        <v>-279038.49</v>
      </c>
      <c r="AW60" s="152">
        <v>-14609.669999999998</v>
      </c>
      <c r="AX60" s="82">
        <v>0</v>
      </c>
      <c r="AY60" s="152">
        <v>-103206.7</v>
      </c>
      <c r="AZ60" s="84"/>
      <c r="BA60" s="158">
        <v>-37500</v>
      </c>
      <c r="BB60" s="81"/>
      <c r="BC60" s="151">
        <v>-20000</v>
      </c>
      <c r="BD60" s="159">
        <v>-100000</v>
      </c>
      <c r="BE60" s="133"/>
      <c r="BF60" s="145">
        <f t="shared" si="29"/>
        <v>1978440.38</v>
      </c>
      <c r="BG60" s="146">
        <f t="shared" si="30"/>
        <v>-2027756.8699999999</v>
      </c>
      <c r="BH60" s="146">
        <f t="shared" ref="BH60:BH121" si="43">SUM(BF60:BG60)</f>
        <v>-49316.489999999991</v>
      </c>
      <c r="BI60" s="148">
        <f t="shared" si="42"/>
        <v>-6925399.120000002</v>
      </c>
      <c r="BJ60" s="201">
        <f t="shared" si="16"/>
        <v>100799.41999999806</v>
      </c>
      <c r="BK60" s="86"/>
      <c r="BL60" s="165"/>
      <c r="BQ60" s="82">
        <v>0</v>
      </c>
      <c r="BR60" s="223">
        <v>0</v>
      </c>
      <c r="BS60" s="223">
        <v>0</v>
      </c>
      <c r="BT60" s="223">
        <v>0</v>
      </c>
      <c r="BU60" s="223">
        <v>0</v>
      </c>
      <c r="BV60" s="223"/>
      <c r="BW60" s="223">
        <f t="shared" si="33"/>
        <v>0</v>
      </c>
      <c r="BX60" s="83">
        <v>0</v>
      </c>
      <c r="BY60" s="78">
        <f t="shared" si="38"/>
        <v>1978440.38</v>
      </c>
      <c r="BZ60" s="70">
        <f t="shared" si="39"/>
        <v>-2027756.8699999999</v>
      </c>
      <c r="CA60" s="70">
        <f t="shared" si="40"/>
        <v>-49316.489999999991</v>
      </c>
      <c r="CB60" s="71">
        <f t="shared" si="41"/>
        <v>-6925399.120000002</v>
      </c>
      <c r="CC60" s="270"/>
      <c r="CD60" s="201"/>
      <c r="CE60" s="69">
        <f t="shared" si="31"/>
        <v>-49316.489999999991</v>
      </c>
      <c r="CF60" s="71">
        <f t="shared" si="32"/>
        <v>-49316.489999999991</v>
      </c>
    </row>
    <row r="61" spans="1:84" s="161" customFormat="1" ht="15" customHeight="1" outlineLevel="1">
      <c r="A61" s="137">
        <v>0</v>
      </c>
      <c r="B61" s="138"/>
      <c r="C61" s="139">
        <v>43221</v>
      </c>
      <c r="D61" s="140">
        <v>50</v>
      </c>
      <c r="E61" s="141">
        <v>74</v>
      </c>
      <c r="F61" s="141">
        <v>20</v>
      </c>
      <c r="G61" s="141">
        <v>10</v>
      </c>
      <c r="H61" s="142">
        <v>0</v>
      </c>
      <c r="I61" s="142">
        <v>0</v>
      </c>
      <c r="J61" s="143">
        <v>5963701.2599999998</v>
      </c>
      <c r="K61" s="144">
        <v>0</v>
      </c>
      <c r="L61" s="145">
        <v>0</v>
      </c>
      <c r="M61" s="145">
        <v>0</v>
      </c>
      <c r="N61" s="146">
        <v>2036985.2</v>
      </c>
      <c r="O61" s="241">
        <f t="shared" si="37"/>
        <v>0.1</v>
      </c>
      <c r="P61" s="146">
        <v>0</v>
      </c>
      <c r="Q61" s="146">
        <v>0</v>
      </c>
      <c r="R61" s="147"/>
      <c r="S61" s="147"/>
      <c r="T61" s="147">
        <v>-8497.02</v>
      </c>
      <c r="U61" s="147"/>
      <c r="V61" s="147">
        <f>SUM(P61:T61,K61:N61)</f>
        <v>2028488.18</v>
      </c>
      <c r="W61" s="147">
        <v>0</v>
      </c>
      <c r="X61" s="147">
        <v>0</v>
      </c>
      <c r="Y61" s="147">
        <v>31658.19</v>
      </c>
      <c r="Z61" s="149">
        <f t="shared" si="36"/>
        <v>1.1128492800687336E-2</v>
      </c>
      <c r="AA61" s="150">
        <v>0</v>
      </c>
      <c r="AB61" s="151">
        <v>-786983.78</v>
      </c>
      <c r="AC61" s="204"/>
      <c r="AD61" s="151">
        <v>0</v>
      </c>
      <c r="AE61" s="151">
        <v>0</v>
      </c>
      <c r="AF61" s="204"/>
      <c r="AG61" s="151">
        <v>-19800</v>
      </c>
      <c r="AH61" s="193">
        <v>0</v>
      </c>
      <c r="AI61" s="159">
        <v>-70000</v>
      </c>
      <c r="AJ61" s="152">
        <v>-5000</v>
      </c>
      <c r="AK61" s="153">
        <v>0</v>
      </c>
      <c r="AL61" s="153">
        <v>-179994.21</v>
      </c>
      <c r="AM61" s="153">
        <v>-33395.660000000003</v>
      </c>
      <c r="AN61" s="154">
        <v>0</v>
      </c>
      <c r="AO61" s="153">
        <v>0</v>
      </c>
      <c r="AP61" s="155">
        <v>-53965</v>
      </c>
      <c r="AQ61" s="157">
        <v>-127208.97</v>
      </c>
      <c r="AR61" s="153">
        <v>-3170.36</v>
      </c>
      <c r="AS61" s="153">
        <v>-17100.3</v>
      </c>
      <c r="AT61" s="153">
        <v>-1323.2</v>
      </c>
      <c r="AU61" s="153">
        <v>-8297.35</v>
      </c>
      <c r="AV61" s="156">
        <v>-269317.40000000002</v>
      </c>
      <c r="AW61" s="152">
        <v>-32630.6</v>
      </c>
      <c r="AX61" s="152">
        <v>0</v>
      </c>
      <c r="AY61" s="152">
        <v>-107362.51</v>
      </c>
      <c r="AZ61" s="156">
        <v>-115768.1</v>
      </c>
      <c r="BA61" s="193">
        <v>0</v>
      </c>
      <c r="BB61" s="151">
        <v>-1901</v>
      </c>
      <c r="BC61" s="151">
        <v>-28000</v>
      </c>
      <c r="BD61" s="159">
        <v>-130000</v>
      </c>
      <c r="BE61" s="160"/>
      <c r="BF61" s="145">
        <f t="shared" si="29"/>
        <v>2060146.3699999999</v>
      </c>
      <c r="BG61" s="146">
        <f t="shared" si="30"/>
        <v>-1991218.4400000002</v>
      </c>
      <c r="BH61" s="146">
        <f t="shared" si="43"/>
        <v>68927.929999999702</v>
      </c>
      <c r="BI61" s="148">
        <f>BH61+BI60</f>
        <v>-6856471.1900000023</v>
      </c>
      <c r="BJ61" s="201">
        <f t="shared" si="16"/>
        <v>169727.34999999776</v>
      </c>
      <c r="BK61" s="86"/>
      <c r="BM61" s="194"/>
      <c r="BQ61" s="82"/>
      <c r="BR61" s="223">
        <v>0</v>
      </c>
      <c r="BS61" s="223">
        <v>0</v>
      </c>
      <c r="BT61" s="223">
        <v>0</v>
      </c>
      <c r="BU61" s="223">
        <v>0</v>
      </c>
      <c r="BV61" s="223"/>
      <c r="BW61" s="223">
        <f t="shared" si="33"/>
        <v>0</v>
      </c>
      <c r="BX61" s="83">
        <v>0</v>
      </c>
      <c r="BY61" s="78">
        <f t="shared" si="38"/>
        <v>2060146.3699999999</v>
      </c>
      <c r="BZ61" s="70">
        <f t="shared" si="39"/>
        <v>-1991218.4400000002</v>
      </c>
      <c r="CA61" s="70">
        <f t="shared" si="40"/>
        <v>68927.929999999702</v>
      </c>
      <c r="CB61" s="71">
        <f t="shared" si="41"/>
        <v>-6856471.1900000023</v>
      </c>
      <c r="CC61" s="270"/>
      <c r="CD61" s="201"/>
      <c r="CE61" s="69">
        <f t="shared" si="31"/>
        <v>68927.929999999702</v>
      </c>
      <c r="CF61" s="71">
        <f t="shared" si="32"/>
        <v>68927.929999999702</v>
      </c>
    </row>
    <row r="62" spans="1:84" s="161" customFormat="1" ht="15" customHeight="1" outlineLevel="1">
      <c r="A62" s="137"/>
      <c r="B62" s="138"/>
      <c r="C62" s="139">
        <v>43252</v>
      </c>
      <c r="D62" s="140"/>
      <c r="E62" s="141"/>
      <c r="F62" s="141"/>
      <c r="G62" s="141"/>
      <c r="H62" s="142"/>
      <c r="I62" s="142"/>
      <c r="J62" s="143"/>
      <c r="K62" s="144">
        <v>0</v>
      </c>
      <c r="L62" s="145">
        <v>0</v>
      </c>
      <c r="M62" s="145">
        <v>0</v>
      </c>
      <c r="N62" s="203">
        <v>1812817.9199999999</v>
      </c>
      <c r="O62" s="241">
        <f t="shared" si="37"/>
        <v>0.1</v>
      </c>
      <c r="P62" s="203">
        <v>0</v>
      </c>
      <c r="Q62" s="203">
        <v>0</v>
      </c>
      <c r="R62" s="147"/>
      <c r="S62" s="147"/>
      <c r="T62" s="147">
        <v>10566.9</v>
      </c>
      <c r="U62" s="147"/>
      <c r="V62" s="147">
        <f>SUM(P62:T62,K62:N62)</f>
        <v>1823384.8199999998</v>
      </c>
      <c r="W62" s="147"/>
      <c r="X62" s="147">
        <v>0</v>
      </c>
      <c r="Y62" s="147">
        <v>64988.56</v>
      </c>
      <c r="Z62" s="149">
        <f t="shared" si="36"/>
        <v>1.1079686040465518E-2</v>
      </c>
      <c r="AA62" s="150">
        <v>0</v>
      </c>
      <c r="AB62" s="204">
        <f>-782393.58-118.85</f>
        <v>-782512.42999999993</v>
      </c>
      <c r="AC62" s="204"/>
      <c r="AD62" s="204"/>
      <c r="AE62" s="204"/>
      <c r="AF62" s="204"/>
      <c r="AG62" s="204">
        <v>-20733</v>
      </c>
      <c r="AH62" s="193">
        <v>0</v>
      </c>
      <c r="AI62" s="159">
        <v>-70000</v>
      </c>
      <c r="AJ62" s="152">
        <v>-5000</v>
      </c>
      <c r="AK62" s="205"/>
      <c r="AL62" s="205">
        <v>-326696.25</v>
      </c>
      <c r="AM62" s="205">
        <v>-69636.75</v>
      </c>
      <c r="AN62" s="154">
        <v>-47850</v>
      </c>
      <c r="AO62" s="205"/>
      <c r="AP62" s="155">
        <v>-33658.5</v>
      </c>
      <c r="AQ62" s="157">
        <v>-147099.48000000001</v>
      </c>
      <c r="AR62" s="205">
        <v>-25894.97</v>
      </c>
      <c r="AS62" s="205">
        <v>0</v>
      </c>
      <c r="AT62" s="205">
        <v>-426.7</v>
      </c>
      <c r="AU62" s="205">
        <v>-8340.9500000000007</v>
      </c>
      <c r="AV62" s="156">
        <v>-245693.98</v>
      </c>
      <c r="AW62" s="152">
        <v>-16193.15</v>
      </c>
      <c r="AX62" s="152"/>
      <c r="AY62" s="152">
        <v>-118639.79</v>
      </c>
      <c r="AZ62" s="156">
        <v>0</v>
      </c>
      <c r="BA62" s="158">
        <v>0</v>
      </c>
      <c r="BB62" s="204">
        <f>-202.85-259.71</f>
        <v>-462.55999999999995</v>
      </c>
      <c r="BC62" s="204">
        <v>-24000</v>
      </c>
      <c r="BD62" s="159">
        <v>0</v>
      </c>
      <c r="BE62" s="160">
        <f>SUM(BF62:BG62)-BH62</f>
        <v>0</v>
      </c>
      <c r="BF62" s="145">
        <f t="shared" si="29"/>
        <v>1888373.38</v>
      </c>
      <c r="BG62" s="146">
        <f t="shared" si="30"/>
        <v>-1942838.5099999998</v>
      </c>
      <c r="BH62" s="146">
        <f t="shared" si="43"/>
        <v>-54465.129999999888</v>
      </c>
      <c r="BI62" s="148">
        <f>BH62+BI61</f>
        <v>-6910936.3200000022</v>
      </c>
      <c r="BJ62" s="201">
        <f t="shared" si="16"/>
        <v>115262.21999999788</v>
      </c>
      <c r="BK62" s="86"/>
      <c r="BL62" s="194"/>
      <c r="BM62" s="194"/>
      <c r="BQ62" s="82"/>
      <c r="BR62" s="223"/>
      <c r="BS62" s="223"/>
      <c r="BT62" s="223"/>
      <c r="BU62" s="223"/>
      <c r="BV62" s="223"/>
      <c r="BW62" s="223"/>
      <c r="BX62" s="83"/>
      <c r="BY62" s="78">
        <f t="shared" si="38"/>
        <v>1888373.38</v>
      </c>
      <c r="BZ62" s="70">
        <f t="shared" si="39"/>
        <v>-1942838.5099999998</v>
      </c>
      <c r="CA62" s="70">
        <f t="shared" si="40"/>
        <v>-54465.129999999888</v>
      </c>
      <c r="CB62" s="71">
        <f t="shared" si="41"/>
        <v>-6910936.3200000022</v>
      </c>
      <c r="CC62" s="270"/>
      <c r="CD62" s="201"/>
      <c r="CE62" s="69">
        <f t="shared" si="31"/>
        <v>-54465.129999999888</v>
      </c>
      <c r="CF62" s="71">
        <f t="shared" si="32"/>
        <v>-54465.129999999888</v>
      </c>
    </row>
    <row r="63" spans="1:84" ht="15" customHeight="1">
      <c r="A63" s="35">
        <f>A61+1</f>
        <v>1</v>
      </c>
      <c r="B63" s="87" t="s">
        <v>0</v>
      </c>
      <c r="C63" s="36">
        <v>43282</v>
      </c>
      <c r="D63" s="75">
        <v>114</v>
      </c>
      <c r="E63" s="110">
        <v>150</v>
      </c>
      <c r="F63" s="110">
        <v>50</v>
      </c>
      <c r="G63" s="110">
        <v>20</v>
      </c>
      <c r="H63" s="76">
        <v>0</v>
      </c>
      <c r="I63" s="76">
        <v>0</v>
      </c>
      <c r="J63" s="77">
        <v>12796052.02</v>
      </c>
      <c r="K63" s="69">
        <f>+'Fluxo Consolidado'!D58</f>
        <v>0</v>
      </c>
      <c r="L63" s="78">
        <f>+'Fluxo Consolidado'!E58</f>
        <v>0</v>
      </c>
      <c r="M63" s="78">
        <f>+'Fluxo Consolidado'!F58</f>
        <v>0</v>
      </c>
      <c r="N63" s="70">
        <v>0</v>
      </c>
      <c r="O63" s="242">
        <f>+O61</f>
        <v>0.1</v>
      </c>
      <c r="P63" s="70">
        <f>+'Fluxo Consolidado'!H58</f>
        <v>0</v>
      </c>
      <c r="Q63" s="70">
        <f>+'Fluxo Consolidado'!I58</f>
        <v>0</v>
      </c>
      <c r="R63" s="79">
        <f>'Fluxo Consolidado'!J58</f>
        <v>0</v>
      </c>
      <c r="S63" s="79">
        <f>'Fluxo Consolidado'!K58</f>
        <v>0</v>
      </c>
      <c r="T63" s="79">
        <v>0</v>
      </c>
      <c r="U63" s="79">
        <v>0</v>
      </c>
      <c r="V63" s="79">
        <f t="shared" si="35"/>
        <v>0</v>
      </c>
      <c r="W63" s="79">
        <v>0</v>
      </c>
      <c r="X63" s="79">
        <v>0</v>
      </c>
      <c r="Y63" s="71">
        <v>0</v>
      </c>
      <c r="Z63" s="38">
        <f t="shared" si="36"/>
        <v>0</v>
      </c>
      <c r="AA63" s="80">
        <v>0</v>
      </c>
      <c r="AB63" s="81">
        <f>+'Fluxo Consolidado'!P58</f>
        <v>0</v>
      </c>
      <c r="AC63" s="208">
        <f>'Fluxo Consolidado'!Q58</f>
        <v>0</v>
      </c>
      <c r="AD63" s="81">
        <f>+'Fluxo Consolidado'!R58</f>
        <v>0</v>
      </c>
      <c r="AE63" s="81">
        <f>+'Fluxo Consolidado'!S58</f>
        <v>0</v>
      </c>
      <c r="AF63" s="208">
        <f>'Fluxo Consolidado'!T58</f>
        <v>0</v>
      </c>
      <c r="AG63" s="81">
        <f>+'Fluxo Consolidado'!U58</f>
        <v>0</v>
      </c>
      <c r="AH63" s="246">
        <f>+'Fluxo Consolidado'!V58</f>
        <v>0</v>
      </c>
      <c r="AI63" s="125" t="e">
        <f>+'Fluxo Consolidado'!#REF!</f>
        <v>#REF!</v>
      </c>
      <c r="AJ63" s="82">
        <f>+'Fluxo Consolidado'!X58</f>
        <v>0</v>
      </c>
      <c r="AK63" s="85">
        <v>0</v>
      </c>
      <c r="AL63" s="85">
        <f>+'Fluxo Consolidado'!Y58+'Fluxo Consolidado'!Z58+'Fluxo Consolidado'!AA58</f>
        <v>0</v>
      </c>
      <c r="AM63" s="85">
        <f>+'Fluxo Consolidado'!AB58+'Fluxo Consolidado'!AC58</f>
        <v>0</v>
      </c>
      <c r="AN63" s="103">
        <f>+'Fluxo Consolidado'!AD58</f>
        <v>0</v>
      </c>
      <c r="AO63" s="85">
        <f>'Fluxo Consolidado'!AE58+'Fluxo Consolidado'!AF58</f>
        <v>0</v>
      </c>
      <c r="AP63" s="83">
        <f>+'Fluxo Consolidado'!AG58</f>
        <v>0</v>
      </c>
      <c r="AQ63" s="119">
        <f>+'Fluxo Consolidado'!AH58</f>
        <v>0</v>
      </c>
      <c r="AR63" s="85">
        <f>+'Fluxo Consolidado'!AI58</f>
        <v>0</v>
      </c>
      <c r="AS63" s="85">
        <f>+'Fluxo Consolidado'!AJ58</f>
        <v>0</v>
      </c>
      <c r="AT63" s="85">
        <v>0</v>
      </c>
      <c r="AU63" s="85">
        <f>+'Fluxo Consolidado'!AK58</f>
        <v>0</v>
      </c>
      <c r="AV63" s="84">
        <f>+'Fluxo Consolidado'!AL58</f>
        <v>0</v>
      </c>
      <c r="AW63" s="82">
        <f t="shared" ref="AW63:AW94" si="44">-V62*$AW$2</f>
        <v>-21880.617839999999</v>
      </c>
      <c r="AX63" s="82">
        <v>0</v>
      </c>
      <c r="AY63" s="82">
        <f>(-V62*$AY$1)+'Fluxo Consolidado'!AO58</f>
        <v>-72935.392800000001</v>
      </c>
      <c r="AZ63" s="84">
        <v>0</v>
      </c>
      <c r="BA63" s="122">
        <v>0</v>
      </c>
      <c r="BB63" s="81">
        <v>0</v>
      </c>
      <c r="BC63" s="81">
        <f>+'Fluxo Consolidado'!AP58</f>
        <v>0</v>
      </c>
      <c r="BD63" s="125">
        <f>+'Fluxo Consolidado'!AQ58</f>
        <v>0</v>
      </c>
      <c r="BE63" s="133"/>
      <c r="BF63" s="78">
        <f t="shared" si="29"/>
        <v>0</v>
      </c>
      <c r="BG63" s="70" t="e">
        <f t="shared" si="30"/>
        <v>#REF!</v>
      </c>
      <c r="BH63" s="70" t="e">
        <f t="shared" si="43"/>
        <v>#REF!</v>
      </c>
      <c r="BI63" s="71" t="e">
        <f>BH63+BI62</f>
        <v>#REF!</v>
      </c>
      <c r="BJ63" s="201" t="e">
        <f t="shared" si="16"/>
        <v>#REF!</v>
      </c>
      <c r="BL63" s="210"/>
      <c r="BQ63" s="82">
        <v>0</v>
      </c>
      <c r="BR63" s="223">
        <v>0</v>
      </c>
      <c r="BS63" s="223">
        <v>0</v>
      </c>
      <c r="BT63" s="223">
        <v>0</v>
      </c>
      <c r="BU63" s="223">
        <v>0</v>
      </c>
      <c r="BV63" s="223">
        <v>0</v>
      </c>
      <c r="BW63" s="223">
        <f t="shared" ref="BW63:BW94" si="45">SUM(BQ63:BT63)</f>
        <v>0</v>
      </c>
      <c r="BX63" s="83">
        <v>0</v>
      </c>
      <c r="BY63" s="78">
        <f t="shared" ref="BY63" si="46">V63+BQ63+BR63+BS63+BT63+BU63+BV63</f>
        <v>0</v>
      </c>
      <c r="BZ63" s="70" t="e">
        <f>BG63</f>
        <v>#REF!</v>
      </c>
      <c r="CA63" s="70" t="e">
        <f>SUM(BY63:BZ63)</f>
        <v>#REF!</v>
      </c>
      <c r="CB63" s="71" t="e">
        <f>CA63+CB62</f>
        <v>#REF!</v>
      </c>
      <c r="CC63" s="270" t="e">
        <f>CB63-$AX$8</f>
        <v>#REF!</v>
      </c>
      <c r="CD63" s="201"/>
      <c r="CE63" s="69" t="e">
        <f t="shared" si="31"/>
        <v>#REF!</v>
      </c>
      <c r="CF63" s="71" t="e">
        <f t="shared" si="32"/>
        <v>#REF!</v>
      </c>
    </row>
    <row r="64" spans="1:84" ht="15" customHeight="1">
      <c r="A64" s="35">
        <f t="shared" ref="A64:A113" si="47">A63+1</f>
        <v>2</v>
      </c>
      <c r="B64" s="87"/>
      <c r="C64" s="36">
        <v>43313</v>
      </c>
      <c r="D64" s="75">
        <v>100</v>
      </c>
      <c r="E64" s="110">
        <v>90</v>
      </c>
      <c r="F64" s="110">
        <v>10</v>
      </c>
      <c r="G64" s="110">
        <v>20</v>
      </c>
      <c r="H64" s="76">
        <v>0</v>
      </c>
      <c r="I64" s="76">
        <v>0</v>
      </c>
      <c r="J64" s="77">
        <v>8316221.7999999998</v>
      </c>
      <c r="K64" s="69">
        <f>+'Fluxo Consolidado'!D59</f>
        <v>0</v>
      </c>
      <c r="L64" s="78">
        <f>+'Fluxo Consolidado'!E59</f>
        <v>2221975.42</v>
      </c>
      <c r="M64" s="78">
        <f>+'Fluxo Consolidado'!F59</f>
        <v>0</v>
      </c>
      <c r="N64" s="70">
        <v>0</v>
      </c>
      <c r="O64" s="242">
        <f t="shared" si="37"/>
        <v>0.1</v>
      </c>
      <c r="P64" s="70">
        <f>+'Fluxo Consolidado'!H59</f>
        <v>-222197.54200000002</v>
      </c>
      <c r="Q64" s="70">
        <f>+'Fluxo Consolidado'!I59</f>
        <v>0</v>
      </c>
      <c r="R64" s="79">
        <f>'Fluxo Consolidado'!J59</f>
        <v>0</v>
      </c>
      <c r="S64" s="79">
        <f>'Fluxo Consolidado'!K59</f>
        <v>0</v>
      </c>
      <c r="T64" s="79">
        <v>0</v>
      </c>
      <c r="U64" s="79">
        <v>0</v>
      </c>
      <c r="V64" s="79">
        <f>SUM(P64:R64,K64:N64)+T64</f>
        <v>1999777.878</v>
      </c>
      <c r="W64" s="79">
        <v>0</v>
      </c>
      <c r="X64" s="79">
        <v>0</v>
      </c>
      <c r="Y64" s="71">
        <v>0</v>
      </c>
      <c r="Z64" s="38">
        <f t="shared" si="36"/>
        <v>2.4691857988784774E-2</v>
      </c>
      <c r="AA64" s="80">
        <v>0</v>
      </c>
      <c r="AB64" s="81">
        <f>+'Fluxo Consolidado'!P59</f>
        <v>-1531774.27755793</v>
      </c>
      <c r="AC64" s="208">
        <f>'Fluxo Consolidado'!Q59</f>
        <v>-154410.94433277412</v>
      </c>
      <c r="AD64" s="81">
        <f>+'Fluxo Consolidado'!R59</f>
        <v>0</v>
      </c>
      <c r="AE64" s="81">
        <f>+'Fluxo Consolidado'!S59</f>
        <v>0</v>
      </c>
      <c r="AF64" s="208">
        <f>'Fluxo Consolidado'!T59</f>
        <v>0</v>
      </c>
      <c r="AG64" s="81">
        <f>+'Fluxo Consolidado'!U59</f>
        <v>-103903.59608333331</v>
      </c>
      <c r="AH64" s="246">
        <f>+'Fluxo Consolidado'!V59</f>
        <v>0</v>
      </c>
      <c r="AI64" s="125" t="e">
        <f>+'Fluxo Consolidado'!#REF!</f>
        <v>#REF!</v>
      </c>
      <c r="AJ64" s="82">
        <f>+'Fluxo Consolidado'!X59</f>
        <v>-5000</v>
      </c>
      <c r="AK64" s="85">
        <v>0</v>
      </c>
      <c r="AL64" s="85">
        <f>+'Fluxo Consolidado'!Y59+'Fluxo Consolidado'!Z59+'Fluxo Consolidado'!AA59</f>
        <v>-620869.85</v>
      </c>
      <c r="AM64" s="85">
        <f>+'Fluxo Consolidado'!AB59+'Fluxo Consolidado'!AC59</f>
        <v>-41454.85</v>
      </c>
      <c r="AN64" s="103">
        <f>+'Fluxo Consolidado'!AD59</f>
        <v>-201192</v>
      </c>
      <c r="AO64" s="85">
        <f>'Fluxo Consolidado'!AE59+'Fluxo Consolidado'!AF59</f>
        <v>-165643.69</v>
      </c>
      <c r="AP64" s="83">
        <f>+'Fluxo Consolidado'!AG59</f>
        <v>-25711.75</v>
      </c>
      <c r="AQ64" s="119">
        <f>+'Fluxo Consolidado'!AH59</f>
        <v>-120573.48420000001</v>
      </c>
      <c r="AR64" s="85">
        <f>+'Fluxo Consolidado'!AI59</f>
        <v>-9209.81</v>
      </c>
      <c r="AS64" s="85">
        <f>+'Fluxo Consolidado'!AJ59</f>
        <v>-7969</v>
      </c>
      <c r="AT64" s="85">
        <v>0</v>
      </c>
      <c r="AU64" s="85">
        <f>+'Fluxo Consolidado'!AK59</f>
        <v>-10571.835492014996</v>
      </c>
      <c r="AV64" s="84">
        <f>+'Fluxo Consolidado'!AL59</f>
        <v>-242823.02000000002</v>
      </c>
      <c r="AW64" s="82">
        <f t="shared" si="44"/>
        <v>0</v>
      </c>
      <c r="AX64" s="82">
        <v>0</v>
      </c>
      <c r="AY64" s="82">
        <f>(-V63*$AY$1)+'Fluxo Consolidado'!AO59</f>
        <v>0</v>
      </c>
      <c r="AZ64" s="84">
        <v>0</v>
      </c>
      <c r="BA64" s="122">
        <v>0</v>
      </c>
      <c r="BB64" s="81">
        <v>0</v>
      </c>
      <c r="BC64" s="81">
        <f>+'Fluxo Consolidado'!AP59</f>
        <v>-24000</v>
      </c>
      <c r="BD64" s="125">
        <f>+'Fluxo Consolidado'!AQ59</f>
        <v>0</v>
      </c>
      <c r="BE64" s="133"/>
      <c r="BF64" s="78">
        <f t="shared" si="29"/>
        <v>1999777.878</v>
      </c>
      <c r="BG64" s="70" t="e">
        <f t="shared" si="30"/>
        <v>#REF!</v>
      </c>
      <c r="BH64" s="70" t="e">
        <f t="shared" si="43"/>
        <v>#REF!</v>
      </c>
      <c r="BI64" s="71" t="e">
        <f t="shared" si="42"/>
        <v>#REF!</v>
      </c>
      <c r="BJ64" s="201" t="e">
        <f t="shared" si="16"/>
        <v>#REF!</v>
      </c>
      <c r="BL64" s="210"/>
      <c r="BQ64" s="82">
        <v>15000000</v>
      </c>
      <c r="BR64" s="223">
        <v>0</v>
      </c>
      <c r="BS64" s="223">
        <v>0</v>
      </c>
      <c r="BT64" s="223">
        <v>-5878257.7800000003</v>
      </c>
      <c r="BU64" s="223">
        <v>-1919871.9269999997</v>
      </c>
      <c r="BV64" s="223">
        <v>0</v>
      </c>
      <c r="BW64" s="223">
        <f t="shared" si="45"/>
        <v>9121742.2199999988</v>
      </c>
      <c r="BX64" s="83">
        <f>SUM(BR64:BT64)</f>
        <v>-5878257.7800000003</v>
      </c>
      <c r="BY64" s="78">
        <f t="shared" ref="BY64:BY95" si="48">V64+BQ64+BR64+BS64+BT64+BU64+BV64</f>
        <v>9201648.1709999982</v>
      </c>
      <c r="BZ64" s="70" t="e">
        <f t="shared" ref="BZ64:BZ127" si="49">BG64</f>
        <v>#REF!</v>
      </c>
      <c r="CA64" s="70" t="e">
        <f t="shared" ref="CA64:CA127" si="50">SUM(BY64:BZ64)</f>
        <v>#REF!</v>
      </c>
      <c r="CB64" s="71" t="e">
        <f t="shared" ref="CB64:CB127" si="51">CA64+CB63</f>
        <v>#REF!</v>
      </c>
      <c r="CC64" s="270" t="e">
        <f t="shared" ref="CC64:CC127" si="52">CB64-$AX$8</f>
        <v>#REF!</v>
      </c>
      <c r="CD64" s="201"/>
      <c r="CE64" s="69" t="e">
        <f t="shared" si="31"/>
        <v>#REF!</v>
      </c>
      <c r="CF64" s="71" t="e">
        <f t="shared" si="32"/>
        <v>#REF!</v>
      </c>
    </row>
    <row r="65" spans="1:84" ht="15" customHeight="1">
      <c r="A65" s="35">
        <f t="shared" si="47"/>
        <v>3</v>
      </c>
      <c r="B65" s="87"/>
      <c r="C65" s="36">
        <v>43344</v>
      </c>
      <c r="D65" s="75">
        <v>25</v>
      </c>
      <c r="E65" s="110">
        <v>81</v>
      </c>
      <c r="F65" s="110">
        <v>10</v>
      </c>
      <c r="G65" s="110">
        <v>15</v>
      </c>
      <c r="H65" s="76">
        <v>0</v>
      </c>
      <c r="I65" s="76">
        <v>0</v>
      </c>
      <c r="J65" s="77">
        <v>5423586.1899999995</v>
      </c>
      <c r="K65" s="69">
        <f>+'Fluxo Consolidado'!D60</f>
        <v>0</v>
      </c>
      <c r="L65" s="78">
        <f>+'Fluxo Consolidado'!E60</f>
        <v>2238986.81</v>
      </c>
      <c r="M65" s="78">
        <f>+'Fluxo Consolidado'!F60</f>
        <v>0</v>
      </c>
      <c r="N65" s="70">
        <v>0</v>
      </c>
      <c r="O65" s="242">
        <f t="shared" si="37"/>
        <v>0.1</v>
      </c>
      <c r="P65" s="70">
        <f>+'Fluxo Consolidado'!H60</f>
        <v>-223898.68100000001</v>
      </c>
      <c r="Q65" s="70">
        <f>+'Fluxo Consolidado'!I60</f>
        <v>0</v>
      </c>
      <c r="R65" s="79">
        <f>'Fluxo Consolidado'!J60</f>
        <v>0</v>
      </c>
      <c r="S65" s="79">
        <f>'Fluxo Consolidado'!K60</f>
        <v>0</v>
      </c>
      <c r="T65" s="79">
        <f>((1+$T$4)^U65-1)*(SUM(K65:L65)*$T$1)</f>
        <v>0</v>
      </c>
      <c r="U65" s="79">
        <v>1</v>
      </c>
      <c r="V65" s="79">
        <f t="shared" ref="V65:V128" si="53">SUM(P65:R65,K65:N65)+T65</f>
        <v>2015088.129</v>
      </c>
      <c r="W65" s="79">
        <v>0</v>
      </c>
      <c r="X65" s="79">
        <v>0</v>
      </c>
      <c r="Y65" s="71">
        <v>0</v>
      </c>
      <c r="Z65" s="38">
        <f t="shared" si="36"/>
        <v>2.4603137058783323E-2</v>
      </c>
      <c r="AA65" s="80">
        <v>0</v>
      </c>
      <c r="AB65" s="81">
        <f>+'Fluxo Consolidado'!P60</f>
        <v>-1514312.9116692152</v>
      </c>
      <c r="AC65" s="208">
        <f>'Fluxo Consolidado'!Q60</f>
        <v>-165440.29749940083</v>
      </c>
      <c r="AD65" s="81">
        <f>+'Fluxo Consolidado'!R60</f>
        <v>0</v>
      </c>
      <c r="AE65" s="81">
        <f>+'Fluxo Consolidado'!S60</f>
        <v>0</v>
      </c>
      <c r="AF65" s="208">
        <f>'Fluxo Consolidado'!T60</f>
        <v>0</v>
      </c>
      <c r="AG65" s="81">
        <f>+'Fluxo Consolidado'!U60</f>
        <v>-103903.59608333331</v>
      </c>
      <c r="AH65" s="246">
        <f>+'Fluxo Consolidado'!V60</f>
        <v>0</v>
      </c>
      <c r="AI65" s="125" t="e">
        <f>+'Fluxo Consolidado'!#REF!</f>
        <v>#REF!</v>
      </c>
      <c r="AJ65" s="82">
        <f>+'Fluxo Consolidado'!X60</f>
        <v>-5000</v>
      </c>
      <c r="AK65" s="85">
        <v>0</v>
      </c>
      <c r="AL65" s="85">
        <f>+'Fluxo Consolidado'!Y60+'Fluxo Consolidado'!Z60+'Fluxo Consolidado'!AA60</f>
        <v>-633349.56149999995</v>
      </c>
      <c r="AM65" s="85">
        <f>+'Fluxo Consolidado'!AB60+'Fluxo Consolidado'!AC60</f>
        <v>-48379.83</v>
      </c>
      <c r="AN65" s="103">
        <f>+'Fluxo Consolidado'!AD60</f>
        <v>-142042</v>
      </c>
      <c r="AO65" s="85">
        <f>'Fluxo Consolidado'!AE60+'Fluxo Consolidado'!AF60</f>
        <v>-165643.69</v>
      </c>
      <c r="AP65" s="83">
        <f>+'Fluxo Consolidado'!AG60</f>
        <v>-25711.75</v>
      </c>
      <c r="AQ65" s="119">
        <f>+'Fluxo Consolidado'!AH60</f>
        <v>-119986.67268</v>
      </c>
      <c r="AR65" s="85">
        <f>+'Fluxo Consolidado'!AI60</f>
        <v>-9209.81</v>
      </c>
      <c r="AS65" s="85">
        <f>+'Fluxo Consolidado'!AJ60</f>
        <v>-7969</v>
      </c>
      <c r="AT65" s="85">
        <v>0</v>
      </c>
      <c r="AU65" s="85">
        <f>+'Fluxo Consolidado'!AK60</f>
        <v>-12106.457539731591</v>
      </c>
      <c r="AV65" s="84">
        <f>+'Fluxo Consolidado'!AL60</f>
        <v>-90637.79</v>
      </c>
      <c r="AW65" s="82">
        <f t="shared" si="44"/>
        <v>-23997.334536000002</v>
      </c>
      <c r="AX65" s="82">
        <v>0</v>
      </c>
      <c r="AY65" s="82">
        <f>(-V64*$AY$1)+'Fluxo Consolidado'!AO60</f>
        <v>-79991.115120000002</v>
      </c>
      <c r="AZ65" s="84">
        <v>0</v>
      </c>
      <c r="BA65" s="122">
        <v>0</v>
      </c>
      <c r="BB65" s="81">
        <v>0</v>
      </c>
      <c r="BC65" s="81">
        <f>+'Fluxo Consolidado'!AP60</f>
        <v>-24000</v>
      </c>
      <c r="BD65" s="125">
        <f>+'Fluxo Consolidado'!AQ60</f>
        <v>-870000</v>
      </c>
      <c r="BE65" s="133"/>
      <c r="BF65" s="78">
        <f t="shared" si="29"/>
        <v>2015088.129</v>
      </c>
      <c r="BG65" s="70" t="e">
        <f t="shared" si="30"/>
        <v>#REF!</v>
      </c>
      <c r="BH65" s="70" t="e">
        <f t="shared" si="43"/>
        <v>#REF!</v>
      </c>
      <c r="BI65" s="71" t="e">
        <f t="shared" si="42"/>
        <v>#REF!</v>
      </c>
      <c r="BJ65" s="201" t="e">
        <f t="shared" si="16"/>
        <v>#REF!</v>
      </c>
      <c r="BL65" s="210"/>
      <c r="BQ65" s="82">
        <v>0</v>
      </c>
      <c r="BR65" s="223">
        <v>-489562.41899804835</v>
      </c>
      <c r="BS65" s="223">
        <v>-65844.424029262809</v>
      </c>
      <c r="BT65" s="223">
        <v>0</v>
      </c>
      <c r="BU65" s="223">
        <v>-1966704.4709999999</v>
      </c>
      <c r="BV65" s="223">
        <v>0</v>
      </c>
      <c r="BW65" s="223">
        <f t="shared" si="45"/>
        <v>-555406.84302731114</v>
      </c>
      <c r="BX65" s="83">
        <f t="shared" ref="BX65:BX128" si="54">SUM(BR65:BT65)</f>
        <v>-555406.84302731114</v>
      </c>
      <c r="BY65" s="78">
        <f t="shared" si="48"/>
        <v>-507023.18502731109</v>
      </c>
      <c r="BZ65" s="70" t="e">
        <f t="shared" si="49"/>
        <v>#REF!</v>
      </c>
      <c r="CA65" s="70" t="e">
        <f t="shared" si="50"/>
        <v>#REF!</v>
      </c>
      <c r="CB65" s="71" t="e">
        <f t="shared" si="51"/>
        <v>#REF!</v>
      </c>
      <c r="CC65" s="270" t="e">
        <f t="shared" si="52"/>
        <v>#REF!</v>
      </c>
      <c r="CD65" s="201"/>
      <c r="CE65" s="69" t="e">
        <f t="shared" si="31"/>
        <v>#REF!</v>
      </c>
      <c r="CF65" s="71" t="e">
        <f t="shared" si="32"/>
        <v>#REF!</v>
      </c>
    </row>
    <row r="66" spans="1:84" ht="15" customHeight="1">
      <c r="A66" s="35">
        <f t="shared" si="47"/>
        <v>4</v>
      </c>
      <c r="B66" s="87"/>
      <c r="C66" s="36">
        <v>43374</v>
      </c>
      <c r="D66" s="75">
        <v>50</v>
      </c>
      <c r="E66" s="110">
        <v>100</v>
      </c>
      <c r="F66" s="110">
        <v>3</v>
      </c>
      <c r="G66" s="110">
        <v>15</v>
      </c>
      <c r="H66" s="76">
        <v>0</v>
      </c>
      <c r="I66" s="76">
        <v>0</v>
      </c>
      <c r="J66" s="77">
        <v>6738720</v>
      </c>
      <c r="K66" s="69">
        <f>+'Fluxo Consolidado'!D61</f>
        <v>0</v>
      </c>
      <c r="L66" s="78">
        <f>+'Fluxo Consolidado'!E61</f>
        <v>2420664.7200000002</v>
      </c>
      <c r="M66" s="78">
        <f>+'Fluxo Consolidado'!F61</f>
        <v>0</v>
      </c>
      <c r="N66" s="70">
        <v>0</v>
      </c>
      <c r="O66" s="242">
        <f t="shared" si="37"/>
        <v>0.1</v>
      </c>
      <c r="P66" s="70">
        <f>+'Fluxo Consolidado'!H61</f>
        <v>-242066.47200000004</v>
      </c>
      <c r="Q66" s="70">
        <f>+'Fluxo Consolidado'!I61</f>
        <v>0</v>
      </c>
      <c r="R66" s="79">
        <f>'Fluxo Consolidado'!J61</f>
        <v>0</v>
      </c>
      <c r="S66" s="79">
        <f>'Fluxo Consolidado'!K61</f>
        <v>0</v>
      </c>
      <c r="T66" s="79">
        <f t="shared" ref="T66:T129" si="55">((1+$T$4)^U66-1)*(SUM(K66:L66)*$T$1)</f>
        <v>0</v>
      </c>
      <c r="U66" s="79">
        <v>1</v>
      </c>
      <c r="V66" s="79">
        <f t="shared" si="53"/>
        <v>2178598.2480000001</v>
      </c>
      <c r="W66" s="79">
        <v>0</v>
      </c>
      <c r="X66" s="79">
        <v>0</v>
      </c>
      <c r="Y66" s="71">
        <v>0</v>
      </c>
      <c r="Z66" s="38">
        <f t="shared" si="36"/>
        <v>2.846479160170692E-2</v>
      </c>
      <c r="AA66" s="80">
        <v>0</v>
      </c>
      <c r="AB66" s="81">
        <f>+'Fluxo Consolidado'!P61</f>
        <v>-1766698.3969474181</v>
      </c>
      <c r="AC66" s="208">
        <f>'Fluxo Consolidado'!Q61</f>
        <v>-193013.68041596765</v>
      </c>
      <c r="AD66" s="81">
        <f>+'Fluxo Consolidado'!R61</f>
        <v>0</v>
      </c>
      <c r="AE66" s="81">
        <f>+'Fluxo Consolidado'!S61</f>
        <v>0</v>
      </c>
      <c r="AF66" s="208">
        <f>'Fluxo Consolidado'!T61</f>
        <v>0</v>
      </c>
      <c r="AG66" s="81">
        <f>+'Fluxo Consolidado'!U61</f>
        <v>-103903.59608333331</v>
      </c>
      <c r="AH66" s="246">
        <f>+'Fluxo Consolidado'!V61</f>
        <v>0</v>
      </c>
      <c r="AI66" s="125" t="e">
        <f>+'Fluxo Consolidado'!#REF!</f>
        <v>#REF!</v>
      </c>
      <c r="AJ66" s="82">
        <f>+'Fluxo Consolidado'!X61</f>
        <v>-5000</v>
      </c>
      <c r="AK66" s="85">
        <v>0</v>
      </c>
      <c r="AL66" s="85">
        <f>+'Fluxo Consolidado'!Y61+'Fluxo Consolidado'!Z61+'Fluxo Consolidado'!AA61</f>
        <v>-535587.6813964285</v>
      </c>
      <c r="AM66" s="85">
        <f>+'Fluxo Consolidado'!AB61+'Fluxo Consolidado'!AC61</f>
        <v>-52259.88</v>
      </c>
      <c r="AN66" s="103">
        <f>+'Fluxo Consolidado'!AD61</f>
        <v>-121742</v>
      </c>
      <c r="AO66" s="85">
        <f>'Fluxo Consolidado'!AE61+'Fluxo Consolidado'!AF61</f>
        <v>-165643.69</v>
      </c>
      <c r="AP66" s="83">
        <f>+'Fluxo Consolidado'!AG61</f>
        <v>-25711.75</v>
      </c>
      <c r="AQ66" s="119">
        <f>+'Fluxo Consolidado'!AH61</f>
        <v>-120905.28774</v>
      </c>
      <c r="AR66" s="85">
        <f>+'Fluxo Consolidado'!AI61</f>
        <v>-9209.81</v>
      </c>
      <c r="AS66" s="85">
        <f>+'Fluxo Consolidado'!AJ61</f>
        <v>-7969</v>
      </c>
      <c r="AT66" s="85">
        <v>0</v>
      </c>
      <c r="AU66" s="85">
        <f>+'Fluxo Consolidado'!AK61</f>
        <v>-12529.673691613938</v>
      </c>
      <c r="AV66" s="84">
        <f>+'Fluxo Consolidado'!AL61</f>
        <v>-81235.259999999995</v>
      </c>
      <c r="AW66" s="82">
        <f t="shared" si="44"/>
        <v>-24181.057548000001</v>
      </c>
      <c r="AX66" s="82">
        <v>0</v>
      </c>
      <c r="AY66" s="82">
        <f>(-V65*$AY$1)+'Fluxo Consolidado'!AO61</f>
        <v>-80603.525160000005</v>
      </c>
      <c r="AZ66" s="84">
        <v>0</v>
      </c>
      <c r="BA66" s="122">
        <v>0</v>
      </c>
      <c r="BB66" s="81">
        <v>0</v>
      </c>
      <c r="BC66" s="81">
        <f>+'Fluxo Consolidado'!AP61</f>
        <v>-1200000</v>
      </c>
      <c r="BD66" s="125">
        <f>+'Fluxo Consolidado'!AQ61</f>
        <v>0</v>
      </c>
      <c r="BE66" s="133"/>
      <c r="BF66" s="78">
        <f t="shared" si="29"/>
        <v>2178598.2480000001</v>
      </c>
      <c r="BG66" s="70" t="e">
        <f t="shared" si="30"/>
        <v>#REF!</v>
      </c>
      <c r="BH66" s="70" t="e">
        <f t="shared" si="43"/>
        <v>#REF!</v>
      </c>
      <c r="BI66" s="71" t="e">
        <f>BH66+BI65</f>
        <v>#REF!</v>
      </c>
      <c r="BJ66" s="201" t="e">
        <f t="shared" si="16"/>
        <v>#REF!</v>
      </c>
      <c r="BL66" s="210"/>
      <c r="BQ66" s="82">
        <v>0</v>
      </c>
      <c r="BR66" s="223">
        <v>-489562.41899804835</v>
      </c>
      <c r="BS66" s="223">
        <v>-67219.924029262809</v>
      </c>
      <c r="BT66" s="223">
        <v>0</v>
      </c>
      <c r="BU66" s="223">
        <v>-2398306.5239523812</v>
      </c>
      <c r="BV66" s="223">
        <v>886576</v>
      </c>
      <c r="BW66" s="223">
        <f t="shared" si="45"/>
        <v>-556782.34302731114</v>
      </c>
      <c r="BX66" s="83">
        <f t="shared" si="54"/>
        <v>-556782.34302731114</v>
      </c>
      <c r="BY66" s="78">
        <f t="shared" si="48"/>
        <v>110085.38102030777</v>
      </c>
      <c r="BZ66" s="70" t="e">
        <f t="shared" si="49"/>
        <v>#REF!</v>
      </c>
      <c r="CA66" s="70" t="e">
        <f t="shared" si="50"/>
        <v>#REF!</v>
      </c>
      <c r="CB66" s="71" t="e">
        <f t="shared" si="51"/>
        <v>#REF!</v>
      </c>
      <c r="CC66" s="270" t="e">
        <f t="shared" si="52"/>
        <v>#REF!</v>
      </c>
      <c r="CD66" s="201"/>
      <c r="CE66" s="69" t="e">
        <f t="shared" si="31"/>
        <v>#REF!</v>
      </c>
      <c r="CF66" s="71" t="e">
        <f t="shared" si="32"/>
        <v>#REF!</v>
      </c>
    </row>
    <row r="67" spans="1:84" ht="15" customHeight="1">
      <c r="A67" s="35">
        <f t="shared" si="47"/>
        <v>5</v>
      </c>
      <c r="B67" s="87"/>
      <c r="C67" s="36">
        <v>43405</v>
      </c>
      <c r="D67" s="75">
        <v>30</v>
      </c>
      <c r="E67" s="110">
        <v>50</v>
      </c>
      <c r="F67" s="110">
        <v>5</v>
      </c>
      <c r="G67" s="110">
        <v>20</v>
      </c>
      <c r="H67" s="76">
        <v>0</v>
      </c>
      <c r="I67" s="76">
        <v>0</v>
      </c>
      <c r="J67" s="77">
        <v>4310443.0999999996</v>
      </c>
      <c r="K67" s="69">
        <f>+'Fluxo Consolidado'!D62</f>
        <v>95647.817857142843</v>
      </c>
      <c r="L67" s="78">
        <f>+'Fluxo Consolidado'!E62</f>
        <v>2455737.2000000002</v>
      </c>
      <c r="M67" s="78">
        <f>+'Fluxo Consolidado'!F62</f>
        <v>69110.337499999994</v>
      </c>
      <c r="N67" s="70">
        <v>0</v>
      </c>
      <c r="O67" s="242">
        <f t="shared" si="37"/>
        <v>0.1</v>
      </c>
      <c r="P67" s="70">
        <f>+'Fluxo Consolidado'!H62</f>
        <v>-245573.72000000003</v>
      </c>
      <c r="Q67" s="70">
        <f>+'Fluxo Consolidado'!I62</f>
        <v>222197.54200000002</v>
      </c>
      <c r="R67" s="79">
        <f>'Fluxo Consolidado'!J62</f>
        <v>0</v>
      </c>
      <c r="S67" s="79">
        <f>'Fluxo Consolidado'!K62</f>
        <v>0</v>
      </c>
      <c r="T67" s="79">
        <f t="shared" si="55"/>
        <v>0</v>
      </c>
      <c r="U67" s="79">
        <v>1</v>
      </c>
      <c r="V67" s="79">
        <f t="shared" si="53"/>
        <v>2597119.1773571428</v>
      </c>
      <c r="W67" s="79">
        <v>0</v>
      </c>
      <c r="X67" s="79">
        <v>0</v>
      </c>
      <c r="Y67" s="71">
        <v>0</v>
      </c>
      <c r="Z67" s="38">
        <f t="shared" si="36"/>
        <v>3.0222691897880318E-2</v>
      </c>
      <c r="AA67" s="80">
        <v>0</v>
      </c>
      <c r="AB67" s="81">
        <f>+'Fluxo Consolidado'!P62</f>
        <v>-1918129.6881143395</v>
      </c>
      <c r="AC67" s="208">
        <f>'Fluxo Consolidado'!Q62</f>
        <v>-209557.71016590775</v>
      </c>
      <c r="AD67" s="81">
        <f>+'Fluxo Consolidado'!R62</f>
        <v>0</v>
      </c>
      <c r="AE67" s="81">
        <f>+'Fluxo Consolidado'!S62</f>
        <v>0</v>
      </c>
      <c r="AF67" s="208">
        <f>'Fluxo Consolidado'!T62</f>
        <v>0</v>
      </c>
      <c r="AG67" s="81">
        <f>+'Fluxo Consolidado'!U62</f>
        <v>-63371</v>
      </c>
      <c r="AH67" s="246">
        <f>+'Fluxo Consolidado'!V62</f>
        <v>0</v>
      </c>
      <c r="AI67" s="125" t="e">
        <f>+'Fluxo Consolidado'!#REF!</f>
        <v>#REF!</v>
      </c>
      <c r="AJ67" s="82">
        <f>+'Fluxo Consolidado'!X62</f>
        <v>-5000</v>
      </c>
      <c r="AK67" s="85">
        <v>0</v>
      </c>
      <c r="AL67" s="85">
        <f>+'Fluxo Consolidado'!Y62+'Fluxo Consolidado'!Z62+'Fluxo Consolidado'!AA62</f>
        <v>-546702.47282500006</v>
      </c>
      <c r="AM67" s="85">
        <f>+'Fluxo Consolidado'!AB62+'Fluxo Consolidado'!AC62</f>
        <v>-54711.59705357143</v>
      </c>
      <c r="AN67" s="103">
        <f>+'Fluxo Consolidado'!AD62</f>
        <v>-121742</v>
      </c>
      <c r="AO67" s="85">
        <f>'Fluxo Consolidado'!AE62+'Fluxo Consolidado'!AF62</f>
        <v>-194977.02333333335</v>
      </c>
      <c r="AP67" s="83">
        <f>+'Fluxo Consolidado'!AG62</f>
        <v>-25711.75</v>
      </c>
      <c r="AQ67" s="119">
        <f>+'Fluxo Consolidado'!AH62</f>
        <v>-130715.89488000001</v>
      </c>
      <c r="AR67" s="85">
        <f>+'Fluxo Consolidado'!AI62</f>
        <v>-9209.81</v>
      </c>
      <c r="AS67" s="85">
        <f>+'Fluxo Consolidado'!AJ62</f>
        <v>-7969</v>
      </c>
      <c r="AT67" s="85">
        <v>0</v>
      </c>
      <c r="AU67" s="85">
        <f>+'Fluxo Consolidado'!AK62</f>
        <v>-13034.913757279874</v>
      </c>
      <c r="AV67" s="84">
        <f>+'Fluxo Consolidado'!AL62</f>
        <v>-75391.28</v>
      </c>
      <c r="AW67" s="82">
        <f t="shared" si="44"/>
        <v>-26143.178976000003</v>
      </c>
      <c r="AX67" s="82">
        <v>0</v>
      </c>
      <c r="AY67" s="82">
        <f>(-V66*$AY$1)+'Fluxo Consolidado'!AO62</f>
        <v>-87143.92992000001</v>
      </c>
      <c r="AZ67" s="84">
        <v>0</v>
      </c>
      <c r="BA67" s="122">
        <v>0</v>
      </c>
      <c r="BB67" s="81">
        <v>0</v>
      </c>
      <c r="BC67" s="81">
        <f>+'Fluxo Consolidado'!AP62</f>
        <v>0</v>
      </c>
      <c r="BD67" s="125">
        <f>+'Fluxo Consolidado'!AQ62</f>
        <v>0</v>
      </c>
      <c r="BE67" s="133"/>
      <c r="BF67" s="78">
        <f t="shared" si="29"/>
        <v>2597119.1773571428</v>
      </c>
      <c r="BG67" s="70" t="e">
        <f t="shared" si="30"/>
        <v>#REF!</v>
      </c>
      <c r="BH67" s="70" t="e">
        <f t="shared" si="43"/>
        <v>#REF!</v>
      </c>
      <c r="BI67" s="71" t="e">
        <f t="shared" si="42"/>
        <v>#REF!</v>
      </c>
      <c r="BJ67" s="201" t="e">
        <f t="shared" si="16"/>
        <v>#REF!</v>
      </c>
      <c r="BL67" s="210"/>
      <c r="BQ67" s="82">
        <v>0</v>
      </c>
      <c r="BR67" s="223">
        <v>-489562.41899804835</v>
      </c>
      <c r="BS67" s="223">
        <v>-68983.924029262809</v>
      </c>
      <c r="BT67" s="223">
        <v>0</v>
      </c>
      <c r="BU67" s="223">
        <v>-2486166.6638095235</v>
      </c>
      <c r="BV67" s="223">
        <v>2398306.5239523812</v>
      </c>
      <c r="BW67" s="223">
        <f t="shared" si="45"/>
        <v>-558546.34302731114</v>
      </c>
      <c r="BX67" s="83">
        <f t="shared" si="54"/>
        <v>-558546.34302731114</v>
      </c>
      <c r="BY67" s="78">
        <f t="shared" si="48"/>
        <v>1950712.6944726896</v>
      </c>
      <c r="BZ67" s="70" t="e">
        <f t="shared" si="49"/>
        <v>#REF!</v>
      </c>
      <c r="CA67" s="70" t="e">
        <f t="shared" si="50"/>
        <v>#REF!</v>
      </c>
      <c r="CB67" s="71" t="e">
        <f t="shared" si="51"/>
        <v>#REF!</v>
      </c>
      <c r="CC67" s="270" t="e">
        <f t="shared" si="52"/>
        <v>#REF!</v>
      </c>
      <c r="CD67" s="201"/>
      <c r="CE67" s="69" t="e">
        <f t="shared" si="31"/>
        <v>#REF!</v>
      </c>
      <c r="CF67" s="71" t="e">
        <f t="shared" si="32"/>
        <v>#REF!</v>
      </c>
    </row>
    <row r="68" spans="1:84" ht="15" customHeight="1">
      <c r="A68" s="35">
        <f t="shared" si="47"/>
        <v>6</v>
      </c>
      <c r="B68" s="87"/>
      <c r="C68" s="36">
        <v>43435</v>
      </c>
      <c r="D68" s="75">
        <v>200</v>
      </c>
      <c r="E68" s="110">
        <v>300</v>
      </c>
      <c r="F68" s="110">
        <v>11</v>
      </c>
      <c r="G68" s="110">
        <v>8</v>
      </c>
      <c r="H68" s="76">
        <v>0</v>
      </c>
      <c r="I68" s="76">
        <v>0</v>
      </c>
      <c r="J68" s="77">
        <v>19812987.68</v>
      </c>
      <c r="K68" s="69">
        <f>+'Fluxo Consolidado'!D63</f>
        <v>150179.7082142857</v>
      </c>
      <c r="L68" s="78">
        <f>+'Fluxo Consolidado'!E63</f>
        <v>2461625.42</v>
      </c>
      <c r="M68" s="78">
        <f>+'Fluxo Consolidado'!F63</f>
        <v>69110.337499999994</v>
      </c>
      <c r="N68" s="70">
        <v>0</v>
      </c>
      <c r="O68" s="242">
        <f t="shared" si="37"/>
        <v>0.1</v>
      </c>
      <c r="P68" s="70">
        <f>+'Fluxo Consolidado'!H63</f>
        <v>-246162.54200000002</v>
      </c>
      <c r="Q68" s="70">
        <f>+'Fluxo Consolidado'!I63</f>
        <v>223898.68100000001</v>
      </c>
      <c r="R68" s="79">
        <f>'Fluxo Consolidado'!J63</f>
        <v>0</v>
      </c>
      <c r="S68" s="79">
        <f>'Fluxo Consolidado'!K63</f>
        <v>0</v>
      </c>
      <c r="T68" s="79">
        <f t="shared" si="55"/>
        <v>0</v>
      </c>
      <c r="U68" s="79">
        <v>1</v>
      </c>
      <c r="V68" s="79">
        <f t="shared" si="53"/>
        <v>2658651.6047142856</v>
      </c>
      <c r="W68" s="79">
        <v>0</v>
      </c>
      <c r="X68" s="79">
        <v>0</v>
      </c>
      <c r="Y68" s="71">
        <v>0</v>
      </c>
      <c r="Z68" s="38">
        <f t="shared" si="36"/>
        <v>2.9348574526219279E-2</v>
      </c>
      <c r="AA68" s="80">
        <v>0</v>
      </c>
      <c r="AB68" s="81">
        <f>+'Fluxo Consolidado'!P63</f>
        <v>-1918129.6881143395</v>
      </c>
      <c r="AC68" s="208">
        <f>'Fluxo Consolidado'!Q63</f>
        <v>-209557.71016590772</v>
      </c>
      <c r="AD68" s="81">
        <f>+'Fluxo Consolidado'!R63</f>
        <v>0</v>
      </c>
      <c r="AE68" s="81">
        <f>+'Fluxo Consolidado'!S63</f>
        <v>0</v>
      </c>
      <c r="AF68" s="208">
        <f>'Fluxo Consolidado'!T63</f>
        <v>0</v>
      </c>
      <c r="AG68" s="81">
        <f>+'Fluxo Consolidado'!U63</f>
        <v>0</v>
      </c>
      <c r="AH68" s="246">
        <v>0</v>
      </c>
      <c r="AI68" s="125" t="e">
        <f>+'Fluxo Consolidado'!#REF!</f>
        <v>#REF!</v>
      </c>
      <c r="AJ68" s="82">
        <f>+'Fluxo Consolidado'!X63</f>
        <v>-5000</v>
      </c>
      <c r="AK68" s="85">
        <v>0</v>
      </c>
      <c r="AL68" s="85">
        <f>+'Fluxo Consolidado'!Y63+'Fluxo Consolidado'!Z63+'Fluxo Consolidado'!AA63</f>
        <v>-355347.97850357147</v>
      </c>
      <c r="AM68" s="85">
        <f>+'Fluxo Consolidado'!AB63+'Fluxo Consolidado'!AC63</f>
        <v>-55989.070669642853</v>
      </c>
      <c r="AN68" s="103">
        <f>+'Fluxo Consolidado'!AD63</f>
        <v>0</v>
      </c>
      <c r="AO68" s="85">
        <f>'Fluxo Consolidado'!AE63+'Fluxo Consolidado'!AF63</f>
        <v>-212443.69</v>
      </c>
      <c r="AP68" s="83">
        <f>+'Fluxo Consolidado'!AG63</f>
        <v>-25711.75</v>
      </c>
      <c r="AQ68" s="119">
        <f>+'Fluxo Consolidado'!AH63</f>
        <v>-155827.15064142857</v>
      </c>
      <c r="AR68" s="85">
        <f>+'Fluxo Consolidado'!AI63</f>
        <v>-9209.81</v>
      </c>
      <c r="AS68" s="85">
        <f>+'Fluxo Consolidado'!AJ63</f>
        <v>-7969</v>
      </c>
      <c r="AT68" s="85">
        <v>0</v>
      </c>
      <c r="AU68" s="85">
        <f>+'Fluxo Consolidado'!AK63</f>
        <v>-13197.860397282708</v>
      </c>
      <c r="AV68" s="84">
        <f>+'Fluxo Consolidado'!AL63</f>
        <v>-66303.710000000006</v>
      </c>
      <c r="AW68" s="82">
        <f t="shared" si="44"/>
        <v>-31165.430128285716</v>
      </c>
      <c r="AX68" s="82">
        <v>0</v>
      </c>
      <c r="AY68" s="82">
        <f>(-V67*$AY$1)+'Fluxo Consolidado'!AO63</f>
        <v>-103884.76709428571</v>
      </c>
      <c r="AZ68" s="84">
        <v>0</v>
      </c>
      <c r="BA68" s="122">
        <v>0</v>
      </c>
      <c r="BB68" s="81">
        <v>0</v>
      </c>
      <c r="BC68" s="81">
        <f>+'Fluxo Consolidado'!AP63</f>
        <v>0</v>
      </c>
      <c r="BD68" s="125">
        <f>+'Fluxo Consolidado'!AQ63</f>
        <v>0</v>
      </c>
      <c r="BE68" s="133"/>
      <c r="BF68" s="78">
        <f t="shared" si="29"/>
        <v>2658651.6047142856</v>
      </c>
      <c r="BG68" s="70" t="e">
        <f t="shared" si="30"/>
        <v>#REF!</v>
      </c>
      <c r="BH68" s="70" t="e">
        <f t="shared" si="43"/>
        <v>#REF!</v>
      </c>
      <c r="BI68" s="71" t="e">
        <f t="shared" si="42"/>
        <v>#REF!</v>
      </c>
      <c r="BJ68" s="201" t="e">
        <f t="shared" si="16"/>
        <v>#REF!</v>
      </c>
      <c r="BL68" s="210"/>
      <c r="BQ68" s="82">
        <v>0</v>
      </c>
      <c r="BR68" s="223">
        <v>-489562.41899804835</v>
      </c>
      <c r="BS68" s="223">
        <v>-70086.424029262809</v>
      </c>
      <c r="BT68" s="223">
        <v>0</v>
      </c>
      <c r="BU68" s="223">
        <v>-2558729.1561666667</v>
      </c>
      <c r="BV68" s="223">
        <v>2486166.6638095235</v>
      </c>
      <c r="BW68" s="223">
        <f t="shared" si="45"/>
        <v>-559648.84302731114</v>
      </c>
      <c r="BX68" s="83">
        <f t="shared" si="54"/>
        <v>-559648.84302731114</v>
      </c>
      <c r="BY68" s="78">
        <f t="shared" si="48"/>
        <v>2026440.2693298315</v>
      </c>
      <c r="BZ68" s="70" t="e">
        <f t="shared" si="49"/>
        <v>#REF!</v>
      </c>
      <c r="CA68" s="70" t="e">
        <f t="shared" si="50"/>
        <v>#REF!</v>
      </c>
      <c r="CB68" s="71" t="e">
        <f t="shared" si="51"/>
        <v>#REF!</v>
      </c>
      <c r="CC68" s="270" t="e">
        <f t="shared" si="52"/>
        <v>#REF!</v>
      </c>
      <c r="CD68" s="201"/>
      <c r="CE68" s="69" t="e">
        <f t="shared" si="31"/>
        <v>#REF!</v>
      </c>
      <c r="CF68" s="71" t="e">
        <f t="shared" si="32"/>
        <v>#REF!</v>
      </c>
    </row>
    <row r="69" spans="1:84" ht="15" customHeight="1">
      <c r="A69" s="35">
        <f t="shared" si="47"/>
        <v>7</v>
      </c>
      <c r="B69" s="88"/>
      <c r="C69" s="36">
        <v>43466</v>
      </c>
      <c r="D69" s="75">
        <v>100</v>
      </c>
      <c r="E69" s="110">
        <v>150</v>
      </c>
      <c r="F69" s="110">
        <v>20</v>
      </c>
      <c r="G69" s="110">
        <v>0</v>
      </c>
      <c r="H69" s="76">
        <v>0</v>
      </c>
      <c r="I69" s="76">
        <v>0</v>
      </c>
      <c r="J69" s="77">
        <v>10222263</v>
      </c>
      <c r="K69" s="69">
        <f>+'Fluxo Consolidado'!D64</f>
        <v>228130.47428571427</v>
      </c>
      <c r="L69" s="78">
        <f>+'Fluxo Consolidado'!E64</f>
        <v>2468998.4500000002</v>
      </c>
      <c r="M69" s="78">
        <f>+'Fluxo Consolidado'!F64</f>
        <v>69110.337499999994</v>
      </c>
      <c r="N69" s="70">
        <v>0</v>
      </c>
      <c r="O69" s="242">
        <f t="shared" si="37"/>
        <v>0.1</v>
      </c>
      <c r="P69" s="70">
        <f>+'Fluxo Consolidado'!H64</f>
        <v>-246899.84500000003</v>
      </c>
      <c r="Q69" s="70">
        <f>+'Fluxo Consolidado'!I64</f>
        <v>242066.47200000004</v>
      </c>
      <c r="R69" s="79">
        <f>'Fluxo Consolidado'!J64</f>
        <v>0</v>
      </c>
      <c r="S69" s="79">
        <f>'Fluxo Consolidado'!K64</f>
        <v>0</v>
      </c>
      <c r="T69" s="79">
        <f t="shared" si="55"/>
        <v>0</v>
      </c>
      <c r="U69" s="79">
        <v>1</v>
      </c>
      <c r="V69" s="79">
        <f t="shared" si="53"/>
        <v>2761405.8887857143</v>
      </c>
      <c r="W69" s="79">
        <v>0</v>
      </c>
      <c r="X69" s="79">
        <v>0</v>
      </c>
      <c r="Y69" s="71">
        <v>0</v>
      </c>
      <c r="Z69" s="38">
        <f t="shared" si="36"/>
        <v>2.9348574526219279E-2</v>
      </c>
      <c r="AA69" s="80">
        <v>0</v>
      </c>
      <c r="AB69" s="81">
        <f>+'Fluxo Consolidado'!P64</f>
        <v>-1918129.6881143395</v>
      </c>
      <c r="AC69" s="208">
        <f>'Fluxo Consolidado'!Q64</f>
        <v>-209557.71016590772</v>
      </c>
      <c r="AD69" s="81">
        <f>+'Fluxo Consolidado'!R64</f>
        <v>0</v>
      </c>
      <c r="AE69" s="81">
        <f>+'Fluxo Consolidado'!S64</f>
        <v>0</v>
      </c>
      <c r="AF69" s="208">
        <f>'Fluxo Consolidado'!T64</f>
        <v>0</v>
      </c>
      <c r="AG69" s="81">
        <f>+'Fluxo Consolidado'!U64</f>
        <v>0</v>
      </c>
      <c r="AH69" s="246">
        <v>0</v>
      </c>
      <c r="AI69" s="125" t="e">
        <f>+'Fluxo Consolidado'!#REF!</f>
        <v>#REF!</v>
      </c>
      <c r="AJ69" s="82">
        <f>+'Fluxo Consolidado'!X64</f>
        <v>-5000</v>
      </c>
      <c r="AK69" s="85">
        <v>0</v>
      </c>
      <c r="AL69" s="85">
        <f>+'Fluxo Consolidado'!Y64+'Fluxo Consolidado'!Z64+'Fluxo Consolidado'!AA64</f>
        <v>-394572.61461785715</v>
      </c>
      <c r="AM69" s="85">
        <f>+'Fluxo Consolidado'!AB64+'Fluxo Consolidado'!AC64</f>
        <v>-57708.674330357142</v>
      </c>
      <c r="AN69" s="103">
        <f>+'Fluxo Consolidado'!AD64</f>
        <v>0</v>
      </c>
      <c r="AO69" s="85">
        <f>'Fluxo Consolidado'!AE64+'Fluxo Consolidado'!AF64</f>
        <v>-234843.69</v>
      </c>
      <c r="AP69" s="83">
        <f>+'Fluxo Consolidado'!AG64</f>
        <v>0</v>
      </c>
      <c r="AQ69" s="119">
        <f>+'Fluxo Consolidado'!AH64</f>
        <v>-159519.09628285712</v>
      </c>
      <c r="AR69" s="85">
        <f>+'Fluxo Consolidado'!AI64</f>
        <v>-9209.81</v>
      </c>
      <c r="AS69" s="85">
        <f>+'Fluxo Consolidado'!AJ64</f>
        <v>-7969</v>
      </c>
      <c r="AT69" s="85">
        <v>0</v>
      </c>
      <c r="AU69" s="85">
        <f>+'Fluxo Consolidado'!AK64</f>
        <v>-13383.091551579251</v>
      </c>
      <c r="AV69" s="84">
        <f>+'Fluxo Consolidado'!AL64</f>
        <v>-58596.62</v>
      </c>
      <c r="AW69" s="82">
        <f t="shared" si="44"/>
        <v>-31903.819256571427</v>
      </c>
      <c r="AX69" s="82">
        <v>0</v>
      </c>
      <c r="AY69" s="82">
        <f>(-V68*$AY$1)+'Fluxo Consolidado'!AO64</f>
        <v>-106346.06418857143</v>
      </c>
      <c r="AZ69" s="84">
        <v>0</v>
      </c>
      <c r="BA69" s="122">
        <v>0</v>
      </c>
      <c r="BB69" s="81">
        <v>0</v>
      </c>
      <c r="BC69" s="81">
        <f>+'Fluxo Consolidado'!AP64</f>
        <v>0</v>
      </c>
      <c r="BD69" s="125">
        <f>+'Fluxo Consolidado'!AQ64</f>
        <v>0</v>
      </c>
      <c r="BE69" s="133"/>
      <c r="BF69" s="78">
        <f t="shared" si="29"/>
        <v>2761405.8887857143</v>
      </c>
      <c r="BG69" s="70" t="e">
        <f t="shared" si="30"/>
        <v>#REF!</v>
      </c>
      <c r="BH69" s="70" t="e">
        <f t="shared" si="43"/>
        <v>#REF!</v>
      </c>
      <c r="BI69" s="71" t="e">
        <f t="shared" si="42"/>
        <v>#REF!</v>
      </c>
      <c r="BJ69" s="201" t="e">
        <f t="shared" si="16"/>
        <v>#REF!</v>
      </c>
      <c r="BL69" s="210"/>
      <c r="BQ69" s="82">
        <f>-AB68</f>
        <v>1918129.6881143395</v>
      </c>
      <c r="BR69" s="223">
        <v>-489562.41899804835</v>
      </c>
      <c r="BS69" s="223">
        <v>-75535.924029262809</v>
      </c>
      <c r="BT69" s="223">
        <v>0</v>
      </c>
      <c r="BU69" s="223">
        <v>-2642515.4062380949</v>
      </c>
      <c r="BV69" s="223">
        <v>2558729.1561666667</v>
      </c>
      <c r="BW69" s="223">
        <f t="shared" si="45"/>
        <v>1353031.3450870283</v>
      </c>
      <c r="BX69" s="83">
        <f t="shared" si="54"/>
        <v>-565098.34302731114</v>
      </c>
      <c r="BY69" s="78">
        <f t="shared" si="48"/>
        <v>4030650.9838013146</v>
      </c>
      <c r="BZ69" s="70" t="e">
        <f t="shared" si="49"/>
        <v>#REF!</v>
      </c>
      <c r="CA69" s="70" t="e">
        <f t="shared" si="50"/>
        <v>#REF!</v>
      </c>
      <c r="CB69" s="71" t="e">
        <f t="shared" si="51"/>
        <v>#REF!</v>
      </c>
      <c r="CC69" s="270" t="e">
        <f t="shared" si="52"/>
        <v>#REF!</v>
      </c>
      <c r="CD69" s="201"/>
      <c r="CE69" s="69" t="e">
        <f t="shared" si="31"/>
        <v>#REF!</v>
      </c>
      <c r="CF69" s="71" t="e">
        <f t="shared" si="32"/>
        <v>#REF!</v>
      </c>
    </row>
    <row r="70" spans="1:84" ht="15" customHeight="1">
      <c r="A70" s="35">
        <f t="shared" si="47"/>
        <v>8</v>
      </c>
      <c r="B70" s="88"/>
      <c r="C70" s="36">
        <v>43497</v>
      </c>
      <c r="D70" s="75">
        <v>45</v>
      </c>
      <c r="E70" s="110">
        <v>100</v>
      </c>
      <c r="F70" s="110">
        <v>5</v>
      </c>
      <c r="G70" s="110">
        <v>0</v>
      </c>
      <c r="H70" s="76">
        <v>0</v>
      </c>
      <c r="I70" s="76">
        <v>0</v>
      </c>
      <c r="J70" s="77">
        <v>5865170.8499999996</v>
      </c>
      <c r="K70" s="69">
        <f>+'Fluxo Consolidado'!D65</f>
        <v>273900.61535714281</v>
      </c>
      <c r="L70" s="78">
        <f>+'Fluxo Consolidado'!E65</f>
        <v>2473272.14</v>
      </c>
      <c r="M70" s="78">
        <f>+'Fluxo Consolidado'!F65</f>
        <v>69110.337499999994</v>
      </c>
      <c r="N70" s="70">
        <v>0</v>
      </c>
      <c r="O70" s="242">
        <f t="shared" si="37"/>
        <v>0.1</v>
      </c>
      <c r="P70" s="70">
        <f>+'Fluxo Consolidado'!H65</f>
        <v>-247327.21400000004</v>
      </c>
      <c r="Q70" s="70">
        <f>+'Fluxo Consolidado'!I65</f>
        <v>245573.72000000003</v>
      </c>
      <c r="R70" s="79">
        <f>'Fluxo Consolidado'!J65</f>
        <v>0</v>
      </c>
      <c r="S70" s="79">
        <f>'Fluxo Consolidado'!K65</f>
        <v>0</v>
      </c>
      <c r="T70" s="79">
        <f t="shared" si="55"/>
        <v>0</v>
      </c>
      <c r="U70" s="79">
        <v>1</v>
      </c>
      <c r="V70" s="79">
        <f t="shared" si="53"/>
        <v>2814529.598857143</v>
      </c>
      <c r="W70" s="79">
        <v>0</v>
      </c>
      <c r="X70" s="79">
        <v>0</v>
      </c>
      <c r="Y70" s="71">
        <v>0</v>
      </c>
      <c r="Z70" s="38">
        <f t="shared" si="36"/>
        <v>2.9348574526219279E-2</v>
      </c>
      <c r="AA70" s="80">
        <v>0</v>
      </c>
      <c r="AB70" s="81">
        <f>+'Fluxo Consolidado'!P65</f>
        <v>-1918129.6881143395</v>
      </c>
      <c r="AC70" s="208">
        <f>'Fluxo Consolidado'!Q65</f>
        <v>-209557.71016590769</v>
      </c>
      <c r="AD70" s="81">
        <f>+'Fluxo Consolidado'!R65</f>
        <v>0</v>
      </c>
      <c r="AE70" s="81">
        <f>+'Fluxo Consolidado'!S65</f>
        <v>0</v>
      </c>
      <c r="AF70" s="208">
        <f>'Fluxo Consolidado'!T65</f>
        <v>0</v>
      </c>
      <c r="AG70" s="81">
        <f>+'Fluxo Consolidado'!U65</f>
        <v>0</v>
      </c>
      <c r="AH70" s="246">
        <f>+'Fluxo Consolidado'!V65</f>
        <v>0</v>
      </c>
      <c r="AI70" s="125" t="e">
        <f>+'Fluxo Consolidado'!#REF!</f>
        <v>#REF!</v>
      </c>
      <c r="AJ70" s="82">
        <f>+'Fluxo Consolidado'!X65</f>
        <v>-5000</v>
      </c>
      <c r="AK70" s="85">
        <v>0</v>
      </c>
      <c r="AL70" s="85">
        <f>+'Fluxo Consolidado'!Y65+'Fluxo Consolidado'!Z65+'Fluxo Consolidado'!AA65</f>
        <v>-420167.17406071431</v>
      </c>
      <c r="AM70" s="85">
        <f>+'Fluxo Consolidado'!AB65+'Fluxo Consolidado'!AC65</f>
        <v>-58699.06580357143</v>
      </c>
      <c r="AN70" s="103">
        <f>+'Fluxo Consolidado'!AD65</f>
        <v>0</v>
      </c>
      <c r="AO70" s="85">
        <f>'Fluxo Consolidado'!AE65+'Fluxo Consolidado'!AF65</f>
        <v>-248843.69</v>
      </c>
      <c r="AP70" s="83">
        <f>+'Fluxo Consolidado'!AG65</f>
        <v>0</v>
      </c>
      <c r="AQ70" s="119">
        <f>+'Fluxo Consolidado'!AH65</f>
        <v>-165684.35332714286</v>
      </c>
      <c r="AR70" s="85">
        <f>+'Fluxo Consolidado'!AI65</f>
        <v>-9209.81</v>
      </c>
      <c r="AS70" s="85">
        <f>+'Fluxo Consolidado'!AJ65</f>
        <v>-7969</v>
      </c>
      <c r="AT70" s="85">
        <v>0</v>
      </c>
      <c r="AU70" s="85">
        <f>+'Fluxo Consolidado'!AK65</f>
        <v>-13668.399286116743</v>
      </c>
      <c r="AV70" s="84">
        <f>+'Fluxo Consolidado'!AL65</f>
        <v>-51471.91</v>
      </c>
      <c r="AW70" s="82">
        <f t="shared" si="44"/>
        <v>-33136.870665428571</v>
      </c>
      <c r="AX70" s="82">
        <v>0</v>
      </c>
      <c r="AY70" s="82">
        <f>(-V69*$AY$1)+'Fluxo Consolidado'!AO65</f>
        <v>-110456.23555142857</v>
      </c>
      <c r="AZ70" s="84">
        <v>0</v>
      </c>
      <c r="BA70" s="122">
        <v>0</v>
      </c>
      <c r="BB70" s="81">
        <v>0</v>
      </c>
      <c r="BC70" s="81">
        <f>+'Fluxo Consolidado'!AP65</f>
        <v>0</v>
      </c>
      <c r="BD70" s="125">
        <f>+'Fluxo Consolidado'!AQ65</f>
        <v>0</v>
      </c>
      <c r="BE70" s="133"/>
      <c r="BF70" s="78">
        <f t="shared" si="29"/>
        <v>2814529.598857143</v>
      </c>
      <c r="BG70" s="70" t="e">
        <f t="shared" si="30"/>
        <v>#REF!</v>
      </c>
      <c r="BH70" s="70" t="e">
        <f t="shared" si="43"/>
        <v>#REF!</v>
      </c>
      <c r="BI70" s="71" t="e">
        <f t="shared" si="42"/>
        <v>#REF!</v>
      </c>
      <c r="BJ70" s="201" t="e">
        <f t="shared" si="16"/>
        <v>#REF!</v>
      </c>
      <c r="BL70" s="210"/>
      <c r="BQ70" s="82">
        <f t="shared" ref="BQ70:BQ86" si="56">-AB69</f>
        <v>1918129.6881143395</v>
      </c>
      <c r="BR70" s="223">
        <v>-489562.41899804835</v>
      </c>
      <c r="BS70" s="223">
        <v>-78370.924029262809</v>
      </c>
      <c r="BT70" s="223">
        <v>0</v>
      </c>
      <c r="BU70" s="223">
        <v>-2692944.9543095236</v>
      </c>
      <c r="BV70" s="223">
        <v>2642515.4062380949</v>
      </c>
      <c r="BW70" s="223">
        <f t="shared" si="45"/>
        <v>1350196.3450870283</v>
      </c>
      <c r="BX70" s="83">
        <f t="shared" si="54"/>
        <v>-567933.34302731114</v>
      </c>
      <c r="BY70" s="78">
        <f t="shared" si="48"/>
        <v>4114296.3958727424</v>
      </c>
      <c r="BZ70" s="70" t="e">
        <f t="shared" si="49"/>
        <v>#REF!</v>
      </c>
      <c r="CA70" s="70" t="e">
        <f t="shared" si="50"/>
        <v>#REF!</v>
      </c>
      <c r="CB70" s="71" t="e">
        <f t="shared" si="51"/>
        <v>#REF!</v>
      </c>
      <c r="CC70" s="270" t="e">
        <f t="shared" si="52"/>
        <v>#REF!</v>
      </c>
      <c r="CD70" s="201"/>
      <c r="CE70" s="69" t="e">
        <f t="shared" si="31"/>
        <v>#REF!</v>
      </c>
      <c r="CF70" s="71" t="e">
        <f t="shared" si="32"/>
        <v>#REF!</v>
      </c>
    </row>
    <row r="71" spans="1:84" ht="15" customHeight="1">
      <c r="A71" s="35">
        <f t="shared" si="47"/>
        <v>9</v>
      </c>
      <c r="B71" s="87"/>
      <c r="C71" s="36">
        <v>43525</v>
      </c>
      <c r="D71" s="75">
        <v>20</v>
      </c>
      <c r="E71" s="110">
        <v>20</v>
      </c>
      <c r="F71" s="110">
        <v>5</v>
      </c>
      <c r="G71" s="110">
        <v>0</v>
      </c>
      <c r="H71" s="76">
        <v>0</v>
      </c>
      <c r="I71" s="76">
        <v>0</v>
      </c>
      <c r="J71" s="77">
        <v>1646765.4</v>
      </c>
      <c r="K71" s="69">
        <f>+'Fluxo Consolidado'!D66</f>
        <v>513954.33142857137</v>
      </c>
      <c r="L71" s="78">
        <f>+'Fluxo Consolidado'!E66</f>
        <v>2477068.15</v>
      </c>
      <c r="M71" s="78">
        <f>+'Fluxo Consolidado'!F66</f>
        <v>69110.337499999994</v>
      </c>
      <c r="N71" s="70">
        <v>0</v>
      </c>
      <c r="O71" s="242">
        <f t="shared" si="37"/>
        <v>0.1</v>
      </c>
      <c r="P71" s="70">
        <f>+'Fluxo Consolidado'!H66</f>
        <v>-247706.815</v>
      </c>
      <c r="Q71" s="70">
        <f>+'Fluxo Consolidado'!I66</f>
        <v>246162.54200000002</v>
      </c>
      <c r="R71" s="79">
        <f>'Fluxo Consolidado'!J66</f>
        <v>0</v>
      </c>
      <c r="S71" s="79">
        <f>'Fluxo Consolidado'!K66</f>
        <v>0</v>
      </c>
      <c r="T71" s="79">
        <f t="shared" si="55"/>
        <v>0</v>
      </c>
      <c r="U71" s="79">
        <v>1</v>
      </c>
      <c r="V71" s="79">
        <f t="shared" si="53"/>
        <v>3058588.5459285714</v>
      </c>
      <c r="W71" s="79">
        <v>0</v>
      </c>
      <c r="X71" s="79">
        <v>0</v>
      </c>
      <c r="Y71" s="71">
        <v>0</v>
      </c>
      <c r="Z71" s="38">
        <f t="shared" si="36"/>
        <v>2.9348574526219279E-2</v>
      </c>
      <c r="AA71" s="80">
        <v>0</v>
      </c>
      <c r="AB71" s="81">
        <f>+'Fluxo Consolidado'!P66</f>
        <v>-1918129.6881143395</v>
      </c>
      <c r="AC71" s="208">
        <f>'Fluxo Consolidado'!Q66</f>
        <v>-209557.71016590769</v>
      </c>
      <c r="AD71" s="81">
        <f>+'Fluxo Consolidado'!R66</f>
        <v>0</v>
      </c>
      <c r="AE71" s="81">
        <f>+'Fluxo Consolidado'!S66</f>
        <v>0</v>
      </c>
      <c r="AF71" s="208">
        <f>'Fluxo Consolidado'!T66</f>
        <v>0</v>
      </c>
      <c r="AG71" s="81">
        <f>+'Fluxo Consolidado'!U66</f>
        <v>0</v>
      </c>
      <c r="AH71" s="246">
        <f>+'Fluxo Consolidado'!V66</f>
        <v>0</v>
      </c>
      <c r="AI71" s="125" t="e">
        <f>+'Fluxo Consolidado'!#REF!</f>
        <v>#REF!</v>
      </c>
      <c r="AJ71" s="82">
        <f>+'Fluxo Consolidado'!X66</f>
        <v>-5000</v>
      </c>
      <c r="AK71" s="85">
        <v>0</v>
      </c>
      <c r="AL71" s="85">
        <f>+'Fluxo Consolidado'!Y66+'Fluxo Consolidado'!Z66+'Fluxo Consolidado'!AA66</f>
        <v>-417549.33750714292</v>
      </c>
      <c r="AM71" s="85">
        <f>+'Fluxo Consolidado'!AB66+'Fluxo Consolidado'!AC66</f>
        <v>-63908.799151785708</v>
      </c>
      <c r="AN71" s="103">
        <f>+'Fluxo Consolidado'!AD66</f>
        <v>0</v>
      </c>
      <c r="AO71" s="85">
        <f>'Fluxo Consolidado'!AE66+'Fluxo Consolidado'!AF66</f>
        <v>-318043.69</v>
      </c>
      <c r="AP71" s="83">
        <f>+'Fluxo Consolidado'!AG66</f>
        <v>0</v>
      </c>
      <c r="AQ71" s="119">
        <f>+'Fluxo Consolidado'!AH66</f>
        <v>-168871.77593142856</v>
      </c>
      <c r="AR71" s="85">
        <f>+'Fluxo Consolidado'!AI66</f>
        <v>-9209.81</v>
      </c>
      <c r="AS71" s="85">
        <f>+'Fluxo Consolidado'!AJ66</f>
        <v>-7969</v>
      </c>
      <c r="AT71" s="85">
        <v>0</v>
      </c>
      <c r="AU71" s="85">
        <f>+'Fluxo Consolidado'!AK66</f>
        <v>-13803.312489435404</v>
      </c>
      <c r="AV71" s="84">
        <f>+'Fluxo Consolidado'!AL66</f>
        <v>-42786.68</v>
      </c>
      <c r="AW71" s="82">
        <f t="shared" si="44"/>
        <v>-33774.355186285713</v>
      </c>
      <c r="AX71" s="82">
        <v>0</v>
      </c>
      <c r="AY71" s="82">
        <f>(-V70*$AY$1)+'Fluxo Consolidado'!AO66</f>
        <v>-112581.18395428572</v>
      </c>
      <c r="AZ71" s="84">
        <v>0</v>
      </c>
      <c r="BA71" s="122">
        <v>0</v>
      </c>
      <c r="BB71" s="81">
        <v>0</v>
      </c>
      <c r="BC71" s="81">
        <f>+'Fluxo Consolidado'!AP66</f>
        <v>0</v>
      </c>
      <c r="BD71" s="125">
        <f>+'Fluxo Consolidado'!AQ66</f>
        <v>0</v>
      </c>
      <c r="BE71" s="133"/>
      <c r="BF71" s="78">
        <f t="shared" si="29"/>
        <v>3058588.5459285714</v>
      </c>
      <c r="BG71" s="70" t="e">
        <f t="shared" si="30"/>
        <v>#REF!</v>
      </c>
      <c r="BH71" s="70" t="e">
        <f t="shared" si="43"/>
        <v>#REF!</v>
      </c>
      <c r="BI71" s="71" t="e">
        <f t="shared" si="42"/>
        <v>#REF!</v>
      </c>
      <c r="BJ71" s="201" t="e">
        <f t="shared" si="16"/>
        <v>#REF!</v>
      </c>
      <c r="BL71" s="210"/>
      <c r="BQ71" s="82">
        <f t="shared" si="56"/>
        <v>1918129.6881143395</v>
      </c>
      <c r="BR71" s="223">
        <v>-489562.41899804835</v>
      </c>
      <c r="BS71" s="223">
        <v>-79945.924029262809</v>
      </c>
      <c r="BT71" s="223">
        <v>0</v>
      </c>
      <c r="BU71" s="223">
        <v>-2934506.7843809524</v>
      </c>
      <c r="BV71" s="223">
        <v>2692944.9543095236</v>
      </c>
      <c r="BW71" s="223">
        <f t="shared" si="45"/>
        <v>1348621.3450870283</v>
      </c>
      <c r="BX71" s="83">
        <f t="shared" si="54"/>
        <v>-569508.34302731114</v>
      </c>
      <c r="BY71" s="78">
        <f t="shared" si="48"/>
        <v>4165648.0609441707</v>
      </c>
      <c r="BZ71" s="70" t="e">
        <f t="shared" si="49"/>
        <v>#REF!</v>
      </c>
      <c r="CA71" s="70" t="e">
        <f t="shared" si="50"/>
        <v>#REF!</v>
      </c>
      <c r="CB71" s="71" t="e">
        <f t="shared" si="51"/>
        <v>#REF!</v>
      </c>
      <c r="CC71" s="270" t="e">
        <f t="shared" si="52"/>
        <v>#REF!</v>
      </c>
      <c r="CD71" s="201"/>
      <c r="CE71" s="69" t="e">
        <f t="shared" si="31"/>
        <v>#REF!</v>
      </c>
      <c r="CF71" s="71" t="e">
        <f t="shared" si="32"/>
        <v>#REF!</v>
      </c>
    </row>
    <row r="72" spans="1:84" ht="15" customHeight="1">
      <c r="A72" s="35">
        <f t="shared" si="47"/>
        <v>10</v>
      </c>
      <c r="B72" s="87"/>
      <c r="C72" s="36">
        <v>43556</v>
      </c>
      <c r="D72" s="75">
        <v>50</v>
      </c>
      <c r="E72" s="110">
        <v>40</v>
      </c>
      <c r="F72" s="110">
        <v>10</v>
      </c>
      <c r="G72" s="110">
        <v>0</v>
      </c>
      <c r="H72" s="76">
        <v>0</v>
      </c>
      <c r="I72" s="76">
        <v>0</v>
      </c>
      <c r="J72" s="77">
        <v>3591682.0999999996</v>
      </c>
      <c r="K72" s="69">
        <f>+'Fluxo Consolidado'!D67</f>
        <v>638500.939047619</v>
      </c>
      <c r="L72" s="78">
        <f>+'Fluxo Consolidado'!E67</f>
        <v>2478316.34</v>
      </c>
      <c r="M72" s="78">
        <f>+'Fluxo Consolidado'!F67</f>
        <v>69110.337499999994</v>
      </c>
      <c r="N72" s="70">
        <v>0</v>
      </c>
      <c r="O72" s="242">
        <f t="shared" si="37"/>
        <v>0.1</v>
      </c>
      <c r="P72" s="70">
        <f>+'Fluxo Consolidado'!H67</f>
        <v>-247831.63399999999</v>
      </c>
      <c r="Q72" s="70">
        <f>+'Fluxo Consolidado'!I67</f>
        <v>246899.84500000003</v>
      </c>
      <c r="R72" s="79">
        <f>'Fluxo Consolidado'!J67</f>
        <v>0</v>
      </c>
      <c r="S72" s="79">
        <f>'Fluxo Consolidado'!K67</f>
        <v>0</v>
      </c>
      <c r="T72" s="79">
        <f t="shared" si="55"/>
        <v>0</v>
      </c>
      <c r="U72" s="79">
        <v>1</v>
      </c>
      <c r="V72" s="79">
        <f t="shared" si="53"/>
        <v>3184995.8275476187</v>
      </c>
      <c r="W72" s="79">
        <v>0</v>
      </c>
      <c r="X72" s="79">
        <v>0</v>
      </c>
      <c r="Y72" s="71">
        <v>0</v>
      </c>
      <c r="Z72" s="38">
        <f t="shared" si="36"/>
        <v>2.9348574526219279E-2</v>
      </c>
      <c r="AA72" s="80">
        <v>0</v>
      </c>
      <c r="AB72" s="81">
        <f>+'Fluxo Consolidado'!P67</f>
        <v>-1918129.6881143395</v>
      </c>
      <c r="AC72" s="208">
        <f>'Fluxo Consolidado'!Q67</f>
        <v>-209557.71016590769</v>
      </c>
      <c r="AD72" s="81">
        <f>+'Fluxo Consolidado'!R67</f>
        <v>0</v>
      </c>
      <c r="AE72" s="81">
        <f>+'Fluxo Consolidado'!S67</f>
        <v>0</v>
      </c>
      <c r="AF72" s="208">
        <f>'Fluxo Consolidado'!T67</f>
        <v>0</v>
      </c>
      <c r="AG72" s="81">
        <f>+'Fluxo Consolidado'!U67</f>
        <v>0</v>
      </c>
      <c r="AH72" s="246">
        <f>+'Fluxo Consolidado'!V67</f>
        <v>0</v>
      </c>
      <c r="AI72" s="125" t="e">
        <f>+'Fluxo Consolidado'!#REF!</f>
        <v>#REF!</v>
      </c>
      <c r="AJ72" s="82">
        <f>+'Fluxo Consolidado'!X67</f>
        <v>-5000</v>
      </c>
      <c r="AK72" s="85">
        <v>0</v>
      </c>
      <c r="AL72" s="85">
        <f>+'Fluxo Consolidado'!Y67+'Fluxo Consolidado'!Z67+'Fluxo Consolidado'!AA67</f>
        <v>-378185.05057857145</v>
      </c>
      <c r="AM72" s="85">
        <f>+'Fluxo Consolidado'!AB67+'Fluxo Consolidado'!AC67</f>
        <v>-66979.383794642854</v>
      </c>
      <c r="AN72" s="103">
        <f>+'Fluxo Consolidado'!AD67</f>
        <v>0</v>
      </c>
      <c r="AO72" s="85">
        <f>'Fluxo Consolidado'!AE67+'Fluxo Consolidado'!AF67</f>
        <v>-358843.69</v>
      </c>
      <c r="AP72" s="83">
        <f>+'Fluxo Consolidado'!AG67</f>
        <v>0</v>
      </c>
      <c r="AQ72" s="119">
        <f>+'Fluxo Consolidado'!AH67</f>
        <v>-183515.31275571429</v>
      </c>
      <c r="AR72" s="85">
        <f>+'Fluxo Consolidado'!AI67</f>
        <v>-9209.81</v>
      </c>
      <c r="AS72" s="85">
        <f>+'Fluxo Consolidado'!AJ67</f>
        <v>-23969</v>
      </c>
      <c r="AT72" s="85">
        <v>0</v>
      </c>
      <c r="AU72" s="85">
        <f>+'Fluxo Consolidado'!AK67</f>
        <v>-14069.046376219576</v>
      </c>
      <c r="AV72" s="84">
        <f>+'Fluxo Consolidado'!AL67</f>
        <v>-40237.620000000003</v>
      </c>
      <c r="AW72" s="82">
        <f t="shared" si="44"/>
        <v>-36703.062551142859</v>
      </c>
      <c r="AX72" s="82">
        <v>0</v>
      </c>
      <c r="AY72" s="82">
        <f>(-V71*$AY$1)+'Fluxo Consolidado'!AO67</f>
        <v>-132343.54183714284</v>
      </c>
      <c r="AZ72" s="84">
        <v>0</v>
      </c>
      <c r="BA72" s="122">
        <v>0</v>
      </c>
      <c r="BB72" s="81">
        <v>0</v>
      </c>
      <c r="BC72" s="81">
        <f>+'Fluxo Consolidado'!AP67</f>
        <v>0</v>
      </c>
      <c r="BD72" s="125">
        <f>+'Fluxo Consolidado'!AQ67</f>
        <v>0</v>
      </c>
      <c r="BE72" s="133"/>
      <c r="BF72" s="78">
        <f t="shared" si="29"/>
        <v>3184995.8275476187</v>
      </c>
      <c r="BG72" s="70" t="e">
        <f t="shared" si="30"/>
        <v>#REF!</v>
      </c>
      <c r="BH72" s="70" t="e">
        <f t="shared" si="43"/>
        <v>#REF!</v>
      </c>
      <c r="BI72" s="71" t="e">
        <f t="shared" si="42"/>
        <v>#REF!</v>
      </c>
      <c r="BJ72" s="201" t="e">
        <f t="shared" si="16"/>
        <v>#REF!</v>
      </c>
      <c r="BL72" s="210"/>
      <c r="BQ72" s="82">
        <f t="shared" si="56"/>
        <v>1918129.6881143395</v>
      </c>
      <c r="BR72" s="223">
        <v>-489562.41899804835</v>
      </c>
      <c r="BS72" s="223">
        <v>-80418.424029262809</v>
      </c>
      <c r="BT72" s="223">
        <v>0</v>
      </c>
      <c r="BU72" s="223">
        <v>-3059461.7480000001</v>
      </c>
      <c r="BV72" s="223">
        <v>2934506.7843809524</v>
      </c>
      <c r="BW72" s="223">
        <f t="shared" si="45"/>
        <v>1348148.8450870283</v>
      </c>
      <c r="BX72" s="83">
        <f t="shared" si="54"/>
        <v>-569980.84302731114</v>
      </c>
      <c r="BY72" s="78">
        <f t="shared" si="48"/>
        <v>4408189.7090155995</v>
      </c>
      <c r="BZ72" s="70" t="e">
        <f t="shared" si="49"/>
        <v>#REF!</v>
      </c>
      <c r="CA72" s="70" t="e">
        <f t="shared" si="50"/>
        <v>#REF!</v>
      </c>
      <c r="CB72" s="71" t="e">
        <f t="shared" si="51"/>
        <v>#REF!</v>
      </c>
      <c r="CC72" s="270" t="e">
        <f t="shared" si="52"/>
        <v>#REF!</v>
      </c>
      <c r="CD72" s="201"/>
      <c r="CE72" s="69" t="e">
        <f t="shared" si="31"/>
        <v>#REF!</v>
      </c>
      <c r="CF72" s="71" t="e">
        <f t="shared" si="32"/>
        <v>#REF!</v>
      </c>
    </row>
    <row r="73" spans="1:84" ht="15" customHeight="1">
      <c r="A73" s="35">
        <f t="shared" si="47"/>
        <v>11</v>
      </c>
      <c r="B73" s="87"/>
      <c r="C73" s="36">
        <v>43586</v>
      </c>
      <c r="D73" s="75">
        <v>70</v>
      </c>
      <c r="E73" s="110">
        <v>50</v>
      </c>
      <c r="F73" s="110">
        <v>5</v>
      </c>
      <c r="G73" s="110">
        <v>0</v>
      </c>
      <c r="H73" s="76">
        <v>0</v>
      </c>
      <c r="I73" s="76">
        <v>0</v>
      </c>
      <c r="J73" s="77">
        <v>4439907.0999999996</v>
      </c>
      <c r="K73" s="69">
        <f>+'Fluxo Consolidado'!D68</f>
        <v>725772.28166666662</v>
      </c>
      <c r="L73" s="78">
        <f>+'Fluxo Consolidado'!E68</f>
        <v>2477298.59</v>
      </c>
      <c r="M73" s="78">
        <f>+'Fluxo Consolidado'!F68</f>
        <v>69110.337499999994</v>
      </c>
      <c r="N73" s="70">
        <v>0</v>
      </c>
      <c r="O73" s="242">
        <f t="shared" si="37"/>
        <v>0.1</v>
      </c>
      <c r="P73" s="70">
        <f>+'Fluxo Consolidado'!H68</f>
        <v>-247729.859</v>
      </c>
      <c r="Q73" s="70">
        <f>+'Fluxo Consolidado'!I68</f>
        <v>247327.21400000004</v>
      </c>
      <c r="R73" s="79">
        <f>'Fluxo Consolidado'!J68</f>
        <v>0</v>
      </c>
      <c r="S73" s="79">
        <f>'Fluxo Consolidado'!K68</f>
        <v>0</v>
      </c>
      <c r="T73" s="79">
        <f t="shared" si="55"/>
        <v>0</v>
      </c>
      <c r="U73" s="79">
        <v>1</v>
      </c>
      <c r="V73" s="79">
        <f t="shared" si="53"/>
        <v>3271778.5641666665</v>
      </c>
      <c r="W73" s="79">
        <v>0</v>
      </c>
      <c r="X73" s="79">
        <v>0</v>
      </c>
      <c r="Y73" s="71">
        <v>0</v>
      </c>
      <c r="Z73" s="38">
        <f t="shared" si="36"/>
        <v>2.9348574526219279E-2</v>
      </c>
      <c r="AA73" s="80">
        <v>0</v>
      </c>
      <c r="AB73" s="81">
        <f>+'Fluxo Consolidado'!P68</f>
        <v>-1918129.6881143395</v>
      </c>
      <c r="AC73" s="208">
        <f>'Fluxo Consolidado'!Q68</f>
        <v>-209557.71016590769</v>
      </c>
      <c r="AD73" s="81">
        <f>+'Fluxo Consolidado'!R68</f>
        <v>0</v>
      </c>
      <c r="AE73" s="81">
        <f>+'Fluxo Consolidado'!S68</f>
        <v>0</v>
      </c>
      <c r="AF73" s="208">
        <f>'Fluxo Consolidado'!T68</f>
        <v>0</v>
      </c>
      <c r="AG73" s="81">
        <f>+'Fluxo Consolidado'!U68</f>
        <v>0</v>
      </c>
      <c r="AH73" s="246">
        <f>+'Fluxo Consolidado'!V68</f>
        <v>0</v>
      </c>
      <c r="AI73" s="125" t="e">
        <f>+'Fluxo Consolidado'!#REF!</f>
        <v>#REF!</v>
      </c>
      <c r="AJ73" s="82">
        <f>+'Fluxo Consolidado'!X68</f>
        <v>-5000</v>
      </c>
      <c r="AK73" s="85">
        <v>0</v>
      </c>
      <c r="AL73" s="85">
        <f>+'Fluxo Consolidado'!Y68+'Fluxo Consolidado'!Z68+'Fluxo Consolidado'!AA68</f>
        <v>-374204.62875714281</v>
      </c>
      <c r="AM73" s="85">
        <f>+'Fluxo Consolidado'!AB68+'Fluxo Consolidado'!AC68</f>
        <v>-68466.336874999994</v>
      </c>
      <c r="AN73" s="103">
        <f>+'Fluxo Consolidado'!AD68</f>
        <v>0</v>
      </c>
      <c r="AO73" s="85">
        <f>'Fluxo Consolidado'!AE68+'Fluxo Consolidado'!AF68</f>
        <v>-349510.35666666669</v>
      </c>
      <c r="AP73" s="83">
        <f>+'Fluxo Consolidado'!AG68</f>
        <v>0</v>
      </c>
      <c r="AQ73" s="119">
        <f>+'Fluxo Consolidado'!AH68</f>
        <v>-191099.74965285711</v>
      </c>
      <c r="AR73" s="85">
        <f>+'Fluxo Consolidado'!AI68</f>
        <v>-9209.81</v>
      </c>
      <c r="AS73" s="85">
        <f>+'Fluxo Consolidado'!AJ68</f>
        <v>-23969</v>
      </c>
      <c r="AT73" s="85">
        <v>0</v>
      </c>
      <c r="AU73" s="85">
        <f>+'Fluxo Consolidado'!AK68</f>
        <v>-14677.486931004543</v>
      </c>
      <c r="AV73" s="84">
        <f>+'Fluxo Consolidado'!AL68</f>
        <v>-34414.14</v>
      </c>
      <c r="AW73" s="82">
        <f t="shared" si="44"/>
        <v>-38219.949930571427</v>
      </c>
      <c r="AX73" s="82">
        <v>0</v>
      </c>
      <c r="AY73" s="82">
        <f>(-V72*$AY$1)+'Fluxo Consolidado'!AO68</f>
        <v>-127399.83310190475</v>
      </c>
      <c r="AZ73" s="84">
        <v>0</v>
      </c>
      <c r="BA73" s="122">
        <v>0</v>
      </c>
      <c r="BB73" s="81">
        <v>0</v>
      </c>
      <c r="BC73" s="81">
        <f>+'Fluxo Consolidado'!AP68</f>
        <v>0</v>
      </c>
      <c r="BD73" s="125">
        <f>+'Fluxo Consolidado'!AQ68</f>
        <v>0</v>
      </c>
      <c r="BE73" s="133"/>
      <c r="BF73" s="78">
        <f t="shared" si="29"/>
        <v>3271778.5641666665</v>
      </c>
      <c r="BG73" s="70" t="e">
        <f t="shared" si="30"/>
        <v>#REF!</v>
      </c>
      <c r="BH73" s="70" t="e">
        <f t="shared" si="43"/>
        <v>#REF!</v>
      </c>
      <c r="BI73" s="71" t="e">
        <f t="shared" si="42"/>
        <v>#REF!</v>
      </c>
      <c r="BJ73" s="201" t="e">
        <f t="shared" si="16"/>
        <v>#REF!</v>
      </c>
      <c r="BL73" s="210"/>
      <c r="BQ73" s="82">
        <f t="shared" si="56"/>
        <v>1918129.6881143395</v>
      </c>
      <c r="BR73" s="223">
        <v>-489562.41899804835</v>
      </c>
      <c r="BS73" s="223">
        <v>-81468.424029262809</v>
      </c>
      <c r="BT73" s="223">
        <v>0</v>
      </c>
      <c r="BU73" s="223">
        <v>-3128191.8516190476</v>
      </c>
      <c r="BV73" s="223">
        <v>3059461.7480000001</v>
      </c>
      <c r="BW73" s="223">
        <f t="shared" si="45"/>
        <v>1347098.8450870283</v>
      </c>
      <c r="BX73" s="83">
        <f t="shared" si="54"/>
        <v>-571030.84302731114</v>
      </c>
      <c r="BY73" s="78">
        <f t="shared" si="48"/>
        <v>4550147.3056346476</v>
      </c>
      <c r="BZ73" s="70" t="e">
        <f t="shared" si="49"/>
        <v>#REF!</v>
      </c>
      <c r="CA73" s="70" t="e">
        <f t="shared" si="50"/>
        <v>#REF!</v>
      </c>
      <c r="CB73" s="71" t="e">
        <f t="shared" si="51"/>
        <v>#REF!</v>
      </c>
      <c r="CC73" s="270" t="e">
        <f t="shared" si="52"/>
        <v>#REF!</v>
      </c>
      <c r="CD73" s="201"/>
      <c r="CE73" s="69" t="e">
        <f t="shared" si="31"/>
        <v>#REF!</v>
      </c>
      <c r="CF73" s="71" t="e">
        <f t="shared" si="32"/>
        <v>#REF!</v>
      </c>
    </row>
    <row r="74" spans="1:84" ht="15" customHeight="1">
      <c r="A74" s="35">
        <f t="shared" si="47"/>
        <v>12</v>
      </c>
      <c r="B74" s="87"/>
      <c r="C74" s="36">
        <v>43617</v>
      </c>
      <c r="D74" s="75">
        <v>50</v>
      </c>
      <c r="E74" s="110">
        <v>95</v>
      </c>
      <c r="F74" s="110">
        <v>5</v>
      </c>
      <c r="G74" s="110">
        <v>0</v>
      </c>
      <c r="H74" s="76">
        <v>0</v>
      </c>
      <c r="I74" s="76">
        <v>0</v>
      </c>
      <c r="J74" s="77">
        <v>5797182.2999999998</v>
      </c>
      <c r="K74" s="69">
        <f>+'Fluxo Consolidado'!D69</f>
        <v>745105.49178571429</v>
      </c>
      <c r="L74" s="78">
        <f>+'Fluxo Consolidado'!E69</f>
        <v>2477603.41</v>
      </c>
      <c r="M74" s="78">
        <f>+'Fluxo Consolidado'!F69</f>
        <v>69110.337499999994</v>
      </c>
      <c r="N74" s="70">
        <v>0</v>
      </c>
      <c r="O74" s="242">
        <f t="shared" si="37"/>
        <v>0.1</v>
      </c>
      <c r="P74" s="70">
        <f>+'Fluxo Consolidado'!H69</f>
        <v>-247760.34100000001</v>
      </c>
      <c r="Q74" s="70">
        <f>+'Fluxo Consolidado'!I69</f>
        <v>247706.815</v>
      </c>
      <c r="R74" s="79">
        <f>'Fluxo Consolidado'!J69</f>
        <v>0</v>
      </c>
      <c r="S74" s="79">
        <f>'Fluxo Consolidado'!K69</f>
        <v>0</v>
      </c>
      <c r="T74" s="79">
        <f t="shared" si="55"/>
        <v>0</v>
      </c>
      <c r="U74" s="79">
        <v>1</v>
      </c>
      <c r="V74" s="79">
        <f t="shared" si="53"/>
        <v>3291765.7132857144</v>
      </c>
      <c r="W74" s="79">
        <v>0</v>
      </c>
      <c r="X74" s="79">
        <v>0</v>
      </c>
      <c r="Y74" s="71">
        <v>0</v>
      </c>
      <c r="Z74" s="38">
        <f t="shared" si="36"/>
        <v>4.3596035244665987E-2</v>
      </c>
      <c r="AA74" s="80">
        <v>0</v>
      </c>
      <c r="AB74" s="81">
        <f>+'Fluxo Consolidado'!P69</f>
        <v>-1918129.6881143395</v>
      </c>
      <c r="AC74" s="208">
        <f>'Fluxo Consolidado'!Q69</f>
        <v>-209557.71016590766</v>
      </c>
      <c r="AD74" s="81">
        <f>+'Fluxo Consolidado'!R69</f>
        <v>-972900</v>
      </c>
      <c r="AE74" s="81">
        <f>+'Fluxo Consolidado'!S69</f>
        <v>0</v>
      </c>
      <c r="AF74" s="208">
        <f>'Fluxo Consolidado'!T69</f>
        <v>-60000</v>
      </c>
      <c r="AG74" s="81">
        <f>+'Fluxo Consolidado'!U69</f>
        <v>0</v>
      </c>
      <c r="AH74" s="246">
        <f>+'Fluxo Consolidado'!V69</f>
        <v>0</v>
      </c>
      <c r="AI74" s="125" t="e">
        <f>+'Fluxo Consolidado'!#REF!</f>
        <v>#REF!</v>
      </c>
      <c r="AJ74" s="82">
        <f>+'Fluxo Consolidado'!X69</f>
        <v>-5000</v>
      </c>
      <c r="AK74" s="85">
        <v>0</v>
      </c>
      <c r="AL74" s="85">
        <f>+'Fluxo Consolidado'!Y69+'Fluxo Consolidado'!Z69+'Fluxo Consolidado'!AA69</f>
        <v>-365814.69586428569</v>
      </c>
      <c r="AM74" s="85">
        <f>+'Fluxo Consolidado'!AB69+'Fluxo Consolidado'!AC69</f>
        <v>-68940.92745535713</v>
      </c>
      <c r="AN74" s="103">
        <f>+'Fluxo Consolidado'!AD69</f>
        <v>0</v>
      </c>
      <c r="AO74" s="85">
        <f>'Fluxo Consolidado'!AE69+'Fluxo Consolidado'!AF69</f>
        <v>-172400</v>
      </c>
      <c r="AP74" s="83">
        <f>+'Fluxo Consolidado'!AG69</f>
        <v>0</v>
      </c>
      <c r="AQ74" s="119">
        <f>+'Fluxo Consolidado'!AH69</f>
        <v>-196306.71384999997</v>
      </c>
      <c r="AR74" s="85">
        <f>+'Fluxo Consolidado'!AI69</f>
        <v>-9209.81</v>
      </c>
      <c r="AS74" s="85">
        <f>+'Fluxo Consolidado'!AJ69</f>
        <v>-7969</v>
      </c>
      <c r="AT74" s="85">
        <v>0</v>
      </c>
      <c r="AU74" s="85">
        <f>+'Fluxo Consolidado'!AK69</f>
        <v>-15097.477033261381</v>
      </c>
      <c r="AV74" s="84">
        <f>+'Fluxo Consolidado'!AL69</f>
        <v>-29838.75</v>
      </c>
      <c r="AW74" s="82">
        <f t="shared" si="44"/>
        <v>-39261.342769999996</v>
      </c>
      <c r="AX74" s="82">
        <v>0</v>
      </c>
      <c r="AY74" s="82">
        <f>(-V73*$AY$1)+'Fluxo Consolidado'!AO69</f>
        <v>-130871.14256666666</v>
      </c>
      <c r="AZ74" s="84">
        <v>0</v>
      </c>
      <c r="BA74" s="122">
        <v>0</v>
      </c>
      <c r="BB74" s="81">
        <v>0</v>
      </c>
      <c r="BC74" s="81">
        <f>+'Fluxo Consolidado'!AP69</f>
        <v>0</v>
      </c>
      <c r="BD74" s="125">
        <f>+'Fluxo Consolidado'!AQ69</f>
        <v>0</v>
      </c>
      <c r="BE74" s="133"/>
      <c r="BF74" s="78">
        <f t="shared" ref="BF74:BF105" si="57">V74+Y74+W74+X74</f>
        <v>3291765.7132857144</v>
      </c>
      <c r="BG74" s="70" t="e">
        <f t="shared" ref="BG74:BG105" si="58">+SUM(AA74:BD74)</f>
        <v>#REF!</v>
      </c>
      <c r="BH74" s="70" t="e">
        <f t="shared" si="43"/>
        <v>#REF!</v>
      </c>
      <c r="BI74" s="71" t="e">
        <f t="shared" si="42"/>
        <v>#REF!</v>
      </c>
      <c r="BJ74" s="201" t="e">
        <f t="shared" si="16"/>
        <v>#REF!</v>
      </c>
      <c r="BL74" s="210"/>
      <c r="BQ74" s="82">
        <f t="shared" si="56"/>
        <v>1918129.6881143395</v>
      </c>
      <c r="BR74" s="223">
        <v>-489562.41899804835</v>
      </c>
      <c r="BS74" s="223">
        <v>-82780.924029262809</v>
      </c>
      <c r="BT74" s="223">
        <v>0</v>
      </c>
      <c r="BU74" s="223">
        <v>-3147521.2607380948</v>
      </c>
      <c r="BV74" s="223">
        <v>3128191.8516190476</v>
      </c>
      <c r="BW74" s="223">
        <f t="shared" si="45"/>
        <v>1345786.3450870283</v>
      </c>
      <c r="BX74" s="83">
        <f t="shared" si="54"/>
        <v>-572343.34302731114</v>
      </c>
      <c r="BY74" s="78">
        <f t="shared" si="48"/>
        <v>4618222.6492536953</v>
      </c>
      <c r="BZ74" s="70" t="e">
        <f t="shared" si="49"/>
        <v>#REF!</v>
      </c>
      <c r="CA74" s="70" t="e">
        <f t="shared" si="50"/>
        <v>#REF!</v>
      </c>
      <c r="CB74" s="71" t="e">
        <f t="shared" si="51"/>
        <v>#REF!</v>
      </c>
      <c r="CC74" s="270" t="e">
        <f t="shared" si="52"/>
        <v>#REF!</v>
      </c>
      <c r="CD74" s="201"/>
      <c r="CE74" s="69" t="e">
        <f t="shared" ref="CE74:CE105" si="59">PV($CE$5,A74,,-BH74)</f>
        <v>#REF!</v>
      </c>
      <c r="CF74" s="71" t="e">
        <f t="shared" ref="CF74:CF105" si="60">PV($CE$5,A74,,-CA74)</f>
        <v>#REF!</v>
      </c>
    </row>
    <row r="75" spans="1:84" ht="15" customHeight="1">
      <c r="A75" s="35">
        <f t="shared" si="47"/>
        <v>13</v>
      </c>
      <c r="B75" s="87"/>
      <c r="C75" s="36">
        <v>43647</v>
      </c>
      <c r="D75" s="75">
        <v>100</v>
      </c>
      <c r="E75" s="110">
        <v>475</v>
      </c>
      <c r="F75" s="110">
        <v>15</v>
      </c>
      <c r="G75" s="110">
        <v>0</v>
      </c>
      <c r="H75" s="76">
        <v>0</v>
      </c>
      <c r="I75" s="76">
        <v>0</v>
      </c>
      <c r="J75" s="77">
        <v>24149230</v>
      </c>
      <c r="K75" s="69">
        <f>+'Fluxo Consolidado'!D70</f>
        <v>787321.33226190472</v>
      </c>
      <c r="L75" s="78">
        <f>+'Fluxo Consolidado'!E70</f>
        <v>2478692.7599999998</v>
      </c>
      <c r="M75" s="78">
        <f>+'Fluxo Consolidado'!F70</f>
        <v>69110.337499999994</v>
      </c>
      <c r="N75" s="70">
        <v>0</v>
      </c>
      <c r="O75" s="242">
        <f t="shared" si="37"/>
        <v>0.1</v>
      </c>
      <c r="P75" s="70">
        <f>+'Fluxo Consolidado'!H70</f>
        <v>-247869.27599999998</v>
      </c>
      <c r="Q75" s="70">
        <f>+'Fluxo Consolidado'!I70</f>
        <v>247831.63399999999</v>
      </c>
      <c r="R75" s="79">
        <f>'Fluxo Consolidado'!J70</f>
        <v>0</v>
      </c>
      <c r="S75" s="79">
        <f>'Fluxo Consolidado'!K70</f>
        <v>0</v>
      </c>
      <c r="T75" s="79">
        <f t="shared" si="55"/>
        <v>0</v>
      </c>
      <c r="U75" s="79">
        <v>1</v>
      </c>
      <c r="V75" s="79">
        <f t="shared" si="53"/>
        <v>3335086.7877619043</v>
      </c>
      <c r="W75" s="79">
        <v>0</v>
      </c>
      <c r="X75" s="79">
        <v>0</v>
      </c>
      <c r="Y75" s="71">
        <v>0</v>
      </c>
      <c r="Z75" s="38">
        <f t="shared" si="36"/>
        <v>4.7840235135472808E-2</v>
      </c>
      <c r="AA75" s="80">
        <v>0</v>
      </c>
      <c r="AB75" s="81">
        <f>+'Fluxo Consolidado'!P70</f>
        <v>-1918129.6881143395</v>
      </c>
      <c r="AC75" s="208">
        <f>'Fluxo Consolidado'!Q70</f>
        <v>-209557.71016590766</v>
      </c>
      <c r="AD75" s="81">
        <f>+'Fluxo Consolidado'!R70</f>
        <v>-1280592.3076923075</v>
      </c>
      <c r="AE75" s="81">
        <f>+'Fluxo Consolidado'!S70</f>
        <v>0</v>
      </c>
      <c r="AF75" s="208">
        <f>'Fluxo Consolidado'!T70</f>
        <v>-60000</v>
      </c>
      <c r="AG75" s="81">
        <f>+'Fluxo Consolidado'!U70</f>
        <v>0</v>
      </c>
      <c r="AH75" s="246">
        <f>+'Fluxo Consolidado'!V70</f>
        <v>0</v>
      </c>
      <c r="AI75" s="125" t="e">
        <f>+'Fluxo Consolidado'!#REF!</f>
        <v>#REF!</v>
      </c>
      <c r="AJ75" s="82">
        <f>+'Fluxo Consolidado'!X70</f>
        <v>-2000</v>
      </c>
      <c r="AK75" s="85">
        <v>0</v>
      </c>
      <c r="AL75" s="85">
        <f>+'Fluxo Consolidado'!Y70+'Fluxo Consolidado'!Z70+'Fluxo Consolidado'!AA70</f>
        <v>-353178.55468571431</v>
      </c>
      <c r="AM75" s="85">
        <f>+'Fluxo Consolidado'!AB70+'Fluxo Consolidado'!AC70</f>
        <v>-69968.567901785718</v>
      </c>
      <c r="AN75" s="103">
        <f>+'Fluxo Consolidado'!AD70</f>
        <v>0</v>
      </c>
      <c r="AO75" s="85">
        <f>'Fluxo Consolidado'!AE70+'Fluxo Consolidado'!AF70</f>
        <v>-163333.33333333334</v>
      </c>
      <c r="AP75" s="83">
        <f>+'Fluxo Consolidado'!AG70</f>
        <v>0</v>
      </c>
      <c r="AQ75" s="119">
        <f>+'Fluxo Consolidado'!AH70</f>
        <v>-197505.94279714287</v>
      </c>
      <c r="AR75" s="85">
        <f>+'Fluxo Consolidado'!AI70</f>
        <v>-9209.81</v>
      </c>
      <c r="AS75" s="85">
        <f>+'Fluxo Consolidado'!AJ70</f>
        <v>-7969</v>
      </c>
      <c r="AT75" s="85">
        <v>0</v>
      </c>
      <c r="AU75" s="85">
        <f>+'Fluxo Consolidado'!AK70</f>
        <v>-15746.69793105112</v>
      </c>
      <c r="AV75" s="84">
        <f>+'Fluxo Consolidado'!AL70</f>
        <v>-26964.79</v>
      </c>
      <c r="AW75" s="82">
        <f t="shared" si="44"/>
        <v>-39501.18855942857</v>
      </c>
      <c r="AX75" s="82">
        <v>0</v>
      </c>
      <c r="AY75" s="82">
        <f>(-V74*$AY$1)+'Fluxo Consolidado'!AO70</f>
        <v>-131670.62853142858</v>
      </c>
      <c r="AZ75" s="84">
        <v>0</v>
      </c>
      <c r="BA75" s="122">
        <v>0</v>
      </c>
      <c r="BB75" s="81">
        <v>0</v>
      </c>
      <c r="BC75" s="81">
        <f>+'Fluxo Consolidado'!AP70</f>
        <v>0</v>
      </c>
      <c r="BD75" s="125">
        <f>+'Fluxo Consolidado'!AQ70</f>
        <v>0</v>
      </c>
      <c r="BE75" s="133"/>
      <c r="BF75" s="78">
        <f t="shared" si="57"/>
        <v>3335086.7877619043</v>
      </c>
      <c r="BG75" s="70" t="e">
        <f t="shared" si="58"/>
        <v>#REF!</v>
      </c>
      <c r="BH75" s="70" t="e">
        <f t="shared" si="43"/>
        <v>#REF!</v>
      </c>
      <c r="BI75" s="71" t="e">
        <f t="shared" si="42"/>
        <v>#REF!</v>
      </c>
      <c r="BJ75" s="201" t="e">
        <f t="shared" si="16"/>
        <v>#REF!</v>
      </c>
      <c r="BL75" s="210"/>
      <c r="BQ75" s="82">
        <f t="shared" si="56"/>
        <v>1918129.6881143395</v>
      </c>
      <c r="BR75" s="223">
        <v>-489562.41899804835</v>
      </c>
      <c r="BS75" s="223">
        <v>-84355.924029262809</v>
      </c>
      <c r="BT75" s="223">
        <v>0</v>
      </c>
      <c r="BU75" s="223">
        <v>-3190236.7712142859</v>
      </c>
      <c r="BV75" s="223">
        <v>3147521.2607380948</v>
      </c>
      <c r="BW75" s="223">
        <f t="shared" si="45"/>
        <v>1344211.3450870283</v>
      </c>
      <c r="BX75" s="83">
        <f t="shared" si="54"/>
        <v>-573918.34302731114</v>
      </c>
      <c r="BY75" s="78">
        <f t="shared" si="48"/>
        <v>4636582.6223727409</v>
      </c>
      <c r="BZ75" s="70" t="e">
        <f t="shared" si="49"/>
        <v>#REF!</v>
      </c>
      <c r="CA75" s="70" t="e">
        <f t="shared" si="50"/>
        <v>#REF!</v>
      </c>
      <c r="CB75" s="71" t="e">
        <f t="shared" si="51"/>
        <v>#REF!</v>
      </c>
      <c r="CC75" s="270" t="e">
        <f t="shared" si="52"/>
        <v>#REF!</v>
      </c>
      <c r="CD75" s="201"/>
      <c r="CE75" s="69" t="e">
        <f t="shared" si="59"/>
        <v>#REF!</v>
      </c>
      <c r="CF75" s="71" t="e">
        <f t="shared" si="60"/>
        <v>#REF!</v>
      </c>
    </row>
    <row r="76" spans="1:84" ht="15" customHeight="1">
      <c r="A76" s="35">
        <f t="shared" si="47"/>
        <v>14</v>
      </c>
      <c r="B76" s="87"/>
      <c r="C76" s="36">
        <v>43678</v>
      </c>
      <c r="D76" s="75">
        <v>57</v>
      </c>
      <c r="E76" s="110">
        <v>100</v>
      </c>
      <c r="F76" s="110">
        <v>15</v>
      </c>
      <c r="G76" s="110">
        <v>0</v>
      </c>
      <c r="H76" s="76">
        <v>0</v>
      </c>
      <c r="I76" s="76">
        <v>0</v>
      </c>
      <c r="J76" s="77">
        <v>6587364.4100000001</v>
      </c>
      <c r="K76" s="69">
        <f>+'Fluxo Consolidado'!D71</f>
        <v>839906.22928571433</v>
      </c>
      <c r="L76" s="78">
        <f>+'Fluxo Consolidado'!E71</f>
        <v>2478928.9</v>
      </c>
      <c r="M76" s="78">
        <f>+'Fluxo Consolidado'!F71</f>
        <v>69110.337499999994</v>
      </c>
      <c r="N76" s="70">
        <v>0</v>
      </c>
      <c r="O76" s="242">
        <f t="shared" si="37"/>
        <v>0.1</v>
      </c>
      <c r="P76" s="70">
        <f>+'Fluxo Consolidado'!H71</f>
        <v>-247892.89</v>
      </c>
      <c r="Q76" s="70">
        <f>+'Fluxo Consolidado'!I71</f>
        <v>247729.859</v>
      </c>
      <c r="R76" s="79">
        <f>'Fluxo Consolidado'!J71</f>
        <v>0</v>
      </c>
      <c r="S76" s="79">
        <f>'Fluxo Consolidado'!K71</f>
        <v>0</v>
      </c>
      <c r="T76" s="79">
        <f t="shared" si="55"/>
        <v>0</v>
      </c>
      <c r="U76" s="79">
        <v>1</v>
      </c>
      <c r="V76" s="79">
        <f t="shared" si="53"/>
        <v>3387782.4357857141</v>
      </c>
      <c r="W76" s="79">
        <v>0</v>
      </c>
      <c r="X76" s="79">
        <v>0</v>
      </c>
      <c r="Y76" s="71">
        <v>0</v>
      </c>
      <c r="Z76" s="38">
        <f t="shared" si="36"/>
        <v>4.7840235135472808E-2</v>
      </c>
      <c r="AA76" s="80">
        <v>0</v>
      </c>
      <c r="AB76" s="81">
        <f>+'Fluxo Consolidado'!P71</f>
        <v>-1918129.6881143395</v>
      </c>
      <c r="AC76" s="208">
        <f>'Fluxo Consolidado'!Q71</f>
        <v>-209557.71016590766</v>
      </c>
      <c r="AD76" s="81">
        <f>+'Fluxo Consolidado'!R71</f>
        <v>-1280592.3076923075</v>
      </c>
      <c r="AE76" s="81">
        <f>+'Fluxo Consolidado'!S71</f>
        <v>0</v>
      </c>
      <c r="AF76" s="208">
        <f>'Fluxo Consolidado'!T71</f>
        <v>-60000</v>
      </c>
      <c r="AG76" s="81">
        <f>+'Fluxo Consolidado'!U71</f>
        <v>0</v>
      </c>
      <c r="AH76" s="246">
        <f>+'Fluxo Consolidado'!V71</f>
        <v>0</v>
      </c>
      <c r="AI76" s="125" t="e">
        <f>+'Fluxo Consolidado'!#REF!</f>
        <v>#REF!</v>
      </c>
      <c r="AJ76" s="82">
        <f>+'Fluxo Consolidado'!X71</f>
        <v>-2000</v>
      </c>
      <c r="AK76" s="85">
        <v>0</v>
      </c>
      <c r="AL76" s="85">
        <f>+'Fluxo Consolidado'!Y71+'Fluxo Consolidado'!Z71+'Fluxo Consolidado'!AA71</f>
        <v>-384118.06638571434</v>
      </c>
      <c r="AM76" s="85">
        <f>+'Fluxo Consolidado'!AB71+'Fluxo Consolidado'!AC71</f>
        <v>-71174.462767857141</v>
      </c>
      <c r="AN76" s="103">
        <f>+'Fluxo Consolidado'!AD71</f>
        <v>0</v>
      </c>
      <c r="AO76" s="85">
        <f>'Fluxo Consolidado'!AE71+'Fluxo Consolidado'!AF71</f>
        <v>-166000</v>
      </c>
      <c r="AP76" s="83">
        <f>+'Fluxo Consolidado'!AG71</f>
        <v>0</v>
      </c>
      <c r="AQ76" s="119">
        <f>+'Fluxo Consolidado'!AH71</f>
        <v>-200105.20726571424</v>
      </c>
      <c r="AR76" s="85">
        <f>+'Fluxo Consolidado'!AI71</f>
        <v>-9209.81</v>
      </c>
      <c r="AS76" s="85">
        <f>+'Fluxo Consolidado'!AJ71</f>
        <v>-7969</v>
      </c>
      <c r="AT76" s="85">
        <v>0</v>
      </c>
      <c r="AU76" s="85">
        <f>+'Fluxo Consolidado'!AK71</f>
        <v>-16317.504050439004</v>
      </c>
      <c r="AV76" s="84">
        <f>+'Fluxo Consolidado'!AL71</f>
        <v>-24397.08</v>
      </c>
      <c r="AW76" s="82">
        <f t="shared" si="44"/>
        <v>-40021.041453142854</v>
      </c>
      <c r="AX76" s="82">
        <v>0</v>
      </c>
      <c r="AY76" s="82">
        <f>(-V75*$AY$1)+'Fluxo Consolidado'!AO71</f>
        <v>-133403.47151047617</v>
      </c>
      <c r="AZ76" s="84">
        <v>0</v>
      </c>
      <c r="BA76" s="122">
        <v>0</v>
      </c>
      <c r="BB76" s="81">
        <v>0</v>
      </c>
      <c r="BC76" s="81">
        <f>+'Fluxo Consolidado'!AP71</f>
        <v>0</v>
      </c>
      <c r="BD76" s="125">
        <f>+'Fluxo Consolidado'!AQ71</f>
        <v>0</v>
      </c>
      <c r="BE76" s="133"/>
      <c r="BF76" s="78">
        <f t="shared" si="57"/>
        <v>3387782.4357857141</v>
      </c>
      <c r="BG76" s="70" t="e">
        <f t="shared" si="58"/>
        <v>#REF!</v>
      </c>
      <c r="BH76" s="70" t="e">
        <f t="shared" si="43"/>
        <v>#REF!</v>
      </c>
      <c r="BI76" s="71" t="e">
        <f t="shared" si="42"/>
        <v>#REF!</v>
      </c>
      <c r="BJ76" s="201" t="e">
        <f t="shared" ref="BJ76:BJ139" si="61">+BI76-$AX$8</f>
        <v>#REF!</v>
      </c>
      <c r="BL76" s="210"/>
      <c r="BQ76" s="82">
        <f t="shared" si="56"/>
        <v>1918129.6881143395</v>
      </c>
      <c r="BR76" s="223">
        <v>-489562.41899804835</v>
      </c>
      <c r="BS76" s="223">
        <v>-106112.67701731062</v>
      </c>
      <c r="BT76" s="223">
        <v>0</v>
      </c>
      <c r="BU76" s="223">
        <v>-3242484.3852380952</v>
      </c>
      <c r="BV76" s="223">
        <v>3190236.7712142859</v>
      </c>
      <c r="BW76" s="223">
        <f t="shared" si="45"/>
        <v>1322454.5920989804</v>
      </c>
      <c r="BX76" s="83">
        <f t="shared" si="54"/>
        <v>-595675.09601535893</v>
      </c>
      <c r="BY76" s="78">
        <f t="shared" si="48"/>
        <v>4657989.4138608854</v>
      </c>
      <c r="BZ76" s="70" t="e">
        <f t="shared" si="49"/>
        <v>#REF!</v>
      </c>
      <c r="CA76" s="70" t="e">
        <f t="shared" si="50"/>
        <v>#REF!</v>
      </c>
      <c r="CB76" s="71" t="e">
        <f t="shared" si="51"/>
        <v>#REF!</v>
      </c>
      <c r="CC76" s="270" t="e">
        <f t="shared" si="52"/>
        <v>#REF!</v>
      </c>
      <c r="CD76" s="201"/>
      <c r="CE76" s="69" t="e">
        <f t="shared" si="59"/>
        <v>#REF!</v>
      </c>
      <c r="CF76" s="71" t="e">
        <f t="shared" si="60"/>
        <v>#REF!</v>
      </c>
    </row>
    <row r="77" spans="1:84" ht="15" customHeight="1">
      <c r="A77" s="35">
        <f t="shared" si="47"/>
        <v>15</v>
      </c>
      <c r="B77" s="87"/>
      <c r="C77" s="36">
        <v>43709</v>
      </c>
      <c r="D77" s="75">
        <v>112</v>
      </c>
      <c r="E77" s="110">
        <v>30</v>
      </c>
      <c r="F77" s="110">
        <v>77</v>
      </c>
      <c r="G77" s="110">
        <v>0</v>
      </c>
      <c r="H77" s="76">
        <v>0</v>
      </c>
      <c r="I77" s="76">
        <v>0</v>
      </c>
      <c r="J77" s="77">
        <v>7447652.1600000001</v>
      </c>
      <c r="K77" s="69">
        <f>+'Fluxo Consolidado'!D72</f>
        <v>908649.16440476198</v>
      </c>
      <c r="L77" s="78">
        <f>+'Fluxo Consolidado'!E72</f>
        <v>2478205.5699999998</v>
      </c>
      <c r="M77" s="78">
        <f>+'Fluxo Consolidado'!F72</f>
        <v>69110.337499999994</v>
      </c>
      <c r="N77" s="70">
        <v>0</v>
      </c>
      <c r="O77" s="242">
        <f t="shared" si="37"/>
        <v>0.1</v>
      </c>
      <c r="P77" s="70">
        <f>+'Fluxo Consolidado'!H72</f>
        <v>-247820.557</v>
      </c>
      <c r="Q77" s="70">
        <f>+'Fluxo Consolidado'!I72</f>
        <v>247760.34100000001</v>
      </c>
      <c r="R77" s="79">
        <f>'Fluxo Consolidado'!J72</f>
        <v>0</v>
      </c>
      <c r="S77" s="79">
        <f>'Fluxo Consolidado'!K72</f>
        <v>0</v>
      </c>
      <c r="T77" s="79">
        <f t="shared" si="55"/>
        <v>0</v>
      </c>
      <c r="U77" s="79">
        <v>2</v>
      </c>
      <c r="V77" s="79">
        <f t="shared" si="53"/>
        <v>3455904.8559047617</v>
      </c>
      <c r="W77" s="79">
        <v>0</v>
      </c>
      <c r="X77" s="79">
        <v>0</v>
      </c>
      <c r="Y77" s="71">
        <v>0</v>
      </c>
      <c r="Z77" s="38">
        <f t="shared" si="36"/>
        <v>4.9783519991640095E-2</v>
      </c>
      <c r="AA77" s="80">
        <v>0</v>
      </c>
      <c r="AB77" s="81">
        <f>+'Fluxo Consolidado'!P72</f>
        <v>-1918129.6881143395</v>
      </c>
      <c r="AC77" s="208">
        <f>'Fluxo Consolidado'!Q72</f>
        <v>-209557.71016590769</v>
      </c>
      <c r="AD77" s="81">
        <f>+'Fluxo Consolidado'!R72</f>
        <v>-1280592.3076923075</v>
      </c>
      <c r="AE77" s="81">
        <f>+'Fluxo Consolidado'!S72</f>
        <v>-100000</v>
      </c>
      <c r="AF77" s="208">
        <f>'Fluxo Consolidado'!T72</f>
        <v>-60000</v>
      </c>
      <c r="AG77" s="81">
        <f>+'Fluxo Consolidado'!U72</f>
        <v>0</v>
      </c>
      <c r="AH77" s="246">
        <f>+'Fluxo Consolidado'!V72</f>
        <v>-40882.573224881242</v>
      </c>
      <c r="AI77" s="125" t="e">
        <f>+'Fluxo Consolidado'!#REF!</f>
        <v>#REF!</v>
      </c>
      <c r="AJ77" s="82">
        <f>+'Fluxo Consolidado'!X72</f>
        <v>-2000</v>
      </c>
      <c r="AK77" s="85">
        <v>0</v>
      </c>
      <c r="AL77" s="85">
        <f>+'Fluxo Consolidado'!Y72+'Fluxo Consolidado'!Z72+'Fluxo Consolidado'!AA72</f>
        <v>-372266.08627499995</v>
      </c>
      <c r="AM77" s="85">
        <f>+'Fluxo Consolidado'!AB72+'Fluxo Consolidado'!AC72</f>
        <v>-72697.425848214276</v>
      </c>
      <c r="AN77" s="103">
        <f>+'Fluxo Consolidado'!AD72</f>
        <v>0</v>
      </c>
      <c r="AO77" s="85">
        <f>'Fluxo Consolidado'!AE72+'Fluxo Consolidado'!AF72</f>
        <v>-116800</v>
      </c>
      <c r="AP77" s="83">
        <f>+'Fluxo Consolidado'!AG72</f>
        <v>0</v>
      </c>
      <c r="AQ77" s="119">
        <f>+'Fluxo Consolidado'!AH72</f>
        <v>-203266.94614714285</v>
      </c>
      <c r="AR77" s="85">
        <f>+'Fluxo Consolidado'!AI72</f>
        <v>-9209.81</v>
      </c>
      <c r="AS77" s="85">
        <f>+'Fluxo Consolidado'!AJ72</f>
        <v>-7969</v>
      </c>
      <c r="AT77" s="85">
        <v>0</v>
      </c>
      <c r="AU77" s="85">
        <f>+'Fluxo Consolidado'!AK72</f>
        <v>-16466.780729559887</v>
      </c>
      <c r="AV77" s="84">
        <f>+'Fluxo Consolidado'!AL72</f>
        <v>-22365.19</v>
      </c>
      <c r="AW77" s="82">
        <f t="shared" si="44"/>
        <v>-40653.389229428569</v>
      </c>
      <c r="AX77" s="82">
        <v>0</v>
      </c>
      <c r="AY77" s="82">
        <f>(-V76*$AY$1)+'Fluxo Consolidado'!AO72</f>
        <v>-135511.29743142857</v>
      </c>
      <c r="AZ77" s="84">
        <v>0</v>
      </c>
      <c r="BA77" s="122">
        <v>0</v>
      </c>
      <c r="BB77" s="81">
        <v>0</v>
      </c>
      <c r="BC77" s="81">
        <f>+'Fluxo Consolidado'!AP72</f>
        <v>0</v>
      </c>
      <c r="BD77" s="125">
        <f>+'Fluxo Consolidado'!AQ72</f>
        <v>0</v>
      </c>
      <c r="BE77" s="133"/>
      <c r="BF77" s="78">
        <f t="shared" si="57"/>
        <v>3455904.8559047617</v>
      </c>
      <c r="BG77" s="70" t="e">
        <f t="shared" si="58"/>
        <v>#REF!</v>
      </c>
      <c r="BH77" s="70" t="e">
        <f t="shared" si="43"/>
        <v>#REF!</v>
      </c>
      <c r="BI77" s="71" t="e">
        <f t="shared" si="42"/>
        <v>#REF!</v>
      </c>
      <c r="BJ77" s="201" t="e">
        <f t="shared" si="61"/>
        <v>#REF!</v>
      </c>
      <c r="BL77" s="210"/>
      <c r="BQ77" s="82">
        <f t="shared" si="56"/>
        <v>1918129.6881143395</v>
      </c>
      <c r="BR77" s="223">
        <v>-489562.41899804835</v>
      </c>
      <c r="BS77" s="223">
        <v>-92356.924029262809</v>
      </c>
      <c r="BT77" s="223">
        <v>0</v>
      </c>
      <c r="BU77" s="223">
        <v>-3310093.8513571429</v>
      </c>
      <c r="BV77" s="223">
        <v>3242484.3852380952</v>
      </c>
      <c r="BW77" s="223">
        <f t="shared" si="45"/>
        <v>1336210.3450870283</v>
      </c>
      <c r="BX77" s="83">
        <f t="shared" si="54"/>
        <v>-581919.34302731114</v>
      </c>
      <c r="BY77" s="78">
        <f t="shared" si="48"/>
        <v>4724505.7348727416</v>
      </c>
      <c r="BZ77" s="70" t="e">
        <f t="shared" si="49"/>
        <v>#REF!</v>
      </c>
      <c r="CA77" s="70" t="e">
        <f t="shared" si="50"/>
        <v>#REF!</v>
      </c>
      <c r="CB77" s="71" t="e">
        <f t="shared" si="51"/>
        <v>#REF!</v>
      </c>
      <c r="CC77" s="270" t="e">
        <f t="shared" si="52"/>
        <v>#REF!</v>
      </c>
      <c r="CD77" s="201"/>
      <c r="CE77" s="69" t="e">
        <f t="shared" si="59"/>
        <v>#REF!</v>
      </c>
      <c r="CF77" s="71" t="e">
        <f t="shared" si="60"/>
        <v>#REF!</v>
      </c>
    </row>
    <row r="78" spans="1:84" ht="15" customHeight="1">
      <c r="A78" s="35">
        <f t="shared" si="47"/>
        <v>16</v>
      </c>
      <c r="B78" s="87"/>
      <c r="C78" s="36">
        <v>43739</v>
      </c>
      <c r="D78" s="75">
        <v>0</v>
      </c>
      <c r="E78" s="110">
        <v>0</v>
      </c>
      <c r="F78" s="110">
        <v>0</v>
      </c>
      <c r="G78" s="110">
        <v>0</v>
      </c>
      <c r="H78" s="76">
        <v>0</v>
      </c>
      <c r="I78" s="76">
        <v>0</v>
      </c>
      <c r="J78" s="77">
        <v>0</v>
      </c>
      <c r="K78" s="69">
        <f>+'Fluxo Consolidado'!D73</f>
        <v>1102815.8833333335</v>
      </c>
      <c r="L78" s="78">
        <f>+'Fluxo Consolidado'!E73</f>
        <v>2473443.23</v>
      </c>
      <c r="M78" s="78">
        <f>+'Fluxo Consolidado'!F73</f>
        <v>69110.337499999994</v>
      </c>
      <c r="N78" s="70">
        <v>0</v>
      </c>
      <c r="O78" s="242">
        <f t="shared" si="37"/>
        <v>0.1</v>
      </c>
      <c r="P78" s="70">
        <f>+'Fluxo Consolidado'!H73</f>
        <v>-247344.323</v>
      </c>
      <c r="Q78" s="70">
        <f>+'Fluxo Consolidado'!I73</f>
        <v>247869.27599999998</v>
      </c>
      <c r="R78" s="79">
        <f>'Fluxo Consolidado'!J73</f>
        <v>0</v>
      </c>
      <c r="S78" s="79">
        <f>'Fluxo Consolidado'!K73</f>
        <v>0</v>
      </c>
      <c r="T78" s="79">
        <f t="shared" si="55"/>
        <v>0</v>
      </c>
      <c r="U78" s="79">
        <v>2</v>
      </c>
      <c r="V78" s="79">
        <f t="shared" si="53"/>
        <v>3645894.4038333334</v>
      </c>
      <c r="W78" s="79">
        <v>0</v>
      </c>
      <c r="X78" s="79">
        <v>0</v>
      </c>
      <c r="Y78" s="71">
        <v>0</v>
      </c>
      <c r="Z78" s="38">
        <f t="shared" si="36"/>
        <v>4.9783519991640095E-2</v>
      </c>
      <c r="AA78" s="80">
        <v>0</v>
      </c>
      <c r="AB78" s="81">
        <f>+'Fluxo Consolidado'!P73</f>
        <v>-1918129.6881143395</v>
      </c>
      <c r="AC78" s="208">
        <f>'Fluxo Consolidado'!Q73</f>
        <v>-209557.71016590769</v>
      </c>
      <c r="AD78" s="81">
        <f>+'Fluxo Consolidado'!R73</f>
        <v>-1280592.3076923075</v>
      </c>
      <c r="AE78" s="81">
        <f>+'Fluxo Consolidado'!S73</f>
        <v>-100000</v>
      </c>
      <c r="AF78" s="208">
        <f>'Fluxo Consolidado'!T73</f>
        <v>-60000</v>
      </c>
      <c r="AG78" s="81">
        <f>+'Fluxo Consolidado'!U73</f>
        <v>0</v>
      </c>
      <c r="AH78" s="246">
        <f>+'Fluxo Consolidado'!V73</f>
        <v>-40882.573224881242</v>
      </c>
      <c r="AI78" s="125" t="e">
        <f>+'Fluxo Consolidado'!#REF!</f>
        <v>#REF!</v>
      </c>
      <c r="AJ78" s="82">
        <f>+'Fluxo Consolidado'!X73</f>
        <v>-2000</v>
      </c>
      <c r="AK78" s="85">
        <v>0</v>
      </c>
      <c r="AL78" s="85">
        <f>+'Fluxo Consolidado'!Y73+'Fluxo Consolidado'!Z73+'Fluxo Consolidado'!AA73</f>
        <v>-316118.0387892857</v>
      </c>
      <c r="AM78" s="85">
        <f>+'Fluxo Consolidado'!AB73+'Fluxo Consolidado'!AC73</f>
        <v>-76812.621874999997</v>
      </c>
      <c r="AN78" s="103">
        <f>+'Fluxo Consolidado'!AD73</f>
        <v>0</v>
      </c>
      <c r="AO78" s="85">
        <f>'Fluxo Consolidado'!AE73+'Fluxo Consolidado'!AF73</f>
        <v>-130800</v>
      </c>
      <c r="AP78" s="83">
        <f>+'Fluxo Consolidado'!AG73</f>
        <v>0</v>
      </c>
      <c r="AQ78" s="119">
        <f>+'Fluxo Consolidado'!AH73</f>
        <v>-207354.2913542857</v>
      </c>
      <c r="AR78" s="85">
        <f>+'Fluxo Consolidado'!AI73</f>
        <v>-9209.81</v>
      </c>
      <c r="AS78" s="85">
        <f>+'Fluxo Consolidado'!AJ73</f>
        <v>-7969</v>
      </c>
      <c r="AT78" s="85">
        <v>0</v>
      </c>
      <c r="AU78" s="85">
        <f>+'Fluxo Consolidado'!AK73</f>
        <v>-16646.083324458661</v>
      </c>
      <c r="AV78" s="84">
        <f>+'Fluxo Consolidado'!AL73</f>
        <v>-19689.79</v>
      </c>
      <c r="AW78" s="82">
        <f t="shared" si="44"/>
        <v>-41470.858270857141</v>
      </c>
      <c r="AX78" s="82">
        <v>0</v>
      </c>
      <c r="AY78" s="82">
        <f>(-V77*$AY$1)+'Fluxo Consolidado'!AO73</f>
        <v>-138236.19423619047</v>
      </c>
      <c r="AZ78" s="84">
        <v>0</v>
      </c>
      <c r="BA78" s="122">
        <v>0</v>
      </c>
      <c r="BB78" s="81">
        <v>0</v>
      </c>
      <c r="BC78" s="81">
        <f>+'Fluxo Consolidado'!AP73</f>
        <v>0</v>
      </c>
      <c r="BD78" s="125">
        <f>+'Fluxo Consolidado'!AQ73</f>
        <v>0</v>
      </c>
      <c r="BE78" s="133"/>
      <c r="BF78" s="78">
        <f t="shared" si="57"/>
        <v>3645894.4038333334</v>
      </c>
      <c r="BG78" s="70" t="e">
        <f t="shared" si="58"/>
        <v>#REF!</v>
      </c>
      <c r="BH78" s="70" t="e">
        <f t="shared" si="43"/>
        <v>#REF!</v>
      </c>
      <c r="BI78" s="71" t="e">
        <f t="shared" si="42"/>
        <v>#REF!</v>
      </c>
      <c r="BJ78" s="201" t="e">
        <f t="shared" si="61"/>
        <v>#REF!</v>
      </c>
      <c r="BL78" s="210"/>
      <c r="BQ78" s="82">
        <f t="shared" si="56"/>
        <v>1918129.6881143395</v>
      </c>
      <c r="BR78" s="223">
        <v>-489562.41899804835</v>
      </c>
      <c r="BS78" s="223">
        <v>-94656.424029262809</v>
      </c>
      <c r="BT78" s="223">
        <v>0</v>
      </c>
      <c r="BU78" s="223">
        <v>-3592581.8450476187</v>
      </c>
      <c r="BV78" s="223">
        <v>3310093.8513571429</v>
      </c>
      <c r="BW78" s="223">
        <f t="shared" si="45"/>
        <v>1333910.8450870283</v>
      </c>
      <c r="BX78" s="83">
        <f t="shared" si="54"/>
        <v>-584218.84302731114</v>
      </c>
      <c r="BY78" s="78">
        <f t="shared" si="48"/>
        <v>4697317.2552298857</v>
      </c>
      <c r="BZ78" s="70" t="e">
        <f t="shared" si="49"/>
        <v>#REF!</v>
      </c>
      <c r="CA78" s="70" t="e">
        <f t="shared" si="50"/>
        <v>#REF!</v>
      </c>
      <c r="CB78" s="71" t="e">
        <f t="shared" si="51"/>
        <v>#REF!</v>
      </c>
      <c r="CC78" s="270" t="e">
        <f t="shared" si="52"/>
        <v>#REF!</v>
      </c>
      <c r="CD78" s="201"/>
      <c r="CE78" s="69" t="e">
        <f t="shared" si="59"/>
        <v>#REF!</v>
      </c>
      <c r="CF78" s="71" t="e">
        <f t="shared" si="60"/>
        <v>#REF!</v>
      </c>
    </row>
    <row r="79" spans="1:84" ht="15" customHeight="1">
      <c r="A79" s="35">
        <f t="shared" si="47"/>
        <v>17</v>
      </c>
      <c r="B79" s="87"/>
      <c r="C79" s="36">
        <v>43770</v>
      </c>
      <c r="D79" s="75">
        <v>0</v>
      </c>
      <c r="E79" s="110">
        <v>0</v>
      </c>
      <c r="F79" s="110">
        <v>0</v>
      </c>
      <c r="G79" s="110">
        <v>0</v>
      </c>
      <c r="H79" s="76">
        <v>0</v>
      </c>
      <c r="I79" s="76">
        <v>0</v>
      </c>
      <c r="J79" s="77">
        <v>0</v>
      </c>
      <c r="K79" s="69">
        <f>+'Fluxo Consolidado'!D74</f>
        <v>1128741.5161904762</v>
      </c>
      <c r="L79" s="78">
        <f>+'Fluxo Consolidado'!E74</f>
        <v>2472474.5699999998</v>
      </c>
      <c r="M79" s="78">
        <f>+'Fluxo Consolidado'!F74</f>
        <v>69110.337499999994</v>
      </c>
      <c r="N79" s="70">
        <v>0</v>
      </c>
      <c r="O79" s="242">
        <f t="shared" si="37"/>
        <v>0.1</v>
      </c>
      <c r="P79" s="70">
        <f>+'Fluxo Consolidado'!H74</f>
        <v>-247247.45699999999</v>
      </c>
      <c r="Q79" s="70">
        <f>+'Fluxo Consolidado'!I74</f>
        <v>247892.89</v>
      </c>
      <c r="R79" s="79">
        <f>'Fluxo Consolidado'!J74</f>
        <v>0</v>
      </c>
      <c r="S79" s="79">
        <f>'Fluxo Consolidado'!K74</f>
        <v>0</v>
      </c>
      <c r="T79" s="79">
        <f t="shared" si="55"/>
        <v>0</v>
      </c>
      <c r="U79" s="79">
        <v>2</v>
      </c>
      <c r="V79" s="79">
        <f t="shared" si="53"/>
        <v>3670971.8566904762</v>
      </c>
      <c r="W79" s="79">
        <v>0</v>
      </c>
      <c r="X79" s="79">
        <v>0</v>
      </c>
      <c r="Y79" s="71">
        <v>0</v>
      </c>
      <c r="Z79" s="38">
        <f t="shared" si="36"/>
        <v>4.6428559556705253E-2</v>
      </c>
      <c r="AA79" s="80">
        <v>0</v>
      </c>
      <c r="AB79" s="81">
        <f>+'Fluxo Consolidado'!P74</f>
        <v>-1918129.6881143395</v>
      </c>
      <c r="AC79" s="208">
        <f>'Fluxo Consolidado'!Q74</f>
        <v>-209557.7101659076</v>
      </c>
      <c r="AD79" s="81">
        <f>+'Fluxo Consolidado'!R74</f>
        <v>-1037367.3076923075</v>
      </c>
      <c r="AE79" s="81">
        <f>+'Fluxo Consolidado'!S74</f>
        <v>-100000</v>
      </c>
      <c r="AF79" s="208">
        <f>'Fluxo Consolidado'!T74</f>
        <v>-60000</v>
      </c>
      <c r="AG79" s="81">
        <f>+'Fluxo Consolidado'!U74</f>
        <v>0</v>
      </c>
      <c r="AH79" s="246">
        <f>+'Fluxo Consolidado'!V74</f>
        <v>-40882.573224881242</v>
      </c>
      <c r="AI79" s="125" t="e">
        <f>+'Fluxo Consolidado'!#REF!</f>
        <v>#REF!</v>
      </c>
      <c r="AJ79" s="82">
        <f>+'Fluxo Consolidado'!X74</f>
        <v>-2000</v>
      </c>
      <c r="AK79" s="85">
        <v>0</v>
      </c>
      <c r="AL79" s="85">
        <f>+'Fluxo Consolidado'!Y74+'Fluxo Consolidado'!Z74+'Fluxo Consolidado'!AA74</f>
        <v>-313641.88106785715</v>
      </c>
      <c r="AM79" s="85">
        <f>+'Fluxo Consolidado'!AB74+'Fluxo Consolidado'!AC74</f>
        <v>-77498.356116071431</v>
      </c>
      <c r="AN79" s="103">
        <f>+'Fluxo Consolidado'!AD74</f>
        <v>0</v>
      </c>
      <c r="AO79" s="85">
        <f>'Fluxo Consolidado'!AE74+'Fluxo Consolidado'!AF74</f>
        <v>-120400</v>
      </c>
      <c r="AP79" s="83">
        <f>+'Fluxo Consolidado'!AG74</f>
        <v>0</v>
      </c>
      <c r="AQ79" s="119">
        <f>+'Fluxo Consolidado'!AH74</f>
        <v>-218753.66422999999</v>
      </c>
      <c r="AR79" s="85">
        <f>+'Fluxo Consolidado'!AI74</f>
        <v>-9209.81</v>
      </c>
      <c r="AS79" s="85">
        <f>+'Fluxo Consolidado'!AJ74</f>
        <v>-7969</v>
      </c>
      <c r="AT79" s="85">
        <v>0</v>
      </c>
      <c r="AU79" s="85">
        <f>+'Fluxo Consolidado'!AK74</f>
        <v>-16934.841168466141</v>
      </c>
      <c r="AV79" s="84">
        <f>+'Fluxo Consolidado'!AL74</f>
        <v>-18481.86</v>
      </c>
      <c r="AW79" s="82">
        <f t="shared" si="44"/>
        <v>-43750.732845999999</v>
      </c>
      <c r="AX79" s="82">
        <v>0</v>
      </c>
      <c r="AY79" s="82">
        <f>(-V78*$AY$1)+'Fluxo Consolidado'!AO74</f>
        <v>-145835.77615333334</v>
      </c>
      <c r="AZ79" s="84">
        <v>0</v>
      </c>
      <c r="BA79" s="122">
        <v>0</v>
      </c>
      <c r="BB79" s="81">
        <v>0</v>
      </c>
      <c r="BC79" s="81">
        <f>+'Fluxo Consolidado'!AP74</f>
        <v>0</v>
      </c>
      <c r="BD79" s="125">
        <f>+'Fluxo Consolidado'!AQ74</f>
        <v>0</v>
      </c>
      <c r="BE79" s="133"/>
      <c r="BF79" s="78">
        <f t="shared" si="57"/>
        <v>3670971.8566904762</v>
      </c>
      <c r="BG79" s="70" t="e">
        <f t="shared" si="58"/>
        <v>#REF!</v>
      </c>
      <c r="BH79" s="70" t="e">
        <f t="shared" si="43"/>
        <v>#REF!</v>
      </c>
      <c r="BI79" s="71" t="e">
        <f t="shared" si="42"/>
        <v>#REF!</v>
      </c>
      <c r="BJ79" s="201" t="e">
        <f t="shared" si="61"/>
        <v>#REF!</v>
      </c>
      <c r="BL79" s="210"/>
      <c r="BQ79" s="82">
        <f t="shared" si="56"/>
        <v>1918129.6881143395</v>
      </c>
      <c r="BR79" s="223">
        <v>-489562.41899804835</v>
      </c>
      <c r="BS79" s="223">
        <v>-92291.72588063516</v>
      </c>
      <c r="BT79" s="223">
        <v>0</v>
      </c>
      <c r="BU79" s="223">
        <v>-3669304.1602857141</v>
      </c>
      <c r="BV79" s="223">
        <v>3592581.8450476187</v>
      </c>
      <c r="BW79" s="223">
        <f t="shared" si="45"/>
        <v>1336275.5432356559</v>
      </c>
      <c r="BX79" s="83">
        <f t="shared" si="54"/>
        <v>-581854.1448786835</v>
      </c>
      <c r="BY79" s="78">
        <f t="shared" si="48"/>
        <v>4930525.0846880358</v>
      </c>
      <c r="BZ79" s="70" t="e">
        <f t="shared" si="49"/>
        <v>#REF!</v>
      </c>
      <c r="CA79" s="70" t="e">
        <f t="shared" si="50"/>
        <v>#REF!</v>
      </c>
      <c r="CB79" s="71" t="e">
        <f t="shared" si="51"/>
        <v>#REF!</v>
      </c>
      <c r="CC79" s="270" t="e">
        <f t="shared" si="52"/>
        <v>#REF!</v>
      </c>
      <c r="CD79" s="201"/>
      <c r="CE79" s="69" t="e">
        <f t="shared" si="59"/>
        <v>#REF!</v>
      </c>
      <c r="CF79" s="71" t="e">
        <f t="shared" si="60"/>
        <v>#REF!</v>
      </c>
    </row>
    <row r="80" spans="1:84" ht="15" customHeight="1">
      <c r="A80" s="35">
        <f t="shared" si="47"/>
        <v>18</v>
      </c>
      <c r="B80" s="87" t="s">
        <v>37</v>
      </c>
      <c r="C80" s="36">
        <v>43800</v>
      </c>
      <c r="D80" s="75">
        <v>0</v>
      </c>
      <c r="E80" s="110">
        <v>0</v>
      </c>
      <c r="F80" s="110">
        <v>0</v>
      </c>
      <c r="G80" s="110">
        <v>0</v>
      </c>
      <c r="H80" s="76">
        <v>0</v>
      </c>
      <c r="I80" s="76">
        <v>0</v>
      </c>
      <c r="J80" s="77">
        <v>0</v>
      </c>
      <c r="K80" s="69">
        <f>+'Fluxo Consolidado'!D75</f>
        <v>1176086.9395238096</v>
      </c>
      <c r="L80" s="78">
        <f>+'Fluxo Consolidado'!E75</f>
        <v>2473021.81</v>
      </c>
      <c r="M80" s="78">
        <f>+'Fluxo Consolidado'!F75</f>
        <v>69110.337499999994</v>
      </c>
      <c r="N80" s="70">
        <v>0</v>
      </c>
      <c r="O80" s="242">
        <f t="shared" si="37"/>
        <v>0.1</v>
      </c>
      <c r="P80" s="70">
        <f>+'Fluxo Consolidado'!H75</f>
        <v>-247302.18100000001</v>
      </c>
      <c r="Q80" s="70">
        <f>+'Fluxo Consolidado'!I75</f>
        <v>247820.557</v>
      </c>
      <c r="R80" s="79">
        <f>'Fluxo Consolidado'!J75</f>
        <v>0</v>
      </c>
      <c r="S80" s="79">
        <f>'Fluxo Consolidado'!K75</f>
        <v>0</v>
      </c>
      <c r="T80" s="79">
        <f t="shared" si="55"/>
        <v>0</v>
      </c>
      <c r="U80" s="79">
        <v>2</v>
      </c>
      <c r="V80" s="79">
        <f t="shared" si="53"/>
        <v>3718737.4630238093</v>
      </c>
      <c r="W80" s="79">
        <v>0</v>
      </c>
      <c r="X80" s="79">
        <v>0</v>
      </c>
      <c r="Y80" s="71">
        <v>0</v>
      </c>
      <c r="Z80" s="38">
        <f t="shared" si="36"/>
        <v>4.7302229286887723E-2</v>
      </c>
      <c r="AA80" s="80">
        <v>0</v>
      </c>
      <c r="AB80" s="81">
        <f>+'Fluxo Consolidado'!P75</f>
        <v>-2019083.8822256206</v>
      </c>
      <c r="AC80" s="208">
        <f>'Fluxo Consolidado'!Q75</f>
        <v>-220587.06333253428</v>
      </c>
      <c r="AD80" s="81">
        <f>+'Fluxo Consolidado'!R75</f>
        <v>-988722.30769230775</v>
      </c>
      <c r="AE80" s="81">
        <f>+'Fluxo Consolidado'!S75</f>
        <v>-100000</v>
      </c>
      <c r="AF80" s="208">
        <f>'Fluxo Consolidado'!T75</f>
        <v>-60000</v>
      </c>
      <c r="AG80" s="81">
        <f>+'Fluxo Consolidado'!U75</f>
        <v>0</v>
      </c>
      <c r="AH80" s="246">
        <f>+'Fluxo Consolidado'!V75</f>
        <v>-40882.573224881242</v>
      </c>
      <c r="AI80" s="125" t="e">
        <f>+'Fluxo Consolidado'!#REF!</f>
        <v>#REF!</v>
      </c>
      <c r="AJ80" s="82">
        <f>+'Fluxo Consolidado'!X75</f>
        <v>-2000</v>
      </c>
      <c r="AK80" s="85">
        <v>0</v>
      </c>
      <c r="AL80" s="85">
        <f>+'Fluxo Consolidado'!Y75+'Fluxo Consolidado'!Z75+'Fluxo Consolidado'!AA75</f>
        <v>-298825.36405714287</v>
      </c>
      <c r="AM80" s="85">
        <f>+'Fluxo Consolidado'!AB75+'Fluxo Consolidado'!AC75</f>
        <v>-78840.85986607142</v>
      </c>
      <c r="AN80" s="103">
        <f>+'Fluxo Consolidado'!AD75</f>
        <v>0</v>
      </c>
      <c r="AO80" s="85">
        <f>'Fluxo Consolidado'!AE75+'Fluxo Consolidado'!AF75</f>
        <v>-132000</v>
      </c>
      <c r="AP80" s="83">
        <f>+'Fluxo Consolidado'!AG75</f>
        <v>0</v>
      </c>
      <c r="AQ80" s="119">
        <f>+'Fluxo Consolidado'!AH75</f>
        <v>-220258.31140142857</v>
      </c>
      <c r="AR80" s="85">
        <f>+'Fluxo Consolidado'!AI75</f>
        <v>-9209.81</v>
      </c>
      <c r="AS80" s="85">
        <f>+'Fluxo Consolidado'!AJ75</f>
        <v>-7969</v>
      </c>
      <c r="AT80" s="85">
        <v>0</v>
      </c>
      <c r="AU80" s="85">
        <f>+'Fluxo Consolidado'!AK75</f>
        <v>-16761.086159764258</v>
      </c>
      <c r="AV80" s="84">
        <f>+'Fluxo Consolidado'!AL75</f>
        <v>-17629.73</v>
      </c>
      <c r="AW80" s="82">
        <f t="shared" si="44"/>
        <v>-44051.662280285716</v>
      </c>
      <c r="AX80" s="82">
        <v>0</v>
      </c>
      <c r="AY80" s="82">
        <f>(-V79*$AY$1)+'Fluxo Consolidado'!AO75</f>
        <v>-146838.87426761904</v>
      </c>
      <c r="AZ80" s="84">
        <v>0</v>
      </c>
      <c r="BA80" s="122">
        <v>0</v>
      </c>
      <c r="BB80" s="81">
        <v>0</v>
      </c>
      <c r="BC80" s="81">
        <f>+'Fluxo Consolidado'!AP75</f>
        <v>0</v>
      </c>
      <c r="BD80" s="125">
        <f>+'Fluxo Consolidado'!AQ75</f>
        <v>0</v>
      </c>
      <c r="BE80" s="133"/>
      <c r="BF80" s="78">
        <f t="shared" si="57"/>
        <v>3718737.4630238093</v>
      </c>
      <c r="BG80" s="70" t="e">
        <f t="shared" si="58"/>
        <v>#REF!</v>
      </c>
      <c r="BH80" s="70" t="e">
        <f t="shared" si="43"/>
        <v>#REF!</v>
      </c>
      <c r="BI80" s="71" t="e">
        <f t="shared" si="42"/>
        <v>#REF!</v>
      </c>
      <c r="BJ80" s="201" t="e">
        <f t="shared" si="61"/>
        <v>#REF!</v>
      </c>
      <c r="BL80" s="210"/>
      <c r="BQ80" s="82">
        <f t="shared" si="56"/>
        <v>1918129.6881143395</v>
      </c>
      <c r="BR80" s="223">
        <v>-489562.41899804835</v>
      </c>
      <c r="BS80" s="223">
        <v>-89994.07445579693</v>
      </c>
      <c r="BT80" s="223">
        <v>0</v>
      </c>
      <c r="BU80" s="223">
        <v>-3754154.6338333334</v>
      </c>
      <c r="BV80" s="223">
        <v>3669304.1602857141</v>
      </c>
      <c r="BW80" s="223">
        <f t="shared" si="45"/>
        <v>1338573.1946604941</v>
      </c>
      <c r="BX80" s="83">
        <f t="shared" si="54"/>
        <v>-579556.49345384527</v>
      </c>
      <c r="BY80" s="78">
        <f t="shared" si="48"/>
        <v>4972460.184136685</v>
      </c>
      <c r="BZ80" s="70" t="e">
        <f t="shared" si="49"/>
        <v>#REF!</v>
      </c>
      <c r="CA80" s="70" t="e">
        <f t="shared" si="50"/>
        <v>#REF!</v>
      </c>
      <c r="CB80" s="71" t="e">
        <f>CA80+CB79</f>
        <v>#REF!</v>
      </c>
      <c r="CC80" s="270" t="e">
        <f t="shared" si="52"/>
        <v>#REF!</v>
      </c>
      <c r="CD80" s="201"/>
      <c r="CE80" s="69" t="e">
        <f t="shared" si="59"/>
        <v>#REF!</v>
      </c>
      <c r="CF80" s="71" t="e">
        <f t="shared" si="60"/>
        <v>#REF!</v>
      </c>
    </row>
    <row r="81" spans="1:84" ht="15" customHeight="1">
      <c r="A81" s="35">
        <f t="shared" si="47"/>
        <v>19</v>
      </c>
      <c r="B81" s="87"/>
      <c r="C81" s="36">
        <v>43831</v>
      </c>
      <c r="D81" s="75">
        <v>0</v>
      </c>
      <c r="E81" s="110">
        <v>0</v>
      </c>
      <c r="F81" s="110">
        <v>0</v>
      </c>
      <c r="G81" s="110">
        <v>0</v>
      </c>
      <c r="H81" s="76">
        <v>0</v>
      </c>
      <c r="I81" s="76">
        <v>0</v>
      </c>
      <c r="J81" s="77">
        <v>0</v>
      </c>
      <c r="K81" s="69">
        <f>+'Fluxo Consolidado'!D76</f>
        <v>1259824.2552380953</v>
      </c>
      <c r="L81" s="78">
        <f>+'Fluxo Consolidado'!E76</f>
        <v>2470659.0699999998</v>
      </c>
      <c r="M81" s="78">
        <f>+'Fluxo Consolidado'!F76</f>
        <v>69110.337499999994</v>
      </c>
      <c r="N81" s="70">
        <v>0</v>
      </c>
      <c r="O81" s="242">
        <f t="shared" si="37"/>
        <v>0.1</v>
      </c>
      <c r="P81" s="70">
        <f>+'Fluxo Consolidado'!H76</f>
        <v>-247065.90700000001</v>
      </c>
      <c r="Q81" s="70">
        <f>+'Fluxo Consolidado'!I76</f>
        <v>247344.323</v>
      </c>
      <c r="R81" s="79">
        <f>'Fluxo Consolidado'!J76</f>
        <v>0</v>
      </c>
      <c r="S81" s="79">
        <f>'Fluxo Consolidado'!K76</f>
        <v>0</v>
      </c>
      <c r="T81" s="79">
        <f t="shared" si="55"/>
        <v>0</v>
      </c>
      <c r="U81" s="79">
        <v>2</v>
      </c>
      <c r="V81" s="79">
        <f t="shared" si="53"/>
        <v>3799872.0787380948</v>
      </c>
      <c r="W81" s="79">
        <v>0</v>
      </c>
      <c r="X81" s="79">
        <v>0</v>
      </c>
      <c r="Y81" s="71">
        <v>0</v>
      </c>
      <c r="Z81" s="38">
        <f t="shared" si="36"/>
        <v>3.6692274209897166E-2</v>
      </c>
      <c r="AA81" s="80">
        <v>0</v>
      </c>
      <c r="AB81" s="81">
        <f>+'Fluxo Consolidado'!P76</f>
        <v>-1413358.7175579343</v>
      </c>
      <c r="AC81" s="208">
        <f>'Fluxo Consolidado'!Q76</f>
        <v>-154410.94433277394</v>
      </c>
      <c r="AD81" s="81">
        <f>+'Fluxo Consolidado'!R76</f>
        <v>-891432.30769230751</v>
      </c>
      <c r="AE81" s="81">
        <f>+'Fluxo Consolidado'!S76</f>
        <v>-100000</v>
      </c>
      <c r="AF81" s="208">
        <f>'Fluxo Consolidado'!T76</f>
        <v>-60000</v>
      </c>
      <c r="AG81" s="81">
        <f>+'Fluxo Consolidado'!U76</f>
        <v>0</v>
      </c>
      <c r="AH81" s="246">
        <f>+'Fluxo Consolidado'!V76</f>
        <v>-40882.573224881242</v>
      </c>
      <c r="AI81" s="125" t="e">
        <f>+'Fluxo Consolidado'!#REF!</f>
        <v>#REF!</v>
      </c>
      <c r="AJ81" s="82">
        <f>+'Fluxo Consolidado'!X76</f>
        <v>-2000</v>
      </c>
      <c r="AK81" s="85">
        <v>0</v>
      </c>
      <c r="AL81" s="85">
        <f>+'Fluxo Consolidado'!Y76+'Fluxo Consolidado'!Z76+'Fluxo Consolidado'!AA76</f>
        <v>-277661.9926285714</v>
      </c>
      <c r="AM81" s="85">
        <f>+'Fluxo Consolidado'!AB76+'Fluxo Consolidado'!AC76</f>
        <v>-82043.172098214287</v>
      </c>
      <c r="AN81" s="103">
        <f>+'Fluxo Consolidado'!AD76</f>
        <v>0</v>
      </c>
      <c r="AO81" s="85">
        <f>'Fluxo Consolidado'!AE76+'Fluxo Consolidado'!AF76</f>
        <v>-149066.66666666666</v>
      </c>
      <c r="AP81" s="83">
        <f>+'Fluxo Consolidado'!AG76</f>
        <v>0</v>
      </c>
      <c r="AQ81" s="119">
        <f>+'Fluxo Consolidado'!AH76</f>
        <v>-223124.24778142854</v>
      </c>
      <c r="AR81" s="85">
        <f>+'Fluxo Consolidado'!AI76</f>
        <v>-9209.81</v>
      </c>
      <c r="AS81" s="85">
        <f>+'Fluxo Consolidado'!AJ76</f>
        <v>-7969</v>
      </c>
      <c r="AT81" s="85">
        <v>0</v>
      </c>
      <c r="AU81" s="85">
        <f>+'Fluxo Consolidado'!AK76</f>
        <v>-16865.733433477038</v>
      </c>
      <c r="AV81" s="84">
        <f>+'Fluxo Consolidado'!AL76</f>
        <v>-22476.67</v>
      </c>
      <c r="AW81" s="82">
        <f t="shared" si="44"/>
        <v>-44624.849556285713</v>
      </c>
      <c r="AX81" s="82">
        <v>0</v>
      </c>
      <c r="AY81" s="82">
        <f>(-V80*$AY$1)+'Fluxo Consolidado'!AO76</f>
        <v>-148749.49852095239</v>
      </c>
      <c r="AZ81" s="84">
        <v>0</v>
      </c>
      <c r="BA81" s="122">
        <v>0</v>
      </c>
      <c r="BB81" s="81">
        <v>0</v>
      </c>
      <c r="BC81" s="81">
        <f>+'Fluxo Consolidado'!AP76</f>
        <v>0</v>
      </c>
      <c r="BD81" s="125">
        <f>+'Fluxo Consolidado'!AQ76</f>
        <v>0</v>
      </c>
      <c r="BE81" s="133"/>
      <c r="BF81" s="78">
        <f t="shared" si="57"/>
        <v>3799872.0787380948</v>
      </c>
      <c r="BG81" s="70" t="e">
        <f t="shared" si="58"/>
        <v>#REF!</v>
      </c>
      <c r="BH81" s="70" t="e">
        <f t="shared" si="43"/>
        <v>#REF!</v>
      </c>
      <c r="BI81" s="71" t="e">
        <f t="shared" si="42"/>
        <v>#REF!</v>
      </c>
      <c r="BJ81" s="201" t="e">
        <f t="shared" si="61"/>
        <v>#REF!</v>
      </c>
      <c r="BK81" s="86"/>
      <c r="BL81" s="210"/>
      <c r="BQ81" s="82">
        <f t="shared" si="56"/>
        <v>2019083.8822256206</v>
      </c>
      <c r="BR81" s="223">
        <v>-489562.41899804835</v>
      </c>
      <c r="BS81" s="223">
        <v>-87761.568766593016</v>
      </c>
      <c r="BT81" s="223">
        <v>0</v>
      </c>
      <c r="BU81" s="223">
        <v>-3769632.2626624997</v>
      </c>
      <c r="BV81" s="223">
        <v>3754154.6338333334</v>
      </c>
      <c r="BW81" s="223">
        <f t="shared" si="45"/>
        <v>1441759.8944609792</v>
      </c>
      <c r="BX81" s="83">
        <f t="shared" si="54"/>
        <v>-577323.98776464141</v>
      </c>
      <c r="BY81" s="78">
        <f t="shared" si="48"/>
        <v>5226154.3443699069</v>
      </c>
      <c r="BZ81" s="70" t="e">
        <f t="shared" si="49"/>
        <v>#REF!</v>
      </c>
      <c r="CA81" s="70" t="e">
        <f t="shared" si="50"/>
        <v>#REF!</v>
      </c>
      <c r="CB81" s="71" t="e">
        <f t="shared" si="51"/>
        <v>#REF!</v>
      </c>
      <c r="CC81" s="270" t="e">
        <f t="shared" si="52"/>
        <v>#REF!</v>
      </c>
      <c r="CD81" s="201"/>
      <c r="CE81" s="69" t="e">
        <f t="shared" si="59"/>
        <v>#REF!</v>
      </c>
      <c r="CF81" s="71" t="e">
        <f t="shared" si="60"/>
        <v>#REF!</v>
      </c>
    </row>
    <row r="82" spans="1:84" ht="15" customHeight="1">
      <c r="A82" s="35">
        <f t="shared" si="47"/>
        <v>20</v>
      </c>
      <c r="B82" s="87"/>
      <c r="C82" s="36">
        <v>43862</v>
      </c>
      <c r="D82" s="75">
        <v>0</v>
      </c>
      <c r="E82" s="110">
        <v>0</v>
      </c>
      <c r="F82" s="110">
        <v>0</v>
      </c>
      <c r="G82" s="110">
        <v>0</v>
      </c>
      <c r="H82" s="76">
        <v>0</v>
      </c>
      <c r="I82" s="76">
        <v>0</v>
      </c>
      <c r="J82" s="77">
        <v>0</v>
      </c>
      <c r="K82" s="69">
        <f>+'Fluxo Consolidado'!D77</f>
        <v>1268342.8638095239</v>
      </c>
      <c r="L82" s="78">
        <f>+'Fluxo Consolidado'!E77</f>
        <v>2466681.64</v>
      </c>
      <c r="M82" s="78">
        <f>+'Fluxo Consolidado'!F77</f>
        <v>69110.337499999994</v>
      </c>
      <c r="N82" s="70">
        <v>0</v>
      </c>
      <c r="O82" s="242">
        <f t="shared" si="37"/>
        <v>0.1</v>
      </c>
      <c r="P82" s="70">
        <f>+'Fluxo Consolidado'!H77</f>
        <v>-246668.16400000002</v>
      </c>
      <c r="Q82" s="70">
        <f>+'Fluxo Consolidado'!I77</f>
        <v>247247.45699999999</v>
      </c>
      <c r="R82" s="79">
        <f>'Fluxo Consolidado'!J77</f>
        <v>18675.122519047</v>
      </c>
      <c r="S82" s="79">
        <f>'Fluxo Consolidado'!K77</f>
        <v>1</v>
      </c>
      <c r="T82" s="79">
        <f t="shared" si="55"/>
        <v>0</v>
      </c>
      <c r="U82" s="79">
        <v>2</v>
      </c>
      <c r="V82" s="79">
        <f t="shared" si="53"/>
        <v>3823389.2568285712</v>
      </c>
      <c r="W82" s="79">
        <v>0</v>
      </c>
      <c r="X82" s="79">
        <v>0</v>
      </c>
      <c r="Y82" s="71">
        <v>0</v>
      </c>
      <c r="Z82" s="38">
        <f t="shared" si="36"/>
        <v>2.9067889394487904E-2</v>
      </c>
      <c r="AA82" s="80">
        <v>0</v>
      </c>
      <c r="AB82" s="81">
        <v>-1009541.9411128103</v>
      </c>
      <c r="AC82" s="208">
        <v>-5481.71</v>
      </c>
      <c r="AD82" s="81">
        <f>+'Fluxo Consolidado'!R77</f>
        <v>-891432.30769230751</v>
      </c>
      <c r="AE82" s="81">
        <f>+'Fluxo Consolidado'!S77</f>
        <v>-100000</v>
      </c>
      <c r="AF82" s="208">
        <f>'Fluxo Consolidado'!T77</f>
        <v>-60000</v>
      </c>
      <c r="AG82" s="81">
        <f>+'Fluxo Consolidado'!U77</f>
        <v>0</v>
      </c>
      <c r="AH82" s="246">
        <f>+'Fluxo Consolidado'!V77</f>
        <v>-40882.573224881242</v>
      </c>
      <c r="AI82" s="125" t="e">
        <f>+'Fluxo Consolidado'!#REF!</f>
        <v>#REF!</v>
      </c>
      <c r="AJ82" s="82">
        <f>+'Fluxo Consolidado'!X77</f>
        <v>-2000</v>
      </c>
      <c r="AK82" s="85">
        <v>0</v>
      </c>
      <c r="AL82" s="85">
        <f>+'Fluxo Consolidado'!Y77+'Fluxo Consolidado'!Z77+'Fluxo Consolidado'!AA77</f>
        <v>-264117.49694999994</v>
      </c>
      <c r="AM82" s="85">
        <f>+'Fluxo Consolidado'!AB77+'Fluxo Consolidado'!AC77</f>
        <v>-82239.346383928569</v>
      </c>
      <c r="AN82" s="103">
        <f>+'Fluxo Consolidado'!AD77</f>
        <v>0</v>
      </c>
      <c r="AO82" s="85">
        <f>'Fluxo Consolidado'!AE77+'Fluxo Consolidado'!AF77</f>
        <v>-135600</v>
      </c>
      <c r="AP82" s="83">
        <f>+'Fluxo Consolidado'!AG77</f>
        <v>0</v>
      </c>
      <c r="AQ82" s="119">
        <f>+'Fluxo Consolidado'!AH77</f>
        <v>-227992.32472428569</v>
      </c>
      <c r="AR82" s="85">
        <f>+'Fluxo Consolidado'!AI77</f>
        <v>-9209.81</v>
      </c>
      <c r="AS82" s="85">
        <f>+'Fluxo Consolidado'!AJ77</f>
        <v>-7969</v>
      </c>
      <c r="AT82" s="85">
        <v>0</v>
      </c>
      <c r="AU82" s="85">
        <f>+'Fluxo Consolidado'!AK77</f>
        <v>-17048.520464445832</v>
      </c>
      <c r="AV82" s="84">
        <f>+'Fluxo Consolidado'!AL77</f>
        <v>-12670.56</v>
      </c>
      <c r="AW82" s="82">
        <f t="shared" si="44"/>
        <v>-45598.464944857136</v>
      </c>
      <c r="AX82" s="82">
        <v>0</v>
      </c>
      <c r="AY82" s="82">
        <f>(-V81*$AY$1)+'Fluxo Consolidado'!AO77</f>
        <v>-151994.88314952378</v>
      </c>
      <c r="AZ82" s="84">
        <v>0</v>
      </c>
      <c r="BA82" s="122">
        <v>0</v>
      </c>
      <c r="BB82" s="81">
        <v>0</v>
      </c>
      <c r="BC82" s="81">
        <f>+'Fluxo Consolidado'!AP77</f>
        <v>0</v>
      </c>
      <c r="BD82" s="125">
        <f>+'Fluxo Consolidado'!AQ77</f>
        <v>0</v>
      </c>
      <c r="BE82" s="133"/>
      <c r="BF82" s="78">
        <f t="shared" si="57"/>
        <v>3823389.2568285712</v>
      </c>
      <c r="BG82" s="70" t="e">
        <f t="shared" si="58"/>
        <v>#REF!</v>
      </c>
      <c r="BH82" s="70" t="e">
        <f t="shared" si="43"/>
        <v>#REF!</v>
      </c>
      <c r="BI82" s="71" t="e">
        <f t="shared" si="42"/>
        <v>#REF!</v>
      </c>
      <c r="BJ82" s="201" t="e">
        <f t="shared" si="61"/>
        <v>#REF!</v>
      </c>
      <c r="BM82" s="86"/>
      <c r="BQ82" s="82">
        <f t="shared" si="56"/>
        <v>1413358.7175579343</v>
      </c>
      <c r="BR82" s="223">
        <v>-489562.41899804835</v>
      </c>
      <c r="BS82" s="223">
        <v>-85592.361723936963</v>
      </c>
      <c r="BT82" s="223">
        <v>0</v>
      </c>
      <c r="BU82" s="223">
        <v>-3785174.8453940619</v>
      </c>
      <c r="BV82" s="223">
        <v>3769632.2626624997</v>
      </c>
      <c r="BW82" s="223">
        <f t="shared" si="45"/>
        <v>838203.93683594896</v>
      </c>
      <c r="BX82" s="83">
        <f t="shared" si="54"/>
        <v>-575154.78072198527</v>
      </c>
      <c r="BY82" s="78">
        <f t="shared" si="48"/>
        <v>4646050.6109329574</v>
      </c>
      <c r="BZ82" s="70" t="e">
        <f t="shared" si="49"/>
        <v>#REF!</v>
      </c>
      <c r="CA82" s="70" t="e">
        <f t="shared" si="50"/>
        <v>#REF!</v>
      </c>
      <c r="CB82" s="71" t="e">
        <f t="shared" si="51"/>
        <v>#REF!</v>
      </c>
      <c r="CC82" s="270" t="e">
        <f t="shared" si="52"/>
        <v>#REF!</v>
      </c>
      <c r="CD82" s="201"/>
      <c r="CE82" s="69" t="e">
        <f t="shared" si="59"/>
        <v>#REF!</v>
      </c>
      <c r="CF82" s="71" t="e">
        <f t="shared" si="60"/>
        <v>#REF!</v>
      </c>
    </row>
    <row r="83" spans="1:84" ht="15" customHeight="1">
      <c r="A83" s="35">
        <f t="shared" si="47"/>
        <v>21</v>
      </c>
      <c r="B83" s="87"/>
      <c r="C83" s="36">
        <v>43891</v>
      </c>
      <c r="D83" s="75">
        <v>0</v>
      </c>
      <c r="E83" s="110">
        <v>0</v>
      </c>
      <c r="F83" s="110">
        <v>0</v>
      </c>
      <c r="G83" s="110">
        <v>0</v>
      </c>
      <c r="H83" s="76">
        <v>0</v>
      </c>
      <c r="I83" s="76">
        <v>0</v>
      </c>
      <c r="J83" s="77">
        <v>0</v>
      </c>
      <c r="K83" s="69">
        <f>+'Fluxo Consolidado'!D78</f>
        <v>1268342.8638095239</v>
      </c>
      <c r="L83" s="78">
        <f>+'Fluxo Consolidado'!E78</f>
        <v>2460818.41</v>
      </c>
      <c r="M83" s="78">
        <f>+'Fluxo Consolidado'!F78</f>
        <v>69110.337499999994</v>
      </c>
      <c r="N83" s="70">
        <v>0</v>
      </c>
      <c r="O83" s="242">
        <f t="shared" si="37"/>
        <v>0.1</v>
      </c>
      <c r="P83" s="70">
        <f>+'Fluxo Consolidado'!H78</f>
        <v>-246081.84100000001</v>
      </c>
      <c r="Q83" s="70">
        <f>+'Fluxo Consolidado'!I78</f>
        <v>247302.18100000001</v>
      </c>
      <c r="R83" s="79">
        <f>'Fluxo Consolidado'!J78</f>
        <v>37384.841769939288</v>
      </c>
      <c r="S83" s="79">
        <f>'Fluxo Consolidado'!K78</f>
        <v>2</v>
      </c>
      <c r="T83" s="79">
        <f t="shared" si="55"/>
        <v>0</v>
      </c>
      <c r="U83" s="79">
        <v>2</v>
      </c>
      <c r="V83" s="79">
        <f t="shared" si="53"/>
        <v>3836876.7930794633</v>
      </c>
      <c r="W83" s="79">
        <v>0</v>
      </c>
      <c r="X83" s="79">
        <v>0</v>
      </c>
      <c r="Y83" s="71">
        <v>0</v>
      </c>
      <c r="Z83" s="38">
        <f t="shared" si="36"/>
        <v>2.4209044692243838E-2</v>
      </c>
      <c r="AA83" s="80">
        <v>0</v>
      </c>
      <c r="AB83" s="81">
        <v>-762771.35913421214</v>
      </c>
      <c r="AC83" s="208">
        <v>0</v>
      </c>
      <c r="AD83" s="81">
        <f>+'Fluxo Consolidado'!R78</f>
        <v>-891432.30769230751</v>
      </c>
      <c r="AE83" s="81">
        <f>+'Fluxo Consolidado'!S78</f>
        <v>0</v>
      </c>
      <c r="AF83" s="208">
        <f>'Fluxo Consolidado'!T78</f>
        <v>-60000</v>
      </c>
      <c r="AG83" s="81">
        <f>+'Fluxo Consolidado'!U78</f>
        <v>0</v>
      </c>
      <c r="AH83" s="246">
        <f>+'Fluxo Consolidado'!V78</f>
        <v>-40882.573224881242</v>
      </c>
      <c r="AI83" s="125" t="e">
        <f>+'Fluxo Consolidado'!#REF!</f>
        <v>#REF!</v>
      </c>
      <c r="AJ83" s="82">
        <f>+'Fluxo Consolidado'!X78</f>
        <v>-2000</v>
      </c>
      <c r="AK83" s="85">
        <v>0</v>
      </c>
      <c r="AL83" s="85">
        <f>+'Fluxo Consolidado'!Y78+'Fluxo Consolidado'!Z78+'Fluxo Consolidado'!AA78</f>
        <v>-201967.65083571427</v>
      </c>
      <c r="AM83" s="85">
        <f>+'Fluxo Consolidado'!AB78+'Fluxo Consolidado'!AC78</f>
        <v>-82116.976383928573</v>
      </c>
      <c r="AN83" s="103">
        <f>+'Fluxo Consolidado'!AD78</f>
        <v>0</v>
      </c>
      <c r="AO83" s="85">
        <f>'Fluxo Consolidado'!AE78+'Fluxo Consolidado'!AF78</f>
        <v>-115600</v>
      </c>
      <c r="AP83" s="83">
        <f>+'Fluxo Consolidado'!AG78</f>
        <v>0</v>
      </c>
      <c r="AQ83" s="119">
        <f>+'Fluxo Consolidado'!AH78</f>
        <v>-229403.35540971428</v>
      </c>
      <c r="AR83" s="85">
        <f>+'Fluxo Consolidado'!AI78</f>
        <v>-9209.81</v>
      </c>
      <c r="AS83" s="85">
        <f>+'Fluxo Consolidado'!AJ78</f>
        <v>-7969</v>
      </c>
      <c r="AT83" s="85">
        <v>0</v>
      </c>
      <c r="AU83" s="85">
        <f>+'Fluxo Consolidado'!AK78</f>
        <v>-17104.460720534855</v>
      </c>
      <c r="AV83" s="84">
        <f>+'Fluxo Consolidado'!AL78</f>
        <v>-11864.03</v>
      </c>
      <c r="AW83" s="82">
        <f t="shared" si="44"/>
        <v>-45880.671081942855</v>
      </c>
      <c r="AX83" s="82">
        <v>0</v>
      </c>
      <c r="AY83" s="82">
        <f>(-V82*$AY$1)+'Fluxo Consolidado'!AO78</f>
        <v>-152935.57027314286</v>
      </c>
      <c r="AZ83" s="84">
        <v>0</v>
      </c>
      <c r="BA83" s="122">
        <v>0</v>
      </c>
      <c r="BB83" s="81">
        <v>0</v>
      </c>
      <c r="BC83" s="81">
        <f>+'Fluxo Consolidado'!AP78</f>
        <v>0</v>
      </c>
      <c r="BD83" s="125">
        <f>+'Fluxo Consolidado'!AQ78</f>
        <v>0</v>
      </c>
      <c r="BE83" s="133"/>
      <c r="BF83" s="78">
        <f t="shared" si="57"/>
        <v>3836876.7930794633</v>
      </c>
      <c r="BG83" s="70" t="e">
        <f t="shared" si="58"/>
        <v>#REF!</v>
      </c>
      <c r="BH83" s="70" t="e">
        <f t="shared" si="43"/>
        <v>#REF!</v>
      </c>
      <c r="BI83" s="71" t="e">
        <f t="shared" si="42"/>
        <v>#REF!</v>
      </c>
      <c r="BJ83" s="201" t="e">
        <f t="shared" si="61"/>
        <v>#REF!</v>
      </c>
      <c r="BO83" s="264"/>
      <c r="BQ83" s="82">
        <v>550001.14284439525</v>
      </c>
      <c r="BR83" s="223">
        <v>-489562.41899804835</v>
      </c>
      <c r="BS83" s="223">
        <v>-83484.65860960065</v>
      </c>
      <c r="BT83" s="223">
        <v>0</v>
      </c>
      <c r="BU83" s="223">
        <v>-3798597.8203104152</v>
      </c>
      <c r="BV83" s="223">
        <v>3785174.8453940619</v>
      </c>
      <c r="BW83" s="223">
        <f t="shared" si="45"/>
        <v>-23045.934763253754</v>
      </c>
      <c r="BX83" s="83">
        <f t="shared" si="54"/>
        <v>-573047.07760764903</v>
      </c>
      <c r="BY83" s="78">
        <f t="shared" si="48"/>
        <v>3800407.8833998563</v>
      </c>
      <c r="BZ83" s="70" t="e">
        <f t="shared" si="49"/>
        <v>#REF!</v>
      </c>
      <c r="CA83" s="70" t="e">
        <f t="shared" si="50"/>
        <v>#REF!</v>
      </c>
      <c r="CB83" s="71" t="e">
        <f t="shared" si="51"/>
        <v>#REF!</v>
      </c>
      <c r="CC83" s="270" t="e">
        <f t="shared" si="52"/>
        <v>#REF!</v>
      </c>
      <c r="CD83" s="201"/>
      <c r="CE83" s="69" t="e">
        <f t="shared" si="59"/>
        <v>#REF!</v>
      </c>
      <c r="CF83" s="71" t="e">
        <f t="shared" si="60"/>
        <v>#REF!</v>
      </c>
    </row>
    <row r="84" spans="1:84" ht="15" customHeight="1">
      <c r="A84" s="35">
        <f t="shared" si="47"/>
        <v>22</v>
      </c>
      <c r="B84" s="87"/>
      <c r="C84" s="36">
        <v>43922</v>
      </c>
      <c r="D84" s="75">
        <v>0</v>
      </c>
      <c r="E84" s="110">
        <v>0</v>
      </c>
      <c r="F84" s="110">
        <v>0</v>
      </c>
      <c r="G84" s="110">
        <v>0</v>
      </c>
      <c r="H84" s="76">
        <v>0</v>
      </c>
      <c r="I84" s="76">
        <v>0</v>
      </c>
      <c r="J84" s="77">
        <v>0</v>
      </c>
      <c r="K84" s="69">
        <f>+'Fluxo Consolidado'!D79</f>
        <v>1268342.8638095239</v>
      </c>
      <c r="L84" s="78">
        <f>+'Fluxo Consolidado'!E79</f>
        <v>2459122.27</v>
      </c>
      <c r="M84" s="78">
        <f>+'Fluxo Consolidado'!F79</f>
        <v>69110.337499999994</v>
      </c>
      <c r="N84" s="70">
        <v>0</v>
      </c>
      <c r="O84" s="242">
        <v>0.05</v>
      </c>
      <c r="P84" s="70">
        <f>+'Fluxo Consolidado'!H79</f>
        <v>-245912.22700000001</v>
      </c>
      <c r="Q84" s="70">
        <f>+'Fluxo Consolidado'!I79</f>
        <v>247065.90700000001</v>
      </c>
      <c r="R84" s="79">
        <f>'Fluxo Consolidado'!J79</f>
        <v>56192.002825318836</v>
      </c>
      <c r="S84" s="79">
        <f>'Fluxo Consolidado'!K79</f>
        <v>3</v>
      </c>
      <c r="T84" s="79">
        <f t="shared" si="55"/>
        <v>0</v>
      </c>
      <c r="U84" s="79">
        <v>2</v>
      </c>
      <c r="V84" s="79">
        <f t="shared" si="53"/>
        <v>3853921.1541348426</v>
      </c>
      <c r="W84" s="79">
        <v>0</v>
      </c>
      <c r="X84" s="79">
        <v>0</v>
      </c>
      <c r="Y84" s="71">
        <v>0</v>
      </c>
      <c r="Z84" s="38">
        <f t="shared" si="36"/>
        <v>1.2860024826305515E-2</v>
      </c>
      <c r="AA84" s="80">
        <v>0</v>
      </c>
      <c r="AB84" s="81">
        <f>+'Fluxo Consolidado'!P79</f>
        <v>0</v>
      </c>
      <c r="AC84" s="208">
        <f>'Fluxo Consolidado'!Q79</f>
        <v>0</v>
      </c>
      <c r="AD84" s="81">
        <f>+'Fluxo Consolidado'!R79</f>
        <v>-891432.30769230751</v>
      </c>
      <c r="AE84" s="81">
        <f>+'Fluxo Consolidado'!S79</f>
        <v>0</v>
      </c>
      <c r="AF84" s="208">
        <f>'Fluxo Consolidado'!T79</f>
        <v>0</v>
      </c>
      <c r="AG84" s="81">
        <f>+'Fluxo Consolidado'!U79</f>
        <v>0</v>
      </c>
      <c r="AH84" s="246">
        <f>+'Fluxo Consolidado'!V79</f>
        <v>-40882.573224881242</v>
      </c>
      <c r="AI84" s="125" t="e">
        <f>+'Fluxo Consolidado'!#REF!</f>
        <v>#REF!</v>
      </c>
      <c r="AJ84" s="82">
        <f>+'Fluxo Consolidado'!X79</f>
        <v>-2000</v>
      </c>
      <c r="AK84" s="85">
        <v>0</v>
      </c>
      <c r="AL84" s="85">
        <f>+'Fluxo Consolidado'!Y79+'Fluxo Consolidado'!Z79+'Fluxo Consolidado'!AA79</f>
        <v>-163864.23139285712</v>
      </c>
      <c r="AM84" s="85">
        <f>+'Fluxo Consolidado'!AB79+'Fluxo Consolidado'!AC79</f>
        <v>-82077.136383928577</v>
      </c>
      <c r="AN84" s="103">
        <f>+'Fluxo Consolidado'!AD79</f>
        <v>0</v>
      </c>
      <c r="AO84" s="85">
        <f>'Fluxo Consolidado'!AE79+'Fluxo Consolidado'!AF79</f>
        <v>-60800</v>
      </c>
      <c r="AP84" s="83">
        <f>+'Fluxo Consolidado'!AG79</f>
        <v>0</v>
      </c>
      <c r="AQ84" s="119">
        <f>+'Fluxo Consolidado'!AH79</f>
        <v>-230212.6075847678</v>
      </c>
      <c r="AR84" s="85">
        <f>+'Fluxo Consolidado'!AI79</f>
        <v>-9209.81</v>
      </c>
      <c r="AS84" s="85">
        <f>+'Fluxo Consolidado'!AJ79</f>
        <v>-23969</v>
      </c>
      <c r="AT84" s="85">
        <v>0</v>
      </c>
      <c r="AU84" s="85">
        <f>+'Fluxo Consolidado'!AK79</f>
        <v>-17294.413628603081</v>
      </c>
      <c r="AV84" s="84">
        <f>+'Fluxo Consolidado'!AL79</f>
        <v>-9614.48</v>
      </c>
      <c r="AW84" s="82">
        <f t="shared" si="44"/>
        <v>-46042.521516953559</v>
      </c>
      <c r="AX84" s="82">
        <v>0</v>
      </c>
      <c r="AY84" s="82">
        <f>(-V83*$AY$1)+'Fluxo Consolidado'!AO79</f>
        <v>-163475.07172317852</v>
      </c>
      <c r="AZ84" s="84">
        <v>0</v>
      </c>
      <c r="BA84" s="122">
        <v>0</v>
      </c>
      <c r="BB84" s="81">
        <v>0</v>
      </c>
      <c r="BC84" s="81">
        <f>+'Fluxo Consolidado'!AP79</f>
        <v>0</v>
      </c>
      <c r="BD84" s="125">
        <f>+'Fluxo Consolidado'!AQ79</f>
        <v>0</v>
      </c>
      <c r="BE84" s="133"/>
      <c r="BF84" s="78">
        <f t="shared" si="57"/>
        <v>3853921.1541348426</v>
      </c>
      <c r="BG84" s="70" t="e">
        <f t="shared" si="58"/>
        <v>#REF!</v>
      </c>
      <c r="BH84" s="70" t="e">
        <f t="shared" si="43"/>
        <v>#REF!</v>
      </c>
      <c r="BI84" s="71" t="e">
        <f t="shared" si="42"/>
        <v>#REF!</v>
      </c>
      <c r="BJ84" s="201" t="e">
        <f t="shared" si="61"/>
        <v>#REF!</v>
      </c>
      <c r="BQ84" s="82">
        <v>0</v>
      </c>
      <c r="BR84" s="223">
        <v>-489562.41899804835</v>
      </c>
      <c r="BS84" s="223">
        <v>-81436.71559133369</v>
      </c>
      <c r="BT84" s="223">
        <v>0</v>
      </c>
      <c r="BU84" s="223">
        <v>-3815512.0397525905</v>
      </c>
      <c r="BV84" s="223">
        <v>3798597.8203104152</v>
      </c>
      <c r="BW84" s="223">
        <f t="shared" si="45"/>
        <v>-570999.13458938198</v>
      </c>
      <c r="BX84" s="83">
        <f t="shared" si="54"/>
        <v>-570999.13458938198</v>
      </c>
      <c r="BY84" s="78">
        <f t="shared" si="48"/>
        <v>3266007.8001032853</v>
      </c>
      <c r="BZ84" s="70" t="e">
        <f t="shared" si="49"/>
        <v>#REF!</v>
      </c>
      <c r="CA84" s="70" t="e">
        <f t="shared" si="50"/>
        <v>#REF!</v>
      </c>
      <c r="CB84" s="71" t="e">
        <f t="shared" si="51"/>
        <v>#REF!</v>
      </c>
      <c r="CC84" s="270" t="e">
        <f t="shared" si="52"/>
        <v>#REF!</v>
      </c>
      <c r="CD84" s="201"/>
      <c r="CE84" s="69" t="e">
        <f t="shared" si="59"/>
        <v>#REF!</v>
      </c>
      <c r="CF84" s="71" t="e">
        <f t="shared" si="60"/>
        <v>#REF!</v>
      </c>
    </row>
    <row r="85" spans="1:84" ht="15" customHeight="1">
      <c r="A85" s="35">
        <f t="shared" si="47"/>
        <v>23</v>
      </c>
      <c r="B85" s="89"/>
      <c r="C85" s="36">
        <v>43952</v>
      </c>
      <c r="D85" s="75">
        <v>0</v>
      </c>
      <c r="E85" s="110">
        <v>0</v>
      </c>
      <c r="F85" s="110">
        <v>0</v>
      </c>
      <c r="G85" s="110">
        <v>0</v>
      </c>
      <c r="H85" s="76">
        <v>0</v>
      </c>
      <c r="I85" s="76">
        <v>0</v>
      </c>
      <c r="J85" s="77">
        <v>0</v>
      </c>
      <c r="K85" s="69">
        <f>+'Fluxo Consolidado'!D80</f>
        <v>1268342.8638095239</v>
      </c>
      <c r="L85" s="78">
        <f>+'Fluxo Consolidado'!E80</f>
        <v>2457836.44</v>
      </c>
      <c r="M85" s="78">
        <f>+'Fluxo Consolidado'!F80</f>
        <v>69110.337499999994</v>
      </c>
      <c r="N85" s="70">
        <v>0</v>
      </c>
      <c r="O85" s="242">
        <f t="shared" si="37"/>
        <v>0.05</v>
      </c>
      <c r="P85" s="70">
        <f>+'Fluxo Consolidado'!H80</f>
        <v>-245783.644</v>
      </c>
      <c r="Q85" s="70">
        <f>+'Fluxo Consolidado'!I80</f>
        <v>246668.16400000002</v>
      </c>
      <c r="R85" s="79">
        <f>'Fluxo Consolidado'!J80</f>
        <v>75084.378390273545</v>
      </c>
      <c r="S85" s="79">
        <f>'Fluxo Consolidado'!K80</f>
        <v>4</v>
      </c>
      <c r="T85" s="79">
        <f t="shared" si="55"/>
        <v>0</v>
      </c>
      <c r="U85" s="79">
        <v>2</v>
      </c>
      <c r="V85" s="79">
        <f t="shared" si="53"/>
        <v>3871258.5396997971</v>
      </c>
      <c r="W85" s="79">
        <v>0</v>
      </c>
      <c r="X85" s="79">
        <v>0</v>
      </c>
      <c r="Y85" s="71">
        <v>0</v>
      </c>
      <c r="Z85" s="38">
        <f t="shared" si="36"/>
        <v>1.2860024826305515E-2</v>
      </c>
      <c r="AA85" s="80">
        <v>0</v>
      </c>
      <c r="AB85" s="81">
        <f>+'Fluxo Consolidado'!P80</f>
        <v>0</v>
      </c>
      <c r="AC85" s="208">
        <f>'Fluxo Consolidado'!Q80</f>
        <v>0</v>
      </c>
      <c r="AD85" s="81">
        <f>+'Fluxo Consolidado'!R80</f>
        <v>-891432.30769230751</v>
      </c>
      <c r="AE85" s="81">
        <f>+'Fluxo Consolidado'!S80</f>
        <v>0</v>
      </c>
      <c r="AF85" s="208">
        <f>'Fluxo Consolidado'!T80</f>
        <v>0</v>
      </c>
      <c r="AG85" s="81">
        <f>+'Fluxo Consolidado'!U80</f>
        <v>0</v>
      </c>
      <c r="AH85" s="246">
        <f>+'Fluxo Consolidado'!V80</f>
        <v>-40882.573224881242</v>
      </c>
      <c r="AI85" s="125" t="e">
        <f>+'Fluxo Consolidado'!#REF!</f>
        <v>#REF!</v>
      </c>
      <c r="AJ85" s="82">
        <f>+'Fluxo Consolidado'!X80</f>
        <v>-2000</v>
      </c>
      <c r="AK85" s="85">
        <v>0</v>
      </c>
      <c r="AL85" s="85">
        <f>+'Fluxo Consolidado'!Y80+'Fluxo Consolidado'!Z80+'Fluxo Consolidado'!AA80</f>
        <v>-145455.46794642854</v>
      </c>
      <c r="AM85" s="85">
        <f>+'Fluxo Consolidado'!AB80+'Fluxo Consolidado'!AC80</f>
        <v>-82037.766383928567</v>
      </c>
      <c r="AN85" s="103">
        <f>+'Fluxo Consolidado'!AD80</f>
        <v>0</v>
      </c>
      <c r="AO85" s="85">
        <f>'Fluxo Consolidado'!AE80+'Fluxo Consolidado'!AF80</f>
        <v>-51200</v>
      </c>
      <c r="AP85" s="83">
        <f>+'Fluxo Consolidado'!AG80</f>
        <v>0</v>
      </c>
      <c r="AQ85" s="119">
        <f>+'Fluxo Consolidado'!AH80</f>
        <v>-231235.26924809054</v>
      </c>
      <c r="AR85" s="85">
        <f>+'Fluxo Consolidado'!AI80</f>
        <v>-9209.81</v>
      </c>
      <c r="AS85" s="85">
        <f>+'Fluxo Consolidado'!AJ80</f>
        <v>-23969</v>
      </c>
      <c r="AT85" s="85">
        <v>0</v>
      </c>
      <c r="AU85" s="85">
        <f>+'Fluxo Consolidado'!AK80</f>
        <v>-17778.584404487225</v>
      </c>
      <c r="AV85" s="84">
        <f>+'Fluxo Consolidado'!AL80</f>
        <v>-7356.99</v>
      </c>
      <c r="AW85" s="82">
        <f t="shared" si="44"/>
        <v>-46247.053849618111</v>
      </c>
      <c r="AX85" s="82">
        <v>0</v>
      </c>
      <c r="AY85" s="82">
        <f>(-V84*$AY$1)+'Fluxo Consolidado'!AO80</f>
        <v>-154156.84616539371</v>
      </c>
      <c r="AZ85" s="84">
        <v>0</v>
      </c>
      <c r="BA85" s="122">
        <v>0</v>
      </c>
      <c r="BB85" s="81">
        <v>0</v>
      </c>
      <c r="BC85" s="81">
        <f>+'Fluxo Consolidado'!AP80</f>
        <v>0</v>
      </c>
      <c r="BD85" s="125">
        <f>+'Fluxo Consolidado'!AQ80</f>
        <v>0</v>
      </c>
      <c r="BE85" s="133"/>
      <c r="BF85" s="78">
        <f t="shared" si="57"/>
        <v>3871258.5396997971</v>
      </c>
      <c r="BG85" s="70" t="e">
        <f t="shared" si="58"/>
        <v>#REF!</v>
      </c>
      <c r="BH85" s="70" t="e">
        <f t="shared" si="43"/>
        <v>#REF!</v>
      </c>
      <c r="BI85" s="71" t="e">
        <f t="shared" si="42"/>
        <v>#REF!</v>
      </c>
      <c r="BJ85" s="201" t="e">
        <f t="shared" si="61"/>
        <v>#REF!</v>
      </c>
      <c r="BQ85" s="82">
        <f>-AB84</f>
        <v>0</v>
      </c>
      <c r="BR85" s="223">
        <v>-489562.41899804835</v>
      </c>
      <c r="BS85" s="223">
        <v>-79446.838280083874</v>
      </c>
      <c r="BT85" s="223">
        <v>0</v>
      </c>
      <c r="BU85" s="223">
        <v>-3942291.1741870833</v>
      </c>
      <c r="BV85" s="223">
        <v>3815512.0397525905</v>
      </c>
      <c r="BW85" s="223">
        <f t="shared" si="45"/>
        <v>-569009.25727813225</v>
      </c>
      <c r="BX85" s="83">
        <f t="shared" si="54"/>
        <v>-569009.25727813225</v>
      </c>
      <c r="BY85" s="78">
        <f t="shared" si="48"/>
        <v>3175470.147987172</v>
      </c>
      <c r="BZ85" s="70" t="e">
        <f t="shared" si="49"/>
        <v>#REF!</v>
      </c>
      <c r="CA85" s="70" t="e">
        <f t="shared" si="50"/>
        <v>#REF!</v>
      </c>
      <c r="CB85" s="71" t="e">
        <f t="shared" si="51"/>
        <v>#REF!</v>
      </c>
      <c r="CC85" s="270" t="e">
        <f t="shared" si="52"/>
        <v>#REF!</v>
      </c>
      <c r="CD85" s="201"/>
      <c r="CE85" s="69" t="e">
        <f t="shared" si="59"/>
        <v>#REF!</v>
      </c>
      <c r="CF85" s="71" t="e">
        <f t="shared" si="60"/>
        <v>#REF!</v>
      </c>
    </row>
    <row r="86" spans="1:84" ht="15" customHeight="1">
      <c r="A86" s="35">
        <f t="shared" si="47"/>
        <v>24</v>
      </c>
      <c r="B86" s="89"/>
      <c r="C86" s="36">
        <v>43983</v>
      </c>
      <c r="D86" s="75">
        <v>0</v>
      </c>
      <c r="E86" s="110">
        <v>0</v>
      </c>
      <c r="F86" s="110">
        <v>0</v>
      </c>
      <c r="G86" s="110">
        <v>0</v>
      </c>
      <c r="H86" s="76">
        <v>0</v>
      </c>
      <c r="I86" s="76">
        <v>0</v>
      </c>
      <c r="J86" s="77">
        <v>0</v>
      </c>
      <c r="K86" s="69">
        <f>+'Fluxo Consolidado'!D81</f>
        <v>1268342.8638095239</v>
      </c>
      <c r="L86" s="78">
        <f>+'Fluxo Consolidado'!E81</f>
        <v>2451791.13</v>
      </c>
      <c r="M86" s="78">
        <f>+'Fluxo Consolidado'!F81</f>
        <v>69110.337499999994</v>
      </c>
      <c r="N86" s="70">
        <v>0</v>
      </c>
      <c r="O86" s="242">
        <f t="shared" si="37"/>
        <v>0.05</v>
      </c>
      <c r="P86" s="70">
        <f>+'Fluxo Consolidado'!H81</f>
        <v>-122589.55650000001</v>
      </c>
      <c r="Q86" s="70">
        <f>+'Fluxo Consolidado'!I81</f>
        <v>246081.84100000001</v>
      </c>
      <c r="R86" s="79">
        <f>'Fluxo Consolidado'!J81</f>
        <v>93938.045148223639</v>
      </c>
      <c r="S86" s="79">
        <f>'Fluxo Consolidado'!K81</f>
        <v>5</v>
      </c>
      <c r="T86" s="79">
        <f t="shared" si="55"/>
        <v>0</v>
      </c>
      <c r="U86" s="79">
        <v>2</v>
      </c>
      <c r="V86" s="79">
        <f t="shared" si="53"/>
        <v>4006674.6609577476</v>
      </c>
      <c r="W86" s="79">
        <v>0</v>
      </c>
      <c r="X86" s="79">
        <v>0</v>
      </c>
      <c r="Y86" s="71">
        <v>0</v>
      </c>
      <c r="Z86" s="38">
        <f t="shared" si="36"/>
        <v>1.2189032739318545E-2</v>
      </c>
      <c r="AA86" s="80">
        <v>0</v>
      </c>
      <c r="AB86" s="81">
        <f>+'Fluxo Consolidado'!P81</f>
        <v>0</v>
      </c>
      <c r="AC86" s="208">
        <f>'Fluxo Consolidado'!Q81</f>
        <v>0</v>
      </c>
      <c r="AD86" s="81">
        <f>+'Fluxo Consolidado'!R81</f>
        <v>-842787.30769230751</v>
      </c>
      <c r="AE86" s="81">
        <f>+'Fluxo Consolidado'!S81</f>
        <v>0</v>
      </c>
      <c r="AF86" s="208">
        <f>'Fluxo Consolidado'!T81</f>
        <v>0</v>
      </c>
      <c r="AG86" s="81">
        <f>+'Fluxo Consolidado'!U81</f>
        <v>0</v>
      </c>
      <c r="AH86" s="246">
        <f>+'Fluxo Consolidado'!V81</f>
        <v>-40882.573224881242</v>
      </c>
      <c r="AI86" s="125" t="e">
        <f>+'Fluxo Consolidado'!#REF!</f>
        <v>#REF!</v>
      </c>
      <c r="AJ86" s="82">
        <f>+'Fluxo Consolidado'!X81</f>
        <v>-2000</v>
      </c>
      <c r="AK86" s="85">
        <v>0</v>
      </c>
      <c r="AL86" s="85">
        <f>+'Fluxo Consolidado'!Y81+'Fluxo Consolidado'!Z81+'Fluxo Consolidado'!AA81</f>
        <v>-140295.364875</v>
      </c>
      <c r="AM86" s="85">
        <f>+'Fluxo Consolidado'!AB81+'Fluxo Consolidado'!AC81</f>
        <v>-81916.226383928573</v>
      </c>
      <c r="AN86" s="103">
        <f>+'Fluxo Consolidado'!AD81</f>
        <v>0</v>
      </c>
      <c r="AO86" s="85">
        <f>'Fluxo Consolidado'!AE81+'Fluxo Consolidado'!AF81</f>
        <v>-33600</v>
      </c>
      <c r="AP86" s="83">
        <f>+'Fluxo Consolidado'!AG81</f>
        <v>0</v>
      </c>
      <c r="AQ86" s="119">
        <f>+'Fluxo Consolidado'!AH81</f>
        <v>-232275.51238198782</v>
      </c>
      <c r="AR86" s="85">
        <f>+'Fluxo Consolidado'!AI81</f>
        <v>-9209.81</v>
      </c>
      <c r="AS86" s="85">
        <f>+'Fluxo Consolidado'!AJ81</f>
        <v>-7969</v>
      </c>
      <c r="AT86" s="85">
        <v>0</v>
      </c>
      <c r="AU86" s="85">
        <f>+'Fluxo Consolidado'!AK81</f>
        <v>-18092.513022352352</v>
      </c>
      <c r="AV86" s="84">
        <f>+'Fluxo Consolidado'!AL81</f>
        <v>-7016.44</v>
      </c>
      <c r="AW86" s="82">
        <f t="shared" si="44"/>
        <v>-46455.102476397566</v>
      </c>
      <c r="AX86" s="82">
        <v>0</v>
      </c>
      <c r="AY86" s="82">
        <f>(-V85*$AY$1)+'Fluxo Consolidado'!AO81</f>
        <v>-154850.34158799189</v>
      </c>
      <c r="AZ86" s="84">
        <v>0</v>
      </c>
      <c r="BA86" s="122">
        <v>0</v>
      </c>
      <c r="BB86" s="81">
        <v>0</v>
      </c>
      <c r="BC86" s="81">
        <f>+'Fluxo Consolidado'!AP81</f>
        <v>0</v>
      </c>
      <c r="BD86" s="125">
        <f>+'Fluxo Consolidado'!AQ81</f>
        <v>0</v>
      </c>
      <c r="BE86" s="133"/>
      <c r="BF86" s="78">
        <f t="shared" si="57"/>
        <v>4006674.6609577476</v>
      </c>
      <c r="BG86" s="70" t="e">
        <f t="shared" si="58"/>
        <v>#REF!</v>
      </c>
      <c r="BH86" s="70" t="e">
        <f t="shared" si="43"/>
        <v>#REF!</v>
      </c>
      <c r="BI86" s="71" t="e">
        <f t="shared" si="42"/>
        <v>#REF!</v>
      </c>
      <c r="BJ86" s="201" t="e">
        <f t="shared" si="61"/>
        <v>#REF!</v>
      </c>
      <c r="BQ86" s="82">
        <f t="shared" si="56"/>
        <v>0</v>
      </c>
      <c r="BR86" s="223">
        <v>-489562.41899804835</v>
      </c>
      <c r="BS86" s="223">
        <v>-77513.380328125073</v>
      </c>
      <c r="BT86" s="223">
        <v>0</v>
      </c>
      <c r="BU86" s="223">
        <v>-3907611.2888785223</v>
      </c>
      <c r="BV86" s="223">
        <v>3942291.1741870833</v>
      </c>
      <c r="BW86" s="223">
        <f t="shared" si="45"/>
        <v>-567075.79932617338</v>
      </c>
      <c r="BX86" s="83">
        <f t="shared" si="54"/>
        <v>-567075.79932617338</v>
      </c>
      <c r="BY86" s="78">
        <f t="shared" si="48"/>
        <v>3474278.7469401355</v>
      </c>
      <c r="BZ86" s="70" t="e">
        <f t="shared" si="49"/>
        <v>#REF!</v>
      </c>
      <c r="CA86" s="70" t="e">
        <f t="shared" si="50"/>
        <v>#REF!</v>
      </c>
      <c r="CB86" s="71" t="e">
        <f t="shared" si="51"/>
        <v>#REF!</v>
      </c>
      <c r="CC86" s="270" t="e">
        <f t="shared" si="52"/>
        <v>#REF!</v>
      </c>
      <c r="CD86" s="201"/>
      <c r="CE86" s="69" t="e">
        <f t="shared" si="59"/>
        <v>#REF!</v>
      </c>
      <c r="CF86" s="71" t="e">
        <f t="shared" si="60"/>
        <v>#REF!</v>
      </c>
    </row>
    <row r="87" spans="1:84" ht="15" customHeight="1">
      <c r="A87" s="35">
        <f t="shared" si="47"/>
        <v>25</v>
      </c>
      <c r="B87" s="87"/>
      <c r="C87" s="36">
        <v>44013</v>
      </c>
      <c r="D87" s="75">
        <v>0</v>
      </c>
      <c r="E87" s="110">
        <v>0</v>
      </c>
      <c r="F87" s="110">
        <v>0</v>
      </c>
      <c r="G87" s="110">
        <v>0</v>
      </c>
      <c r="H87" s="76">
        <v>0</v>
      </c>
      <c r="I87" s="76">
        <v>0</v>
      </c>
      <c r="J87" s="77">
        <v>0</v>
      </c>
      <c r="K87" s="69">
        <f>+'Fluxo Consolidado'!D82</f>
        <v>1268342.8638095239</v>
      </c>
      <c r="L87" s="78">
        <f>+'Fluxo Consolidado'!E82</f>
        <v>2447213.4300000002</v>
      </c>
      <c r="M87" s="78">
        <f>+'Fluxo Consolidado'!F82</f>
        <v>0</v>
      </c>
      <c r="N87" s="70">
        <v>0</v>
      </c>
      <c r="O87" s="242">
        <f t="shared" si="37"/>
        <v>0.05</v>
      </c>
      <c r="P87" s="70">
        <f>+'Fluxo Consolidado'!H82</f>
        <v>-122360.67150000001</v>
      </c>
      <c r="Q87" s="70">
        <f>+'Fluxo Consolidado'!I82</f>
        <v>245912.22700000001</v>
      </c>
      <c r="R87" s="79">
        <f>'Fluxo Consolidado'!J82</f>
        <v>112869.34621826001</v>
      </c>
      <c r="S87" s="79">
        <f>'Fluxo Consolidado'!K82</f>
        <v>6</v>
      </c>
      <c r="T87" s="79">
        <f t="shared" si="55"/>
        <v>0</v>
      </c>
      <c r="U87" s="79">
        <v>2</v>
      </c>
      <c r="V87" s="79">
        <f t="shared" si="53"/>
        <v>3951977.1955277841</v>
      </c>
      <c r="W87" s="79">
        <v>0</v>
      </c>
      <c r="X87" s="79">
        <v>0</v>
      </c>
      <c r="Y87" s="71">
        <v>0</v>
      </c>
      <c r="Z87" s="38">
        <f t="shared" si="36"/>
        <v>4.80811978246189E-3</v>
      </c>
      <c r="AA87" s="80">
        <v>0</v>
      </c>
      <c r="AB87" s="81">
        <f>+'Fluxo Consolidado'!P82</f>
        <v>0</v>
      </c>
      <c r="AC87" s="208">
        <f>'Fluxo Consolidado'!Q82</f>
        <v>0</v>
      </c>
      <c r="AD87" s="81">
        <f>+'Fluxo Consolidado'!R82</f>
        <v>-307692.30769230757</v>
      </c>
      <c r="AE87" s="81">
        <f>+'Fluxo Consolidado'!S82</f>
        <v>0</v>
      </c>
      <c r="AF87" s="208">
        <f>'Fluxo Consolidado'!T82</f>
        <v>0</v>
      </c>
      <c r="AG87" s="81">
        <f>+'Fluxo Consolidado'!U82</f>
        <v>0</v>
      </c>
      <c r="AH87" s="246">
        <f>+'Fluxo Consolidado'!V82</f>
        <v>-40882.573224881242</v>
      </c>
      <c r="AI87" s="125" t="e">
        <f>+'Fluxo Consolidado'!#REF!</f>
        <v>#REF!</v>
      </c>
      <c r="AJ87" s="82">
        <f>+'Fluxo Consolidado'!X82</f>
        <v>-2000</v>
      </c>
      <c r="AK87" s="85">
        <v>0</v>
      </c>
      <c r="AL87" s="85">
        <f>+'Fluxo Consolidado'!Y82+'Fluxo Consolidado'!Z82+'Fluxo Consolidado'!AA82</f>
        <v>-129046.38669642856</v>
      </c>
      <c r="AM87" s="85">
        <f>+'Fluxo Consolidado'!AB82+'Fluxo Consolidado'!AC82</f>
        <v>-81790.556383928575</v>
      </c>
      <c r="AN87" s="103">
        <f>+'Fluxo Consolidado'!AD82</f>
        <v>0</v>
      </c>
      <c r="AO87" s="85">
        <f>'Fluxo Consolidado'!AE82+'Fluxo Consolidado'!AF82</f>
        <v>-3200</v>
      </c>
      <c r="AP87" s="83">
        <f>+'Fluxo Consolidado'!AG82</f>
        <v>0</v>
      </c>
      <c r="AQ87" s="119">
        <f>+'Fluxo Consolidado'!AH82</f>
        <v>-240400.47965746484</v>
      </c>
      <c r="AR87" s="85">
        <f>+'Fluxo Consolidado'!AI82</f>
        <v>-9209.81</v>
      </c>
      <c r="AS87" s="85">
        <f>+'Fluxo Consolidado'!AJ82</f>
        <v>-7969</v>
      </c>
      <c r="AT87" s="85">
        <v>0</v>
      </c>
      <c r="AU87" s="85">
        <f>+'Fluxo Consolidado'!AK82</f>
        <v>-18263.769793176365</v>
      </c>
      <c r="AV87" s="84">
        <f>+'Fluxo Consolidado'!AL82</f>
        <v>-6188.93</v>
      </c>
      <c r="AW87" s="82">
        <f t="shared" si="44"/>
        <v>-48080.095931492971</v>
      </c>
      <c r="AX87" s="82">
        <v>0</v>
      </c>
      <c r="AY87" s="82">
        <f>(-V86*$AY$1)+'Fluxo Consolidado'!AO82</f>
        <v>-160266.98643830992</v>
      </c>
      <c r="AZ87" s="84">
        <v>0</v>
      </c>
      <c r="BA87" s="122">
        <v>0</v>
      </c>
      <c r="BB87" s="81">
        <v>0</v>
      </c>
      <c r="BC87" s="81">
        <f>+'Fluxo Consolidado'!AP82</f>
        <v>0</v>
      </c>
      <c r="BD87" s="125">
        <f>+'Fluxo Consolidado'!AQ82</f>
        <v>0</v>
      </c>
      <c r="BE87" s="133"/>
      <c r="BF87" s="78">
        <f t="shared" si="57"/>
        <v>3951977.1955277841</v>
      </c>
      <c r="BG87" s="70" t="e">
        <f t="shared" si="58"/>
        <v>#REF!</v>
      </c>
      <c r="BH87" s="70" t="e">
        <f t="shared" si="43"/>
        <v>#REF!</v>
      </c>
      <c r="BI87" s="71" t="e">
        <f t="shared" si="42"/>
        <v>#REF!</v>
      </c>
      <c r="BJ87" s="201" t="e">
        <f t="shared" si="61"/>
        <v>#REF!</v>
      </c>
      <c r="BQ87" s="82">
        <v>0</v>
      </c>
      <c r="BR87" s="223">
        <v>-489562.41899804835</v>
      </c>
      <c r="BS87" s="223">
        <v>-75634.742066932566</v>
      </c>
      <c r="BT87" s="223">
        <v>0</v>
      </c>
      <c r="BU87" s="223">
        <v>-3921985.6264639879</v>
      </c>
      <c r="BV87" s="223">
        <v>3907611.2888785223</v>
      </c>
      <c r="BW87" s="223">
        <f t="shared" si="45"/>
        <v>-565197.1610649809</v>
      </c>
      <c r="BX87" s="83">
        <f t="shared" si="54"/>
        <v>-565197.1610649809</v>
      </c>
      <c r="BY87" s="78">
        <f t="shared" si="48"/>
        <v>3372405.696877338</v>
      </c>
      <c r="BZ87" s="70" t="e">
        <f t="shared" si="49"/>
        <v>#REF!</v>
      </c>
      <c r="CA87" s="70" t="e">
        <f t="shared" si="50"/>
        <v>#REF!</v>
      </c>
      <c r="CB87" s="71" t="e">
        <f t="shared" si="51"/>
        <v>#REF!</v>
      </c>
      <c r="CC87" s="270" t="e">
        <f t="shared" si="52"/>
        <v>#REF!</v>
      </c>
      <c r="CD87" s="201"/>
      <c r="CE87" s="69" t="e">
        <f t="shared" si="59"/>
        <v>#REF!</v>
      </c>
      <c r="CF87" s="71" t="e">
        <f t="shared" si="60"/>
        <v>#REF!</v>
      </c>
    </row>
    <row r="88" spans="1:84" ht="15" customHeight="1">
      <c r="A88" s="35">
        <f t="shared" si="47"/>
        <v>26</v>
      </c>
      <c r="B88" s="87"/>
      <c r="C88" s="36">
        <v>44044</v>
      </c>
      <c r="D88" s="75">
        <v>0</v>
      </c>
      <c r="E88" s="110">
        <v>0</v>
      </c>
      <c r="F88" s="110">
        <v>0</v>
      </c>
      <c r="G88" s="110">
        <v>0</v>
      </c>
      <c r="H88" s="76">
        <v>0</v>
      </c>
      <c r="I88" s="76">
        <v>0</v>
      </c>
      <c r="J88" s="77">
        <v>0</v>
      </c>
      <c r="K88" s="69">
        <f>+'Fluxo Consolidado'!D83</f>
        <v>1268342.8638095239</v>
      </c>
      <c r="L88" s="78">
        <f>+'Fluxo Consolidado'!E83</f>
        <v>2435633.0099999998</v>
      </c>
      <c r="M88" s="78">
        <f>+'Fluxo Consolidado'!F83</f>
        <v>0</v>
      </c>
      <c r="N88" s="70">
        <v>0</v>
      </c>
      <c r="O88" s="242">
        <f t="shared" si="37"/>
        <v>0.05</v>
      </c>
      <c r="P88" s="70">
        <f>+'Fluxo Consolidado'!H83</f>
        <v>-121781.65049999999</v>
      </c>
      <c r="Q88" s="70">
        <f>+'Fluxo Consolidado'!I83</f>
        <v>245783.644</v>
      </c>
      <c r="R88" s="79">
        <f>'Fluxo Consolidado'!J83</f>
        <v>131600.02907947823</v>
      </c>
      <c r="S88" s="79">
        <f>'Fluxo Consolidado'!K83</f>
        <v>7</v>
      </c>
      <c r="T88" s="79">
        <f t="shared" si="55"/>
        <v>0</v>
      </c>
      <c r="U88" s="79">
        <v>2</v>
      </c>
      <c r="V88" s="79">
        <f t="shared" si="53"/>
        <v>3959577.896389002</v>
      </c>
      <c r="W88" s="79">
        <v>0</v>
      </c>
      <c r="X88" s="79">
        <v>0</v>
      </c>
      <c r="Y88" s="71">
        <v>0</v>
      </c>
      <c r="Z88" s="38">
        <f t="shared" si="36"/>
        <v>5.6391989165506496E-4</v>
      </c>
      <c r="AA88" s="80">
        <v>0</v>
      </c>
      <c r="AB88" s="81">
        <f>+'Fluxo Consolidado'!P83</f>
        <v>0</v>
      </c>
      <c r="AC88" s="208">
        <f>'Fluxo Consolidado'!Q83</f>
        <v>0</v>
      </c>
      <c r="AD88" s="81">
        <f>+'Fluxo Consolidado'!R83</f>
        <v>0</v>
      </c>
      <c r="AE88" s="81">
        <f>+'Fluxo Consolidado'!S83</f>
        <v>0</v>
      </c>
      <c r="AF88" s="208">
        <f>'Fluxo Consolidado'!T83</f>
        <v>0</v>
      </c>
      <c r="AG88" s="81">
        <f>+'Fluxo Consolidado'!U83</f>
        <v>0</v>
      </c>
      <c r="AH88" s="246">
        <f>+'Fluxo Consolidado'!V83</f>
        <v>-40882.573224881242</v>
      </c>
      <c r="AI88" s="125" t="e">
        <f>+'Fluxo Consolidado'!#REF!</f>
        <v>#REF!</v>
      </c>
      <c r="AJ88" s="82">
        <f>+'Fluxo Consolidado'!X83</f>
        <v>-2000</v>
      </c>
      <c r="AK88" s="85">
        <v>0</v>
      </c>
      <c r="AL88" s="85">
        <f>+'Fluxo Consolidado'!Y83+'Fluxo Consolidado'!Z83+'Fluxo Consolidado'!AA83</f>
        <v>-115144.89958928571</v>
      </c>
      <c r="AM88" s="85">
        <f>+'Fluxo Consolidado'!AB83+'Fluxo Consolidado'!AC83</f>
        <v>-81561.036383928571</v>
      </c>
      <c r="AN88" s="103">
        <f>+'Fluxo Consolidado'!AD83</f>
        <v>0</v>
      </c>
      <c r="AO88" s="85">
        <f>+'Fluxo Consolidado'!AF83+'Fluxo Consolidado'!AF83</f>
        <v>0</v>
      </c>
      <c r="AP88" s="83">
        <f>+'Fluxo Consolidado'!AG83</f>
        <v>0</v>
      </c>
      <c r="AQ88" s="119">
        <f>+'Fluxo Consolidado'!AH83</f>
        <v>-237118.63173166703</v>
      </c>
      <c r="AR88" s="85">
        <f>+'Fluxo Consolidado'!AI83</f>
        <v>-9209.81</v>
      </c>
      <c r="AS88" s="85">
        <f>+'Fluxo Consolidado'!AJ83</f>
        <v>-7969</v>
      </c>
      <c r="AT88" s="85">
        <v>0</v>
      </c>
      <c r="AU88" s="85">
        <f>+'Fluxo Consolidado'!AK83</f>
        <v>-18292.080112442527</v>
      </c>
      <c r="AV88" s="84">
        <f>+'Fluxo Consolidado'!AL83</f>
        <v>-5197.0200000000004</v>
      </c>
      <c r="AW88" s="82">
        <f t="shared" si="44"/>
        <v>-47423.726346333409</v>
      </c>
      <c r="AX88" s="82">
        <v>0</v>
      </c>
      <c r="AY88" s="82">
        <f>(-V87*$AY$1)+'Fluxo Consolidado'!AO83</f>
        <v>-158079.08782111137</v>
      </c>
      <c r="AZ88" s="84">
        <v>0</v>
      </c>
      <c r="BA88" s="122">
        <v>0</v>
      </c>
      <c r="BB88" s="81">
        <v>0</v>
      </c>
      <c r="BC88" s="81">
        <f>+'Fluxo Consolidado'!AP83</f>
        <v>0</v>
      </c>
      <c r="BD88" s="125">
        <f>+'Fluxo Consolidado'!AQ83</f>
        <v>0</v>
      </c>
      <c r="BE88" s="133"/>
      <c r="BF88" s="78">
        <f t="shared" si="57"/>
        <v>3959577.896389002</v>
      </c>
      <c r="BG88" s="70" t="e">
        <f t="shared" si="58"/>
        <v>#REF!</v>
      </c>
      <c r="BH88" s="70" t="e">
        <f t="shared" si="43"/>
        <v>#REF!</v>
      </c>
      <c r="BI88" s="71" t="e">
        <f t="shared" si="42"/>
        <v>#REF!</v>
      </c>
      <c r="BJ88" s="201" t="e">
        <f t="shared" si="61"/>
        <v>#REF!</v>
      </c>
      <c r="BQ88" s="82">
        <v>0</v>
      </c>
      <c r="BR88" s="223">
        <v>-489562.41899804835</v>
      </c>
      <c r="BS88" s="223">
        <v>-89371.122171726922</v>
      </c>
      <c r="BT88" s="223">
        <v>0</v>
      </c>
      <c r="BU88" s="223">
        <v>-3819301.4516641255</v>
      </c>
      <c r="BV88" s="223">
        <v>3921985.6264639879</v>
      </c>
      <c r="BW88" s="223">
        <f t="shared" si="45"/>
        <v>-578933.5411697753</v>
      </c>
      <c r="BX88" s="83">
        <f t="shared" si="54"/>
        <v>-578933.5411697753</v>
      </c>
      <c r="BY88" s="78">
        <f t="shared" si="48"/>
        <v>3483328.5300190891</v>
      </c>
      <c r="BZ88" s="70" t="e">
        <f t="shared" si="49"/>
        <v>#REF!</v>
      </c>
      <c r="CA88" s="70" t="e">
        <f t="shared" si="50"/>
        <v>#REF!</v>
      </c>
      <c r="CB88" s="71" t="e">
        <f t="shared" si="51"/>
        <v>#REF!</v>
      </c>
      <c r="CC88" s="270" t="e">
        <f t="shared" si="52"/>
        <v>#REF!</v>
      </c>
      <c r="CD88" s="201"/>
      <c r="CE88" s="69" t="e">
        <f t="shared" si="59"/>
        <v>#REF!</v>
      </c>
      <c r="CF88" s="71" t="e">
        <f t="shared" si="60"/>
        <v>#REF!</v>
      </c>
    </row>
    <row r="89" spans="1:84" ht="15" customHeight="1">
      <c r="A89" s="35">
        <f t="shared" si="47"/>
        <v>27</v>
      </c>
      <c r="B89" s="87"/>
      <c r="C89" s="36">
        <v>44075</v>
      </c>
      <c r="D89" s="75">
        <v>0</v>
      </c>
      <c r="E89" s="110">
        <v>0</v>
      </c>
      <c r="F89" s="110">
        <v>0</v>
      </c>
      <c r="G89" s="110">
        <v>0</v>
      </c>
      <c r="H89" s="76">
        <v>0</v>
      </c>
      <c r="I89" s="76">
        <v>0</v>
      </c>
      <c r="J89" s="77">
        <v>0</v>
      </c>
      <c r="K89" s="69">
        <f>+'Fluxo Consolidado'!D84</f>
        <v>1268342.8638095239</v>
      </c>
      <c r="L89" s="78">
        <f>+'Fluxo Consolidado'!E84</f>
        <v>2432436.61</v>
      </c>
      <c r="M89" s="78">
        <f>+'Fluxo Consolidado'!F84</f>
        <v>0</v>
      </c>
      <c r="N89" s="70">
        <v>0</v>
      </c>
      <c r="O89" s="242">
        <f t="shared" si="37"/>
        <v>0.05</v>
      </c>
      <c r="P89" s="70">
        <f>+'Fluxo Consolidado'!H84</f>
        <v>-121621.8305</v>
      </c>
      <c r="Q89" s="70">
        <f>+'Fluxo Consolidado'!I84</f>
        <v>122589.55650000001</v>
      </c>
      <c r="R89" s="79">
        <f>'Fluxo Consolidado'!J84</f>
        <v>150647.79259871971</v>
      </c>
      <c r="S89" s="79">
        <f>'Fluxo Consolidado'!K84</f>
        <v>8</v>
      </c>
      <c r="T89" s="79">
        <f t="shared" si="55"/>
        <v>0</v>
      </c>
      <c r="U89" s="79">
        <v>2</v>
      </c>
      <c r="V89" s="79">
        <f t="shared" si="53"/>
        <v>3852394.9924082435</v>
      </c>
      <c r="W89" s="79">
        <v>0</v>
      </c>
      <c r="X89" s="79">
        <v>0</v>
      </c>
      <c r="Y89" s="71">
        <v>0</v>
      </c>
      <c r="Z89" s="38">
        <f t="shared" si="36"/>
        <v>5.6391989165506496E-4</v>
      </c>
      <c r="AA89" s="80">
        <v>0</v>
      </c>
      <c r="AB89" s="81">
        <f>+'Fluxo Consolidado'!P84</f>
        <v>0</v>
      </c>
      <c r="AC89" s="208">
        <f>'Fluxo Consolidado'!Q84</f>
        <v>0</v>
      </c>
      <c r="AD89" s="81">
        <f>+'Fluxo Consolidado'!R84</f>
        <v>0</v>
      </c>
      <c r="AE89" s="81">
        <f>+'Fluxo Consolidado'!S84</f>
        <v>0</v>
      </c>
      <c r="AF89" s="208">
        <f>'Fluxo Consolidado'!T84</f>
        <v>0</v>
      </c>
      <c r="AG89" s="81">
        <f>+'Fluxo Consolidado'!U84</f>
        <v>0</v>
      </c>
      <c r="AH89" s="246">
        <f>+'Fluxo Consolidado'!V84</f>
        <v>-40882.573224881242</v>
      </c>
      <c r="AI89" s="125" t="e">
        <f>+'Fluxo Consolidado'!#REF!</f>
        <v>#REF!</v>
      </c>
      <c r="AJ89" s="82">
        <f>+'Fluxo Consolidado'!X84</f>
        <v>-2000</v>
      </c>
      <c r="AK89" s="85">
        <v>0</v>
      </c>
      <c r="AL89" s="85">
        <f>+'Fluxo Consolidado'!Y84+'Fluxo Consolidado'!Z84+'Fluxo Consolidado'!AA84</f>
        <v>-96954.67076785714</v>
      </c>
      <c r="AM89" s="85">
        <f>+'Fluxo Consolidado'!AB84+'Fluxo Consolidado'!AC84</f>
        <v>-81497.18638392858</v>
      </c>
      <c r="AN89" s="103">
        <f>+'Fluxo Consolidado'!AD84</f>
        <v>0</v>
      </c>
      <c r="AO89" s="85">
        <f>+'Fluxo Consolidado'!AF84+'Fluxo Consolidado'!AF84</f>
        <v>0</v>
      </c>
      <c r="AP89" s="83">
        <f>+'Fluxo Consolidado'!AG84</f>
        <v>0</v>
      </c>
      <c r="AQ89" s="119">
        <f>+'Fluxo Consolidado'!AH84</f>
        <v>-237574.67378334011</v>
      </c>
      <c r="AR89" s="85">
        <f>+'Fluxo Consolidado'!AI84</f>
        <v>-9209.81</v>
      </c>
      <c r="AS89" s="85">
        <f>+'Fluxo Consolidado'!AJ84</f>
        <v>-7969</v>
      </c>
      <c r="AT89" s="85">
        <v>0</v>
      </c>
      <c r="AU89" s="85">
        <f>+'Fluxo Consolidado'!AK84</f>
        <v>-18270.181764804096</v>
      </c>
      <c r="AV89" s="84">
        <f>+'Fluxo Consolidado'!AL84</f>
        <v>-4441.9399999999996</v>
      </c>
      <c r="AW89" s="82">
        <f t="shared" si="44"/>
        <v>-47514.934756668023</v>
      </c>
      <c r="AX89" s="82">
        <v>0</v>
      </c>
      <c r="AY89" s="82">
        <f>(-V88*$AY$1)+'Fluxo Consolidado'!AO84</f>
        <v>-158383.11585556009</v>
      </c>
      <c r="AZ89" s="84">
        <v>0</v>
      </c>
      <c r="BA89" s="122">
        <v>0</v>
      </c>
      <c r="BB89" s="81">
        <v>0</v>
      </c>
      <c r="BC89" s="81">
        <f>+'Fluxo Consolidado'!AP84</f>
        <v>0</v>
      </c>
      <c r="BD89" s="125">
        <f>+'Fluxo Consolidado'!AQ84</f>
        <v>0</v>
      </c>
      <c r="BE89" s="133"/>
      <c r="BF89" s="78">
        <f t="shared" si="57"/>
        <v>3852394.9924082435</v>
      </c>
      <c r="BG89" s="70" t="e">
        <f t="shared" si="58"/>
        <v>#REF!</v>
      </c>
      <c r="BH89" s="70" t="e">
        <f t="shared" si="43"/>
        <v>#REF!</v>
      </c>
      <c r="BI89" s="71" t="e">
        <f t="shared" si="42"/>
        <v>#REF!</v>
      </c>
      <c r="BJ89" s="201" t="e">
        <f t="shared" si="61"/>
        <v>#REF!</v>
      </c>
      <c r="BQ89" s="82">
        <v>0</v>
      </c>
      <c r="BR89" s="223">
        <v>-927062.41899804841</v>
      </c>
      <c r="BS89" s="223">
        <v>-72035.751435256389</v>
      </c>
      <c r="BT89" s="223">
        <v>0</v>
      </c>
      <c r="BU89" s="223">
        <v>-3834990.2516735764</v>
      </c>
      <c r="BV89" s="223">
        <v>3819301.4516641255</v>
      </c>
      <c r="BW89" s="223">
        <f t="shared" si="45"/>
        <v>-999098.17043330474</v>
      </c>
      <c r="BX89" s="83">
        <f t="shared" si="54"/>
        <v>-999098.17043330474</v>
      </c>
      <c r="BY89" s="78">
        <f t="shared" si="48"/>
        <v>2837608.0219654879</v>
      </c>
      <c r="BZ89" s="70" t="e">
        <f t="shared" si="49"/>
        <v>#REF!</v>
      </c>
      <c r="CA89" s="70" t="e">
        <f t="shared" si="50"/>
        <v>#REF!</v>
      </c>
      <c r="CB89" s="71" t="e">
        <f t="shared" si="51"/>
        <v>#REF!</v>
      </c>
      <c r="CC89" s="270" t="e">
        <f t="shared" si="52"/>
        <v>#REF!</v>
      </c>
      <c r="CD89" s="201"/>
      <c r="CE89" s="69" t="e">
        <f t="shared" si="59"/>
        <v>#REF!</v>
      </c>
      <c r="CF89" s="71" t="e">
        <f t="shared" si="60"/>
        <v>#REF!</v>
      </c>
    </row>
    <row r="90" spans="1:84" ht="15" customHeight="1">
      <c r="A90" s="35">
        <f t="shared" si="47"/>
        <v>28</v>
      </c>
      <c r="B90" s="87"/>
      <c r="C90" s="36">
        <v>44105</v>
      </c>
      <c r="D90" s="75">
        <v>0</v>
      </c>
      <c r="E90" s="110">
        <v>0</v>
      </c>
      <c r="F90" s="110">
        <v>0</v>
      </c>
      <c r="G90" s="110">
        <v>0</v>
      </c>
      <c r="H90" s="76">
        <v>0</v>
      </c>
      <c r="I90" s="76">
        <v>0</v>
      </c>
      <c r="J90" s="77">
        <v>0</v>
      </c>
      <c r="K90" s="69">
        <f>+'Fluxo Consolidado'!D85</f>
        <v>1268342.8638095239</v>
      </c>
      <c r="L90" s="78">
        <f>+'Fluxo Consolidado'!E85</f>
        <v>2427810.77</v>
      </c>
      <c r="M90" s="78">
        <f>+'Fluxo Consolidado'!F85</f>
        <v>0</v>
      </c>
      <c r="N90" s="70">
        <v>0</v>
      </c>
      <c r="O90" s="242">
        <f t="shared" si="37"/>
        <v>0.05</v>
      </c>
      <c r="P90" s="70">
        <f>+'Fluxo Consolidado'!H85</f>
        <v>-121390.53850000001</v>
      </c>
      <c r="Q90" s="70">
        <f>+'Fluxo Consolidado'!I85</f>
        <v>122360.67150000001</v>
      </c>
      <c r="R90" s="79">
        <f>'Fluxo Consolidado'!J85</f>
        <v>169692.55393732805</v>
      </c>
      <c r="S90" s="79">
        <f>'Fluxo Consolidado'!K85</f>
        <v>9</v>
      </c>
      <c r="T90" s="79">
        <f t="shared" si="55"/>
        <v>0</v>
      </c>
      <c r="U90" s="79">
        <v>3</v>
      </c>
      <c r="V90" s="79">
        <f t="shared" si="53"/>
        <v>3866816.3207468521</v>
      </c>
      <c r="W90" s="79">
        <v>0</v>
      </c>
      <c r="X90" s="79">
        <v>0</v>
      </c>
      <c r="Y90" s="71">
        <v>0</v>
      </c>
      <c r="Z90" s="38">
        <f t="shared" si="36"/>
        <v>5.6391989165506496E-4</v>
      </c>
      <c r="AA90" s="80">
        <v>0</v>
      </c>
      <c r="AB90" s="81">
        <f>+'Fluxo Consolidado'!P85</f>
        <v>0</v>
      </c>
      <c r="AC90" s="208">
        <f>'Fluxo Consolidado'!Q85</f>
        <v>0</v>
      </c>
      <c r="AD90" s="81">
        <f>+'Fluxo Consolidado'!R85</f>
        <v>0</v>
      </c>
      <c r="AE90" s="81">
        <f>+'Fluxo Consolidado'!S85</f>
        <v>0</v>
      </c>
      <c r="AF90" s="208">
        <f>'Fluxo Consolidado'!T85</f>
        <v>0</v>
      </c>
      <c r="AG90" s="81">
        <f>+'Fluxo Consolidado'!U85</f>
        <v>0</v>
      </c>
      <c r="AH90" s="246">
        <f>+'Fluxo Consolidado'!V85</f>
        <v>-40882.573224881242</v>
      </c>
      <c r="AI90" s="125" t="e">
        <f>+'Fluxo Consolidado'!#REF!</f>
        <v>#REF!</v>
      </c>
      <c r="AJ90" s="82">
        <f>+'Fluxo Consolidado'!X85</f>
        <v>-2000</v>
      </c>
      <c r="AK90" s="85">
        <v>0</v>
      </c>
      <c r="AL90" s="85">
        <f>+'Fluxo Consolidado'!Y85+'Fluxo Consolidado'!Z85+'Fluxo Consolidado'!AA85</f>
        <v>-45525.419067857139</v>
      </c>
      <c r="AM90" s="85">
        <f>+'Fluxo Consolidado'!AB85+'Fluxo Consolidado'!AC85</f>
        <v>-81425.656383928566</v>
      </c>
      <c r="AN90" s="103">
        <f>+'Fluxo Consolidado'!AD85</f>
        <v>0</v>
      </c>
      <c r="AO90" s="85">
        <f>+'Fluxo Consolidado'!AF85+'Fluxo Consolidado'!AF85</f>
        <v>0</v>
      </c>
      <c r="AP90" s="83">
        <f>+'Fluxo Consolidado'!AG85</f>
        <v>0</v>
      </c>
      <c r="AQ90" s="119">
        <f>+'Fluxo Consolidado'!AH85</f>
        <v>-231143.69954449459</v>
      </c>
      <c r="AR90" s="85">
        <f>+'Fluxo Consolidado'!AI85</f>
        <v>-9209.81</v>
      </c>
      <c r="AS90" s="85">
        <f>+'Fluxo Consolidado'!AJ85</f>
        <v>-7969</v>
      </c>
      <c r="AT90" s="85">
        <v>0</v>
      </c>
      <c r="AU90" s="85">
        <f>+'Fluxo Consolidado'!AK85</f>
        <v>-18271.592640486731</v>
      </c>
      <c r="AV90" s="84">
        <f>+'Fluxo Consolidado'!AL85</f>
        <v>-4017.93</v>
      </c>
      <c r="AW90" s="82">
        <f t="shared" si="44"/>
        <v>-46228.739908898926</v>
      </c>
      <c r="AX90" s="82">
        <v>0</v>
      </c>
      <c r="AY90" s="82">
        <f>(-V89*$AY$1)+'Fluxo Consolidado'!AO85</f>
        <v>-154095.79969632975</v>
      </c>
      <c r="AZ90" s="84">
        <v>0</v>
      </c>
      <c r="BA90" s="122">
        <v>0</v>
      </c>
      <c r="BB90" s="81">
        <v>0</v>
      </c>
      <c r="BC90" s="81">
        <f>+'Fluxo Consolidado'!AP85</f>
        <v>0</v>
      </c>
      <c r="BD90" s="125">
        <f>+'Fluxo Consolidado'!AQ85</f>
        <v>0</v>
      </c>
      <c r="BE90" s="133"/>
      <c r="BF90" s="78">
        <f t="shared" si="57"/>
        <v>3866816.3207468521</v>
      </c>
      <c r="BG90" s="70" t="e">
        <f t="shared" si="58"/>
        <v>#REF!</v>
      </c>
      <c r="BH90" s="70" t="e">
        <f t="shared" si="43"/>
        <v>#REF!</v>
      </c>
      <c r="BI90" s="71" t="e">
        <f t="shared" si="42"/>
        <v>#REF!</v>
      </c>
      <c r="BJ90" s="201" t="e">
        <f t="shared" si="61"/>
        <v>#REF!</v>
      </c>
      <c r="BQ90" s="82">
        <v>0</v>
      </c>
      <c r="BR90" s="223">
        <v>-921962.81046681863</v>
      </c>
      <c r="BS90" s="223">
        <v>-70312.421398758117</v>
      </c>
      <c r="BT90" s="223">
        <v>0</v>
      </c>
      <c r="BU90" s="223">
        <v>-3849338.3413081784</v>
      </c>
      <c r="BV90" s="223">
        <v>3834990.2516735764</v>
      </c>
      <c r="BW90" s="223">
        <f t="shared" si="45"/>
        <v>-992275.2318655767</v>
      </c>
      <c r="BX90" s="83">
        <f t="shared" si="54"/>
        <v>-992275.2318655767</v>
      </c>
      <c r="BY90" s="78">
        <f t="shared" si="48"/>
        <v>2860192.9992466737</v>
      </c>
      <c r="BZ90" s="70" t="e">
        <f t="shared" si="49"/>
        <v>#REF!</v>
      </c>
      <c r="CA90" s="70" t="e">
        <f t="shared" si="50"/>
        <v>#REF!</v>
      </c>
      <c r="CB90" s="71" t="e">
        <f t="shared" si="51"/>
        <v>#REF!</v>
      </c>
      <c r="CC90" s="270" t="e">
        <f t="shared" si="52"/>
        <v>#REF!</v>
      </c>
      <c r="CD90" s="201"/>
      <c r="CE90" s="69" t="e">
        <f t="shared" si="59"/>
        <v>#REF!</v>
      </c>
      <c r="CF90" s="71" t="e">
        <f t="shared" si="60"/>
        <v>#REF!</v>
      </c>
    </row>
    <row r="91" spans="1:84" ht="15" customHeight="1">
      <c r="A91" s="35">
        <f t="shared" si="47"/>
        <v>29</v>
      </c>
      <c r="B91" s="87"/>
      <c r="C91" s="36">
        <v>44136</v>
      </c>
      <c r="D91" s="75">
        <v>0</v>
      </c>
      <c r="E91" s="110">
        <v>0</v>
      </c>
      <c r="F91" s="110">
        <v>0</v>
      </c>
      <c r="G91" s="110">
        <v>0</v>
      </c>
      <c r="H91" s="76">
        <v>0</v>
      </c>
      <c r="I91" s="76">
        <v>0</v>
      </c>
      <c r="J91" s="77">
        <v>0</v>
      </c>
      <c r="K91" s="69">
        <f>+'Fluxo Consolidado'!D86</f>
        <v>1268342.8638095239</v>
      </c>
      <c r="L91" s="78">
        <f>+'Fluxo Consolidado'!E86</f>
        <v>2424441.6</v>
      </c>
      <c r="M91" s="78">
        <f>+'Fluxo Consolidado'!F86</f>
        <v>0</v>
      </c>
      <c r="N91" s="70">
        <v>0</v>
      </c>
      <c r="O91" s="242">
        <f t="shared" si="37"/>
        <v>0.05</v>
      </c>
      <c r="P91" s="70">
        <f>+'Fluxo Consolidado'!H86</f>
        <v>-121222.08000000002</v>
      </c>
      <c r="Q91" s="70">
        <f>+'Fluxo Consolidado'!I86</f>
        <v>121781.65049999999</v>
      </c>
      <c r="R91" s="79">
        <f>'Fluxo Consolidado'!J86</f>
        <v>188849.48507739371</v>
      </c>
      <c r="S91" s="79">
        <f>'Fluxo Consolidado'!K86</f>
        <v>10</v>
      </c>
      <c r="T91" s="79">
        <f t="shared" si="55"/>
        <v>0</v>
      </c>
      <c r="U91" s="79">
        <v>3</v>
      </c>
      <c r="V91" s="79">
        <f t="shared" si="53"/>
        <v>3882193.5193869174</v>
      </c>
      <c r="W91" s="79">
        <v>0</v>
      </c>
      <c r="X91" s="79">
        <v>0</v>
      </c>
      <c r="Y91" s="71">
        <v>0</v>
      </c>
      <c r="Z91" s="38">
        <f t="shared" si="36"/>
        <v>5.6391989165506496E-4</v>
      </c>
      <c r="AA91" s="80">
        <v>0</v>
      </c>
      <c r="AB91" s="81">
        <f>+'Fluxo Consolidado'!P86</f>
        <v>0</v>
      </c>
      <c r="AC91" s="208">
        <f>'Fluxo Consolidado'!Q86</f>
        <v>0</v>
      </c>
      <c r="AD91" s="81">
        <f>+'Fluxo Consolidado'!R86</f>
        <v>0</v>
      </c>
      <c r="AE91" s="81">
        <f>+'Fluxo Consolidado'!S86</f>
        <v>0</v>
      </c>
      <c r="AF91" s="208">
        <f>'Fluxo Consolidado'!T86</f>
        <v>0</v>
      </c>
      <c r="AG91" s="81">
        <f>+'Fluxo Consolidado'!U86</f>
        <v>0</v>
      </c>
      <c r="AH91" s="246">
        <f>+'Fluxo Consolidado'!V86</f>
        <v>-40882.573224881242</v>
      </c>
      <c r="AI91" s="125" t="e">
        <f>+'Fluxo Consolidado'!#REF!</f>
        <v>#REF!</v>
      </c>
      <c r="AJ91" s="82">
        <f>+'Fluxo Consolidado'!X86</f>
        <v>-2000</v>
      </c>
      <c r="AK91" s="85">
        <v>0</v>
      </c>
      <c r="AL91" s="85">
        <f>+'Fluxo Consolidado'!Y86+'Fluxo Consolidado'!Z86+'Fluxo Consolidado'!AA86</f>
        <v>-38518.789178571424</v>
      </c>
      <c r="AM91" s="85">
        <f>+'Fluxo Consolidado'!AB86+'Fluxo Consolidado'!AC86</f>
        <v>-81340.42638392857</v>
      </c>
      <c r="AN91" s="103">
        <f>+'Fluxo Consolidado'!AD86</f>
        <v>0</v>
      </c>
      <c r="AO91" s="85">
        <f>+'Fluxo Consolidado'!AF86+'Fluxo Consolidado'!AF86</f>
        <v>0</v>
      </c>
      <c r="AP91" s="83">
        <f>+'Fluxo Consolidado'!AG86</f>
        <v>0</v>
      </c>
      <c r="AQ91" s="119">
        <f>+'Fluxo Consolidado'!AH86</f>
        <v>-232008.97924481111</v>
      </c>
      <c r="AR91" s="85">
        <f>+'Fluxo Consolidado'!AI86</f>
        <v>-9209.81</v>
      </c>
      <c r="AS91" s="85">
        <f>+'Fluxo Consolidado'!AJ86</f>
        <v>-7969</v>
      </c>
      <c r="AT91" s="85">
        <v>0</v>
      </c>
      <c r="AU91" s="85">
        <f>+'Fluxo Consolidado'!AK86</f>
        <v>-18244.015331353658</v>
      </c>
      <c r="AV91" s="84">
        <f>+'Fluxo Consolidado'!AL86</f>
        <v>-4017.93</v>
      </c>
      <c r="AW91" s="82">
        <f t="shared" si="44"/>
        <v>-46401.795848962225</v>
      </c>
      <c r="AX91" s="82">
        <v>0</v>
      </c>
      <c r="AY91" s="82">
        <f>(-V90*$AY$1)+'Fluxo Consolidado'!AO86</f>
        <v>-154672.65282987407</v>
      </c>
      <c r="AZ91" s="84">
        <v>0</v>
      </c>
      <c r="BA91" s="122">
        <v>0</v>
      </c>
      <c r="BB91" s="81">
        <v>0</v>
      </c>
      <c r="BC91" s="81">
        <f>+'Fluxo Consolidado'!AP86</f>
        <v>0</v>
      </c>
      <c r="BD91" s="125">
        <f>+'Fluxo Consolidado'!AQ86</f>
        <v>0</v>
      </c>
      <c r="BE91" s="133"/>
      <c r="BF91" s="78">
        <f t="shared" si="57"/>
        <v>3882193.5193869174</v>
      </c>
      <c r="BG91" s="70" t="e">
        <f t="shared" si="58"/>
        <v>#REF!</v>
      </c>
      <c r="BH91" s="70" t="e">
        <f t="shared" si="43"/>
        <v>#REF!</v>
      </c>
      <c r="BI91" s="71" t="e">
        <f t="shared" si="42"/>
        <v>#REF!</v>
      </c>
      <c r="BJ91" s="201" t="e">
        <f t="shared" si="61"/>
        <v>#REF!</v>
      </c>
      <c r="BQ91" s="82">
        <v>0</v>
      </c>
      <c r="BR91" s="223">
        <v>-916863.20193558908</v>
      </c>
      <c r="BS91" s="223">
        <v>-68637.953257391026</v>
      </c>
      <c r="BT91" s="223">
        <v>0</v>
      </c>
      <c r="BU91" s="223">
        <v>-3864643.1660059998</v>
      </c>
      <c r="BV91" s="223">
        <v>3849338.3413081784</v>
      </c>
      <c r="BW91" s="223">
        <f t="shared" si="45"/>
        <v>-985501.15519298008</v>
      </c>
      <c r="BX91" s="83">
        <f t="shared" si="54"/>
        <v>-985501.15519298008</v>
      </c>
      <c r="BY91" s="78">
        <f t="shared" si="48"/>
        <v>2881387.5394961154</v>
      </c>
      <c r="BZ91" s="70" t="e">
        <f t="shared" si="49"/>
        <v>#REF!</v>
      </c>
      <c r="CA91" s="70" t="e">
        <f t="shared" si="50"/>
        <v>#REF!</v>
      </c>
      <c r="CB91" s="71" t="e">
        <f t="shared" si="51"/>
        <v>#REF!</v>
      </c>
      <c r="CC91" s="270" t="e">
        <f t="shared" si="52"/>
        <v>#REF!</v>
      </c>
      <c r="CD91" s="201"/>
      <c r="CE91" s="69" t="e">
        <f t="shared" si="59"/>
        <v>#REF!</v>
      </c>
      <c r="CF91" s="71" t="e">
        <f t="shared" si="60"/>
        <v>#REF!</v>
      </c>
    </row>
    <row r="92" spans="1:84" ht="15" customHeight="1">
      <c r="A92" s="35">
        <f t="shared" si="47"/>
        <v>30</v>
      </c>
      <c r="B92" s="87"/>
      <c r="C92" s="36">
        <v>44166</v>
      </c>
      <c r="D92" s="75">
        <v>0</v>
      </c>
      <c r="E92" s="110">
        <v>0</v>
      </c>
      <c r="F92" s="110">
        <v>0</v>
      </c>
      <c r="G92" s="110">
        <v>0</v>
      </c>
      <c r="H92" s="76">
        <v>0</v>
      </c>
      <c r="I92" s="76">
        <v>0</v>
      </c>
      <c r="J92" s="77">
        <v>0</v>
      </c>
      <c r="K92" s="69">
        <f>+'Fluxo Consolidado'!D87</f>
        <v>1268342.8638095239</v>
      </c>
      <c r="L92" s="78">
        <f>+'Fluxo Consolidado'!E87</f>
        <v>2419594.4700000002</v>
      </c>
      <c r="M92" s="78">
        <f>+'Fluxo Consolidado'!F87</f>
        <v>0</v>
      </c>
      <c r="N92" s="70">
        <v>0</v>
      </c>
      <c r="O92" s="242">
        <f t="shared" si="37"/>
        <v>0.05</v>
      </c>
      <c r="P92" s="70">
        <f>+'Fluxo Consolidado'!H87</f>
        <v>-120979.72350000002</v>
      </c>
      <c r="Q92" s="70">
        <f>+'Fluxo Consolidado'!I87</f>
        <v>121621.8305</v>
      </c>
      <c r="R92" s="79">
        <f>'Fluxo Consolidado'!J87</f>
        <v>207984.29688926833</v>
      </c>
      <c r="S92" s="79">
        <f>'Fluxo Consolidado'!K87</f>
        <v>11</v>
      </c>
      <c r="T92" s="79">
        <f t="shared" si="55"/>
        <v>0</v>
      </c>
      <c r="U92" s="79">
        <v>3</v>
      </c>
      <c r="V92" s="79">
        <f t="shared" si="53"/>
        <v>3896563.7376987925</v>
      </c>
      <c r="W92" s="79">
        <v>0</v>
      </c>
      <c r="X92" s="79">
        <v>0</v>
      </c>
      <c r="Y92" s="71">
        <v>0</v>
      </c>
      <c r="Z92" s="38">
        <f t="shared" si="36"/>
        <v>5.6391989165506496E-4</v>
      </c>
      <c r="AA92" s="80">
        <v>0</v>
      </c>
      <c r="AB92" s="81">
        <f>+'Fluxo Consolidado'!P87</f>
        <v>0</v>
      </c>
      <c r="AC92" s="208">
        <f>'Fluxo Consolidado'!Q87</f>
        <v>0</v>
      </c>
      <c r="AD92" s="81">
        <f>+'Fluxo Consolidado'!R87</f>
        <v>0</v>
      </c>
      <c r="AE92" s="81">
        <f>+'Fluxo Consolidado'!S87</f>
        <v>0</v>
      </c>
      <c r="AF92" s="208">
        <f>'Fluxo Consolidado'!T87</f>
        <v>0</v>
      </c>
      <c r="AG92" s="81">
        <f>+'Fluxo Consolidado'!U87</f>
        <v>0</v>
      </c>
      <c r="AH92" s="246">
        <f>+'Fluxo Consolidado'!V87</f>
        <v>-40882.573224881242</v>
      </c>
      <c r="AI92" s="125" t="e">
        <f>+'Fluxo Consolidado'!#REF!</f>
        <v>#REF!</v>
      </c>
      <c r="AJ92" s="82">
        <f>+'Fluxo Consolidado'!X87</f>
        <v>-2000</v>
      </c>
      <c r="AK92" s="85">
        <v>0</v>
      </c>
      <c r="AL92" s="85">
        <f>+'Fluxo Consolidado'!Y87+'Fluxo Consolidado'!Z87+'Fluxo Consolidado'!AA87</f>
        <v>-25833.036664285715</v>
      </c>
      <c r="AM92" s="85">
        <f>+'Fluxo Consolidado'!AB87+'Fluxo Consolidado'!AC87</f>
        <v>-81220.886383928577</v>
      </c>
      <c r="AN92" s="103">
        <f>+'Fluxo Consolidado'!AD87</f>
        <v>0</v>
      </c>
      <c r="AO92" s="85">
        <f>+'Fluxo Consolidado'!AF87+'Fluxo Consolidado'!AF87</f>
        <v>0</v>
      </c>
      <c r="AP92" s="83">
        <f>+'Fluxo Consolidado'!AG87</f>
        <v>0</v>
      </c>
      <c r="AQ92" s="119">
        <f>+'Fluxo Consolidado'!AH87</f>
        <v>-232931.61116321504</v>
      </c>
      <c r="AR92" s="85">
        <f>+'Fluxo Consolidado'!AI87</f>
        <v>-9209.81</v>
      </c>
      <c r="AS92" s="85">
        <f>+'Fluxo Consolidado'!AJ87</f>
        <v>-7969</v>
      </c>
      <c r="AT92" s="85">
        <v>0</v>
      </c>
      <c r="AU92" s="85">
        <f>+'Fluxo Consolidado'!AK87</f>
        <v>-18224.201462297544</v>
      </c>
      <c r="AV92" s="84">
        <f>+'Fluxo Consolidado'!AL87</f>
        <v>-3107.39</v>
      </c>
      <c r="AW92" s="82">
        <f t="shared" si="44"/>
        <v>-46586.322232643011</v>
      </c>
      <c r="AX92" s="82">
        <v>0</v>
      </c>
      <c r="AY92" s="82">
        <f>(-V91*$AY$1)+'Fluxo Consolidado'!AO87</f>
        <v>-155287.7407754767</v>
      </c>
      <c r="AZ92" s="84">
        <v>0</v>
      </c>
      <c r="BA92" s="122">
        <v>0</v>
      </c>
      <c r="BB92" s="81">
        <v>0</v>
      </c>
      <c r="BC92" s="81">
        <f>+'Fluxo Consolidado'!AP87</f>
        <v>0</v>
      </c>
      <c r="BD92" s="125">
        <f>+'Fluxo Consolidado'!AQ87</f>
        <v>0</v>
      </c>
      <c r="BE92" s="133"/>
      <c r="BF92" s="78">
        <f t="shared" si="57"/>
        <v>3896563.7376987925</v>
      </c>
      <c r="BG92" s="70" t="e">
        <f t="shared" si="58"/>
        <v>#REF!</v>
      </c>
      <c r="BH92" s="70" t="e">
        <f t="shared" si="43"/>
        <v>#REF!</v>
      </c>
      <c r="BI92" s="71" t="e">
        <f t="shared" si="42"/>
        <v>#REF!</v>
      </c>
      <c r="BJ92" s="201" t="e">
        <f t="shared" si="61"/>
        <v>#REF!</v>
      </c>
      <c r="BQ92" s="82">
        <v>0</v>
      </c>
      <c r="BR92" s="223">
        <v>-911763.59340435942</v>
      </c>
      <c r="BS92" s="223">
        <v>-67010.961620808928</v>
      </c>
      <c r="BT92" s="223">
        <v>0</v>
      </c>
      <c r="BU92" s="223">
        <v>-3878262.4185212129</v>
      </c>
      <c r="BV92" s="223">
        <v>3864643.1660059998</v>
      </c>
      <c r="BW92" s="223">
        <f t="shared" si="45"/>
        <v>-978774.55502516835</v>
      </c>
      <c r="BX92" s="83">
        <f t="shared" si="54"/>
        <v>-978774.55502516835</v>
      </c>
      <c r="BY92" s="78">
        <f t="shared" si="48"/>
        <v>2904169.9301584112</v>
      </c>
      <c r="BZ92" s="70" t="e">
        <f t="shared" si="49"/>
        <v>#REF!</v>
      </c>
      <c r="CA92" s="70" t="e">
        <f t="shared" si="50"/>
        <v>#REF!</v>
      </c>
      <c r="CB92" s="71" t="e">
        <f t="shared" si="51"/>
        <v>#REF!</v>
      </c>
      <c r="CC92" s="270" t="e">
        <f t="shared" si="52"/>
        <v>#REF!</v>
      </c>
      <c r="CD92" s="201"/>
      <c r="CE92" s="69" t="e">
        <f t="shared" si="59"/>
        <v>#REF!</v>
      </c>
      <c r="CF92" s="71" t="e">
        <f t="shared" si="60"/>
        <v>#REF!</v>
      </c>
    </row>
    <row r="93" spans="1:84" ht="15" customHeight="1">
      <c r="A93" s="35">
        <f t="shared" si="47"/>
        <v>31</v>
      </c>
      <c r="B93" s="87"/>
      <c r="C93" s="36">
        <v>44197</v>
      </c>
      <c r="D93" s="75">
        <v>0</v>
      </c>
      <c r="E93" s="110">
        <v>0</v>
      </c>
      <c r="F93" s="110">
        <v>0</v>
      </c>
      <c r="G93" s="110">
        <v>0</v>
      </c>
      <c r="H93" s="76">
        <v>0</v>
      </c>
      <c r="I93" s="76">
        <v>0</v>
      </c>
      <c r="J93" s="77">
        <v>0</v>
      </c>
      <c r="K93" s="69">
        <f>+'Fluxo Consolidado'!D88</f>
        <v>1268342.8638095239</v>
      </c>
      <c r="L93" s="78">
        <f>+'Fluxo Consolidado'!E88</f>
        <v>2412143.9700000002</v>
      </c>
      <c r="M93" s="78">
        <f>+'Fluxo Consolidado'!F88</f>
        <v>0</v>
      </c>
      <c r="N93" s="70">
        <v>0</v>
      </c>
      <c r="O93" s="242">
        <f t="shared" si="37"/>
        <v>0.05</v>
      </c>
      <c r="P93" s="70">
        <f>+'Fluxo Consolidado'!H88</f>
        <v>-120607.19850000001</v>
      </c>
      <c r="Q93" s="70">
        <f>+'Fluxo Consolidado'!I88</f>
        <v>121390.53850000001</v>
      </c>
      <c r="R93" s="79">
        <f>'Fluxo Consolidado'!J88</f>
        <v>227004.37450546445</v>
      </c>
      <c r="S93" s="79">
        <f>'Fluxo Consolidado'!K88</f>
        <v>12</v>
      </c>
      <c r="T93" s="79">
        <f t="shared" si="55"/>
        <v>0</v>
      </c>
      <c r="U93" s="79">
        <v>3</v>
      </c>
      <c r="V93" s="79">
        <f t="shared" si="53"/>
        <v>3908274.5483149886</v>
      </c>
      <c r="W93" s="79">
        <v>0</v>
      </c>
      <c r="X93" s="79">
        <v>0</v>
      </c>
      <c r="Y93" s="71">
        <v>0</v>
      </c>
      <c r="Z93" s="38">
        <f t="shared" si="36"/>
        <v>5.6391989165506496E-4</v>
      </c>
      <c r="AA93" s="80">
        <v>0</v>
      </c>
      <c r="AB93" s="81">
        <f>+'Fluxo Consolidado'!P88</f>
        <v>0</v>
      </c>
      <c r="AC93" s="208">
        <f>'Fluxo Consolidado'!Q88</f>
        <v>0</v>
      </c>
      <c r="AD93" s="81">
        <f>+'Fluxo Consolidado'!R88</f>
        <v>0</v>
      </c>
      <c r="AE93" s="81">
        <f>+'Fluxo Consolidado'!S88</f>
        <v>0</v>
      </c>
      <c r="AF93" s="208">
        <f>'Fluxo Consolidado'!T88</f>
        <v>0</v>
      </c>
      <c r="AG93" s="81">
        <f>+'Fluxo Consolidado'!U88</f>
        <v>0</v>
      </c>
      <c r="AH93" s="246">
        <f>+'Fluxo Consolidado'!V88</f>
        <v>-40882.573224881242</v>
      </c>
      <c r="AI93" s="125" t="e">
        <f>+'Fluxo Consolidado'!#REF!</f>
        <v>#REF!</v>
      </c>
      <c r="AJ93" s="82">
        <f>+'Fluxo Consolidado'!X88</f>
        <v>-2000</v>
      </c>
      <c r="AK93" s="85">
        <v>0</v>
      </c>
      <c r="AL93" s="85">
        <f>+'Fluxo Consolidado'!Y88+'Fluxo Consolidado'!Z88+'Fluxo Consolidado'!AA88</f>
        <v>-2229.0528857142858</v>
      </c>
      <c r="AM93" s="85">
        <f>+'Fluxo Consolidado'!AB88+'Fluxo Consolidado'!AC88</f>
        <v>-81023.966383928579</v>
      </c>
      <c r="AN93" s="103">
        <f>+'Fluxo Consolidado'!AD88</f>
        <v>0</v>
      </c>
      <c r="AO93" s="85">
        <f>+'Fluxo Consolidado'!AF88+'Fluxo Consolidado'!AF88</f>
        <v>0</v>
      </c>
      <c r="AP93" s="83">
        <f>+'Fluxo Consolidado'!AG88</f>
        <v>0</v>
      </c>
      <c r="AQ93" s="119">
        <f>+'Fluxo Consolidado'!AH88</f>
        <v>-233793.82426192754</v>
      </c>
      <c r="AR93" s="85">
        <f>+'Fluxo Consolidado'!AI88</f>
        <v>-9209.81</v>
      </c>
      <c r="AS93" s="85">
        <f>+'Fluxo Consolidado'!AJ88</f>
        <v>-7969</v>
      </c>
      <c r="AT93" s="85">
        <v>0</v>
      </c>
      <c r="AU93" s="85">
        <f>+'Fluxo Consolidado'!AK88</f>
        <v>-18202.194785576095</v>
      </c>
      <c r="AV93" s="84">
        <f>+'Fluxo Consolidado'!AL88</f>
        <v>-2487.5300000000002</v>
      </c>
      <c r="AW93" s="82">
        <f t="shared" si="44"/>
        <v>-46758.76485238551</v>
      </c>
      <c r="AX93" s="82">
        <v>0</v>
      </c>
      <c r="AY93" s="82">
        <f>(-V92*$AY$1)+'Fluxo Consolidado'!AO88</f>
        <v>-155862.54950795171</v>
      </c>
      <c r="AZ93" s="84">
        <v>0</v>
      </c>
      <c r="BA93" s="122">
        <v>0</v>
      </c>
      <c r="BB93" s="81">
        <v>0</v>
      </c>
      <c r="BC93" s="81">
        <f>+'Fluxo Consolidado'!AP88</f>
        <v>0</v>
      </c>
      <c r="BD93" s="125">
        <f>+'Fluxo Consolidado'!AQ88</f>
        <v>0</v>
      </c>
      <c r="BE93" s="133"/>
      <c r="BF93" s="78">
        <f t="shared" si="57"/>
        <v>3908274.5483149886</v>
      </c>
      <c r="BG93" s="70" t="e">
        <f t="shared" si="58"/>
        <v>#REF!</v>
      </c>
      <c r="BH93" s="70" t="e">
        <f t="shared" si="43"/>
        <v>#REF!</v>
      </c>
      <c r="BI93" s="71" t="e">
        <f t="shared" si="42"/>
        <v>#REF!</v>
      </c>
      <c r="BJ93" s="201" t="e">
        <f t="shared" si="61"/>
        <v>#REF!</v>
      </c>
      <c r="BQ93" s="82">
        <v>0</v>
      </c>
      <c r="BR93" s="223">
        <v>-906663.98487312964</v>
      </c>
      <c r="BS93" s="223">
        <v>-65430.100378894298</v>
      </c>
      <c r="BT93" s="223">
        <v>0</v>
      </c>
      <c r="BU93" s="223">
        <v>-3889342.1386974542</v>
      </c>
      <c r="BV93" s="223">
        <v>3878262.4185212129</v>
      </c>
      <c r="BW93" s="223">
        <f t="shared" si="45"/>
        <v>-972094.08525202388</v>
      </c>
      <c r="BX93" s="83">
        <f t="shared" si="54"/>
        <v>-972094.08525202388</v>
      </c>
      <c r="BY93" s="78">
        <f t="shared" si="48"/>
        <v>2925100.7428867235</v>
      </c>
      <c r="BZ93" s="70" t="e">
        <f t="shared" si="49"/>
        <v>#REF!</v>
      </c>
      <c r="CA93" s="70" t="e">
        <f t="shared" si="50"/>
        <v>#REF!</v>
      </c>
      <c r="CB93" s="71" t="e">
        <f t="shared" si="51"/>
        <v>#REF!</v>
      </c>
      <c r="CC93" s="270" t="e">
        <f t="shared" si="52"/>
        <v>#REF!</v>
      </c>
      <c r="CD93" s="201"/>
      <c r="CE93" s="69" t="e">
        <f t="shared" si="59"/>
        <v>#REF!</v>
      </c>
      <c r="CF93" s="71" t="e">
        <f t="shared" si="60"/>
        <v>#REF!</v>
      </c>
    </row>
    <row r="94" spans="1:84" ht="15" customHeight="1">
      <c r="A94" s="35">
        <f t="shared" si="47"/>
        <v>32</v>
      </c>
      <c r="B94" s="87"/>
      <c r="C94" s="36">
        <v>44228</v>
      </c>
      <c r="D94" s="75">
        <v>0</v>
      </c>
      <c r="E94" s="110">
        <v>0</v>
      </c>
      <c r="F94" s="110">
        <v>0</v>
      </c>
      <c r="G94" s="110">
        <v>0</v>
      </c>
      <c r="H94" s="76">
        <v>0</v>
      </c>
      <c r="I94" s="76">
        <v>0</v>
      </c>
      <c r="J94" s="77">
        <v>0</v>
      </c>
      <c r="K94" s="69">
        <f>+'Fluxo Consolidado'!D89</f>
        <v>1268342.8638095239</v>
      </c>
      <c r="L94" s="78">
        <f>+'Fluxo Consolidado'!E89</f>
        <v>2399611.9700000002</v>
      </c>
      <c r="M94" s="78">
        <f>+'Fluxo Consolidado'!F89</f>
        <v>0</v>
      </c>
      <c r="N94" s="70">
        <v>0</v>
      </c>
      <c r="O94" s="242">
        <f t="shared" si="37"/>
        <v>0.05</v>
      </c>
      <c r="P94" s="70">
        <f>+'Fluxo Consolidado'!H89</f>
        <v>-119980.59850000002</v>
      </c>
      <c r="Q94" s="70">
        <f>+'Fluxo Consolidado'!I89</f>
        <v>121222.08000000002</v>
      </c>
      <c r="R94" s="79">
        <f>'Fluxo Consolidado'!J89</f>
        <v>245702.35947706178</v>
      </c>
      <c r="S94" s="79">
        <f>'Fluxo Consolidado'!K89</f>
        <v>13</v>
      </c>
      <c r="T94" s="79">
        <f t="shared" si="55"/>
        <v>0</v>
      </c>
      <c r="U94" s="79">
        <v>3</v>
      </c>
      <c r="V94" s="79">
        <f t="shared" si="53"/>
        <v>3914898.6747865858</v>
      </c>
      <c r="W94" s="79">
        <v>0</v>
      </c>
      <c r="X94" s="79">
        <v>0</v>
      </c>
      <c r="Y94" s="71">
        <v>0</v>
      </c>
      <c r="Z94" s="38">
        <f t="shared" si="36"/>
        <v>5.6391989165506496E-4</v>
      </c>
      <c r="AA94" s="80">
        <v>0</v>
      </c>
      <c r="AB94" s="81">
        <f>+'Fluxo Consolidado'!P89</f>
        <v>0</v>
      </c>
      <c r="AC94" s="208">
        <f>'Fluxo Consolidado'!Q89</f>
        <v>0</v>
      </c>
      <c r="AD94" s="81">
        <f>+'Fluxo Consolidado'!R89</f>
        <v>0</v>
      </c>
      <c r="AE94" s="81">
        <f>+'Fluxo Consolidado'!S89</f>
        <v>0</v>
      </c>
      <c r="AF94" s="208">
        <f>'Fluxo Consolidado'!T89</f>
        <v>0</v>
      </c>
      <c r="AG94" s="81">
        <f>+'Fluxo Consolidado'!U89</f>
        <v>0</v>
      </c>
      <c r="AH94" s="246">
        <f>+'Fluxo Consolidado'!V89</f>
        <v>-40882.573224881242</v>
      </c>
      <c r="AI94" s="125" t="e">
        <f>+'Fluxo Consolidado'!#REF!</f>
        <v>#REF!</v>
      </c>
      <c r="AJ94" s="82">
        <f>+'Fluxo Consolidado'!X89</f>
        <v>-2000</v>
      </c>
      <c r="AK94" s="85">
        <v>0</v>
      </c>
      <c r="AL94" s="85">
        <f>+'Fluxo Consolidado'!Y89+'Fluxo Consolidado'!Z89+'Fluxo Consolidado'!AA89</f>
        <v>0</v>
      </c>
      <c r="AM94" s="85">
        <f>+'Fluxo Consolidado'!AB89+'Fluxo Consolidado'!AC89</f>
        <v>-80766.18638392858</v>
      </c>
      <c r="AN94" s="103">
        <f>+'Fluxo Consolidado'!AD89</f>
        <v>0</v>
      </c>
      <c r="AO94" s="85">
        <f>+'Fluxo Consolidado'!AF89+'Fluxo Consolidado'!AF89</f>
        <v>0</v>
      </c>
      <c r="AP94" s="83">
        <f>+'Fluxo Consolidado'!AG89</f>
        <v>0</v>
      </c>
      <c r="AQ94" s="119">
        <f>+'Fluxo Consolidado'!AH89</f>
        <v>-234496.47289889932</v>
      </c>
      <c r="AR94" s="85">
        <f>+'Fluxo Consolidado'!AI89</f>
        <v>-9209.81</v>
      </c>
      <c r="AS94" s="85">
        <f>+'Fluxo Consolidado'!AJ89</f>
        <v>-7969</v>
      </c>
      <c r="AT94" s="85">
        <v>0</v>
      </c>
      <c r="AU94" s="85">
        <f>+'Fluxo Consolidado'!AK89</f>
        <v>-18162.545021184687</v>
      </c>
      <c r="AV94" s="84">
        <f>+'Fluxo Consolidado'!AL89</f>
        <v>-1672.17</v>
      </c>
      <c r="AW94" s="82">
        <f t="shared" si="44"/>
        <v>-46899.294579779867</v>
      </c>
      <c r="AX94" s="82">
        <v>0</v>
      </c>
      <c r="AY94" s="82">
        <f>(-V93*$AY$1)+'Fluxo Consolidado'!AO89</f>
        <v>-156330.98193259953</v>
      </c>
      <c r="AZ94" s="84">
        <v>0</v>
      </c>
      <c r="BA94" s="122">
        <v>0</v>
      </c>
      <c r="BB94" s="81">
        <v>0</v>
      </c>
      <c r="BC94" s="81">
        <f>+'Fluxo Consolidado'!AP89</f>
        <v>0</v>
      </c>
      <c r="BD94" s="125">
        <f>+'Fluxo Consolidado'!AQ89</f>
        <v>0</v>
      </c>
      <c r="BE94" s="133"/>
      <c r="BF94" s="78">
        <f t="shared" si="57"/>
        <v>3914898.6747865858</v>
      </c>
      <c r="BG94" s="70" t="e">
        <f t="shared" si="58"/>
        <v>#REF!</v>
      </c>
      <c r="BH94" s="70" t="e">
        <f t="shared" si="43"/>
        <v>#REF!</v>
      </c>
      <c r="BI94" s="71" t="e">
        <f t="shared" si="42"/>
        <v>#REF!</v>
      </c>
      <c r="BJ94" s="201" t="e">
        <f t="shared" si="61"/>
        <v>#REF!</v>
      </c>
      <c r="BQ94" s="82">
        <v>0</v>
      </c>
      <c r="BR94" s="223">
        <v>-901564.37634190009</v>
      </c>
      <c r="BS94" s="223">
        <v>-63894.06158803861</v>
      </c>
      <c r="BT94" s="223">
        <v>0</v>
      </c>
      <c r="BU94" s="223">
        <v>-3895898.3069552081</v>
      </c>
      <c r="BV94" s="223">
        <v>3889342.1386974542</v>
      </c>
      <c r="BW94" s="223">
        <f t="shared" si="45"/>
        <v>-965458.43792993866</v>
      </c>
      <c r="BX94" s="83">
        <f t="shared" si="54"/>
        <v>-965458.43792993866</v>
      </c>
      <c r="BY94" s="78">
        <f t="shared" si="48"/>
        <v>2942884.068598893</v>
      </c>
      <c r="BZ94" s="70" t="e">
        <f t="shared" si="49"/>
        <v>#REF!</v>
      </c>
      <c r="CA94" s="70" t="e">
        <f t="shared" si="50"/>
        <v>#REF!</v>
      </c>
      <c r="CB94" s="71" t="e">
        <f t="shared" si="51"/>
        <v>#REF!</v>
      </c>
      <c r="CC94" s="270" t="e">
        <f t="shared" si="52"/>
        <v>#REF!</v>
      </c>
      <c r="CD94" s="201"/>
      <c r="CE94" s="69" t="e">
        <f t="shared" si="59"/>
        <v>#REF!</v>
      </c>
      <c r="CF94" s="71" t="e">
        <f t="shared" si="60"/>
        <v>#REF!</v>
      </c>
    </row>
    <row r="95" spans="1:84" ht="15" customHeight="1">
      <c r="A95" s="35">
        <f t="shared" si="47"/>
        <v>33</v>
      </c>
      <c r="B95" s="87"/>
      <c r="C95" s="36">
        <v>44256</v>
      </c>
      <c r="D95" s="75">
        <v>0</v>
      </c>
      <c r="E95" s="110">
        <v>0</v>
      </c>
      <c r="F95" s="110">
        <v>0</v>
      </c>
      <c r="G95" s="110">
        <v>0</v>
      </c>
      <c r="H95" s="76">
        <v>0</v>
      </c>
      <c r="I95" s="76">
        <v>0</v>
      </c>
      <c r="J95" s="77">
        <v>0</v>
      </c>
      <c r="K95" s="69">
        <f>+'Fluxo Consolidado'!D90</f>
        <v>1268342.8638095239</v>
      </c>
      <c r="L95" s="78">
        <f>+'Fluxo Consolidado'!E90</f>
        <v>2375385.1800000002</v>
      </c>
      <c r="M95" s="78">
        <f>+'Fluxo Consolidado'!F90</f>
        <v>0</v>
      </c>
      <c r="N95" s="70">
        <v>0</v>
      </c>
      <c r="O95" s="242">
        <f t="shared" si="37"/>
        <v>0.05</v>
      </c>
      <c r="P95" s="70">
        <f>+'Fluxo Consolidado'!H90</f>
        <v>-118769.25900000002</v>
      </c>
      <c r="Q95" s="70">
        <f>+'Fluxo Consolidado'!I90</f>
        <v>120979.72350000002</v>
      </c>
      <c r="R95" s="79">
        <f>'Fluxo Consolidado'!J90</f>
        <v>263518.53656770103</v>
      </c>
      <c r="S95" s="79">
        <f>'Fluxo Consolidado'!K90</f>
        <v>14</v>
      </c>
      <c r="T95" s="79">
        <f t="shared" si="55"/>
        <v>0</v>
      </c>
      <c r="U95" s="79">
        <v>3</v>
      </c>
      <c r="V95" s="79">
        <f t="shared" si="53"/>
        <v>3909457.0448772251</v>
      </c>
      <c r="W95" s="79">
        <v>0</v>
      </c>
      <c r="X95" s="79">
        <v>0</v>
      </c>
      <c r="Y95" s="71">
        <v>0</v>
      </c>
      <c r="Z95" s="38">
        <f t="shared" si="36"/>
        <v>5.6391989165506496E-4</v>
      </c>
      <c r="AA95" s="80">
        <v>0</v>
      </c>
      <c r="AB95" s="81">
        <f>+'Fluxo Consolidado'!P90</f>
        <v>0</v>
      </c>
      <c r="AC95" s="208">
        <f>'Fluxo Consolidado'!Q90</f>
        <v>0</v>
      </c>
      <c r="AD95" s="81">
        <f>+'Fluxo Consolidado'!R90</f>
        <v>0</v>
      </c>
      <c r="AE95" s="81">
        <f>+'Fluxo Consolidado'!S90</f>
        <v>0</v>
      </c>
      <c r="AF95" s="208">
        <f>'Fluxo Consolidado'!T90</f>
        <v>0</v>
      </c>
      <c r="AG95" s="81">
        <f>+'Fluxo Consolidado'!U90</f>
        <v>0</v>
      </c>
      <c r="AH95" s="246">
        <f>+'Fluxo Consolidado'!V90</f>
        <v>-40882.573224881242</v>
      </c>
      <c r="AI95" s="125" t="e">
        <f>+'Fluxo Consolidado'!#REF!</f>
        <v>#REF!</v>
      </c>
      <c r="AJ95" s="82">
        <f>+'Fluxo Consolidado'!X90</f>
        <v>-2000</v>
      </c>
      <c r="AK95" s="85">
        <v>0</v>
      </c>
      <c r="AL95" s="85">
        <f>+'Fluxo Consolidado'!Y90+'Fluxo Consolidado'!Z90+'Fluxo Consolidado'!AA90</f>
        <v>0</v>
      </c>
      <c r="AM95" s="85">
        <f>+'Fluxo Consolidado'!AB90+'Fluxo Consolidado'!AC90</f>
        <v>-80223.716383928579</v>
      </c>
      <c r="AN95" s="103">
        <f>+'Fluxo Consolidado'!AD90</f>
        <v>0</v>
      </c>
      <c r="AO95" s="85">
        <f>+'Fluxo Consolidado'!AF90+'Fluxo Consolidado'!AF90</f>
        <v>0</v>
      </c>
      <c r="AP95" s="83">
        <f>+'Fluxo Consolidado'!AG90</f>
        <v>0</v>
      </c>
      <c r="AQ95" s="119">
        <f>+'Fluxo Consolidado'!AH90</f>
        <v>-234893.92048719514</v>
      </c>
      <c r="AR95" s="85">
        <f>+'Fluxo Consolidado'!AI90</f>
        <v>-9209.81</v>
      </c>
      <c r="AS95" s="85">
        <f>+'Fluxo Consolidado'!AJ90</f>
        <v>-7969</v>
      </c>
      <c r="AT95" s="85">
        <v>0</v>
      </c>
      <c r="AU95" s="85">
        <f>+'Fluxo Consolidado'!AK90</f>
        <v>-18103.45817134493</v>
      </c>
      <c r="AV95" s="84">
        <f>+'Fluxo Consolidado'!AL90</f>
        <v>-767.84</v>
      </c>
      <c r="AW95" s="82">
        <f t="shared" ref="AW95:AW126" si="62">-V94*$AW$2</f>
        <v>-46978.784097439035</v>
      </c>
      <c r="AX95" s="82">
        <v>0</v>
      </c>
      <c r="AY95" s="82">
        <f>(-V94*$AY$1)+'Fluxo Consolidado'!AO90</f>
        <v>-156595.94699146342</v>
      </c>
      <c r="AZ95" s="84">
        <v>0</v>
      </c>
      <c r="BA95" s="122">
        <v>0</v>
      </c>
      <c r="BB95" s="81">
        <v>0</v>
      </c>
      <c r="BC95" s="81">
        <f>+'Fluxo Consolidado'!AP90</f>
        <v>0</v>
      </c>
      <c r="BD95" s="125">
        <f>+'Fluxo Consolidado'!AQ90</f>
        <v>0</v>
      </c>
      <c r="BE95" s="133"/>
      <c r="BF95" s="78">
        <f t="shared" si="57"/>
        <v>3909457.0448772251</v>
      </c>
      <c r="BG95" s="70" t="e">
        <f t="shared" si="58"/>
        <v>#REF!</v>
      </c>
      <c r="BH95" s="70" t="e">
        <f t="shared" si="43"/>
        <v>#REF!</v>
      </c>
      <c r="BI95" s="71" t="e">
        <f t="shared" si="42"/>
        <v>#REF!</v>
      </c>
      <c r="BJ95" s="201" t="e">
        <f t="shared" si="61"/>
        <v>#REF!</v>
      </c>
      <c r="BQ95" s="82">
        <v>0</v>
      </c>
      <c r="BR95" s="223">
        <v>-896464.76781067031</v>
      </c>
      <c r="BS95" s="223">
        <v>-62401.5743890003</v>
      </c>
      <c r="BT95" s="223">
        <v>0</v>
      </c>
      <c r="BU95" s="223">
        <v>-3889787.4911517352</v>
      </c>
      <c r="BV95" s="223">
        <v>3895898.3069552081</v>
      </c>
      <c r="BW95" s="223">
        <f t="shared" ref="BW95:BW126" si="63">SUM(BQ95:BT95)</f>
        <v>-958866.34219967062</v>
      </c>
      <c r="BX95" s="83">
        <f t="shared" si="54"/>
        <v>-958866.34219967062</v>
      </c>
      <c r="BY95" s="78">
        <f t="shared" si="48"/>
        <v>2956701.5184810273</v>
      </c>
      <c r="BZ95" s="70" t="e">
        <f t="shared" si="49"/>
        <v>#REF!</v>
      </c>
      <c r="CA95" s="70" t="e">
        <f t="shared" si="50"/>
        <v>#REF!</v>
      </c>
      <c r="CB95" s="71" t="e">
        <f t="shared" si="51"/>
        <v>#REF!</v>
      </c>
      <c r="CC95" s="270" t="e">
        <f t="shared" si="52"/>
        <v>#REF!</v>
      </c>
      <c r="CD95" s="201"/>
      <c r="CE95" s="69" t="e">
        <f t="shared" si="59"/>
        <v>#REF!</v>
      </c>
      <c r="CF95" s="71" t="e">
        <f t="shared" si="60"/>
        <v>#REF!</v>
      </c>
    </row>
    <row r="96" spans="1:84" ht="15" customHeight="1">
      <c r="A96" s="35">
        <f t="shared" si="47"/>
        <v>34</v>
      </c>
      <c r="B96" s="87"/>
      <c r="C96" s="36">
        <v>44287</v>
      </c>
      <c r="D96" s="75">
        <v>0</v>
      </c>
      <c r="E96" s="110">
        <v>0</v>
      </c>
      <c r="F96" s="110">
        <v>0</v>
      </c>
      <c r="G96" s="110">
        <v>0</v>
      </c>
      <c r="H96" s="76">
        <v>0</v>
      </c>
      <c r="I96" s="76">
        <v>0</v>
      </c>
      <c r="J96" s="77">
        <v>0</v>
      </c>
      <c r="K96" s="69">
        <f>+'Fluxo Consolidado'!D91</f>
        <v>1268342.8638095239</v>
      </c>
      <c r="L96" s="78">
        <f>+'Fluxo Consolidado'!E91</f>
        <v>2369299.81</v>
      </c>
      <c r="M96" s="78">
        <f>+'Fluxo Consolidado'!F91</f>
        <v>0</v>
      </c>
      <c r="N96" s="70">
        <v>0</v>
      </c>
      <c r="O96" s="242">
        <f t="shared" si="37"/>
        <v>0.05</v>
      </c>
      <c r="P96" s="70">
        <f>+'Fluxo Consolidado'!H91</f>
        <v>-118464.99050000001</v>
      </c>
      <c r="Q96" s="70">
        <f>+'Fluxo Consolidado'!I91</f>
        <v>120607.19850000001</v>
      </c>
      <c r="R96" s="79">
        <f>'Fluxo Consolidado'!J91</f>
        <v>282582.04126875009</v>
      </c>
      <c r="S96" s="79">
        <f>'Fluxo Consolidado'!K91</f>
        <v>15</v>
      </c>
      <c r="T96" s="79">
        <f t="shared" si="55"/>
        <v>0</v>
      </c>
      <c r="U96" s="79">
        <v>3</v>
      </c>
      <c r="V96" s="79">
        <f t="shared" si="53"/>
        <v>3922366.9230782739</v>
      </c>
      <c r="W96" s="79">
        <v>0</v>
      </c>
      <c r="X96" s="79">
        <v>0</v>
      </c>
      <c r="Y96" s="71">
        <v>0</v>
      </c>
      <c r="Z96" s="38">
        <f t="shared" si="36"/>
        <v>5.6391989165506496E-4</v>
      </c>
      <c r="AA96" s="80">
        <v>0</v>
      </c>
      <c r="AB96" s="81">
        <f>+'Fluxo Consolidado'!P91</f>
        <v>0</v>
      </c>
      <c r="AC96" s="208">
        <f>'Fluxo Consolidado'!Q91</f>
        <v>0</v>
      </c>
      <c r="AD96" s="81">
        <f>+'Fluxo Consolidado'!R91</f>
        <v>0</v>
      </c>
      <c r="AE96" s="81">
        <f>+'Fluxo Consolidado'!S91</f>
        <v>0</v>
      </c>
      <c r="AF96" s="208">
        <f>'Fluxo Consolidado'!T91</f>
        <v>0</v>
      </c>
      <c r="AG96" s="81">
        <f>+'Fluxo Consolidado'!U91</f>
        <v>0</v>
      </c>
      <c r="AH96" s="246">
        <f>+'Fluxo Consolidado'!V91</f>
        <v>-40882.573224881242</v>
      </c>
      <c r="AI96" s="125" t="e">
        <f>+'Fluxo Consolidado'!#REF!</f>
        <v>#REF!</v>
      </c>
      <c r="AJ96" s="82">
        <f>+'Fluxo Consolidado'!X91</f>
        <v>-2000</v>
      </c>
      <c r="AK96" s="85">
        <v>0</v>
      </c>
      <c r="AL96" s="85">
        <f>+'Fluxo Consolidado'!Y91+'Fluxo Consolidado'!Z91+'Fluxo Consolidado'!AA91</f>
        <v>0</v>
      </c>
      <c r="AM96" s="85">
        <f>+'Fluxo Consolidado'!AB91+'Fluxo Consolidado'!AC91</f>
        <v>-80058.456383928569</v>
      </c>
      <c r="AN96" s="103">
        <f>+'Fluxo Consolidado'!AD91</f>
        <v>0</v>
      </c>
      <c r="AO96" s="85">
        <f>+'Fluxo Consolidado'!AF91+'Fluxo Consolidado'!AF91</f>
        <v>0</v>
      </c>
      <c r="AP96" s="83">
        <f>+'Fluxo Consolidado'!AG91</f>
        <v>0</v>
      </c>
      <c r="AQ96" s="119">
        <f>+'Fluxo Consolidado'!AH91</f>
        <v>-234567.4226926335</v>
      </c>
      <c r="AR96" s="85">
        <f>+'Fluxo Consolidado'!AI91</f>
        <v>-9209.81</v>
      </c>
      <c r="AS96" s="85">
        <f>+'Fluxo Consolidado'!AJ91</f>
        <v>-23969</v>
      </c>
      <c r="AT96" s="85">
        <v>0</v>
      </c>
      <c r="AU96" s="85">
        <f>+'Fluxo Consolidado'!AK91</f>
        <v>-17980.729151271775</v>
      </c>
      <c r="AV96" s="84">
        <f>+'Fluxo Consolidado'!AL91</f>
        <v>-767.84</v>
      </c>
      <c r="AW96" s="82">
        <f t="shared" si="62"/>
        <v>-46913.484538526704</v>
      </c>
      <c r="AX96" s="82">
        <v>0</v>
      </c>
      <c r="AY96" s="82">
        <f>(-V95*$AY$1)+'Fluxo Consolidado'!AO91</f>
        <v>-166378.28179508902</v>
      </c>
      <c r="AZ96" s="84">
        <v>0</v>
      </c>
      <c r="BA96" s="122">
        <v>0</v>
      </c>
      <c r="BB96" s="81">
        <v>0</v>
      </c>
      <c r="BC96" s="81">
        <f>+'Fluxo Consolidado'!AP91</f>
        <v>0</v>
      </c>
      <c r="BD96" s="125">
        <f>+'Fluxo Consolidado'!AQ91</f>
        <v>0</v>
      </c>
      <c r="BE96" s="133"/>
      <c r="BF96" s="78">
        <f t="shared" si="57"/>
        <v>3922366.9230782739</v>
      </c>
      <c r="BG96" s="70" t="e">
        <f t="shared" si="58"/>
        <v>#REF!</v>
      </c>
      <c r="BH96" s="70" t="e">
        <f t="shared" si="43"/>
        <v>#REF!</v>
      </c>
      <c r="BI96" s="71" t="e">
        <f t="shared" si="42"/>
        <v>#REF!</v>
      </c>
      <c r="BJ96" s="201" t="e">
        <f t="shared" si="61"/>
        <v>#REF!</v>
      </c>
      <c r="BQ96" s="82">
        <v>0</v>
      </c>
      <c r="BR96" s="223">
        <v>-891365.15927944065</v>
      </c>
      <c r="BS96" s="223">
        <v>-60951.403955444817</v>
      </c>
      <c r="BT96" s="223">
        <v>0</v>
      </c>
      <c r="BU96" s="223">
        <v>-3902603.3115143836</v>
      </c>
      <c r="BV96" s="223">
        <v>3889787.4911517352</v>
      </c>
      <c r="BW96" s="223">
        <f t="shared" si="63"/>
        <v>-952316.56323488546</v>
      </c>
      <c r="BX96" s="83">
        <f t="shared" si="54"/>
        <v>-952316.56323488546</v>
      </c>
      <c r="BY96" s="78">
        <f t="shared" ref="BY96:BY127" si="64">V96+BQ96+BR96+BS96+BT96+BU96+BV96</f>
        <v>2957234.5394807402</v>
      </c>
      <c r="BZ96" s="70" t="e">
        <f t="shared" si="49"/>
        <v>#REF!</v>
      </c>
      <c r="CA96" s="70" t="e">
        <f t="shared" si="50"/>
        <v>#REF!</v>
      </c>
      <c r="CB96" s="71" t="e">
        <f t="shared" si="51"/>
        <v>#REF!</v>
      </c>
      <c r="CC96" s="270" t="e">
        <f t="shared" si="52"/>
        <v>#REF!</v>
      </c>
      <c r="CD96" s="201"/>
      <c r="CE96" s="69" t="e">
        <f t="shared" si="59"/>
        <v>#REF!</v>
      </c>
      <c r="CF96" s="71" t="e">
        <f t="shared" si="60"/>
        <v>#REF!</v>
      </c>
    </row>
    <row r="97" spans="1:84" ht="15" customHeight="1">
      <c r="A97" s="35">
        <f t="shared" si="47"/>
        <v>35</v>
      </c>
      <c r="B97" s="87"/>
      <c r="C97" s="36">
        <v>44317</v>
      </c>
      <c r="D97" s="75">
        <v>0</v>
      </c>
      <c r="E97" s="110">
        <v>0</v>
      </c>
      <c r="F97" s="110">
        <v>0</v>
      </c>
      <c r="G97" s="110">
        <v>0</v>
      </c>
      <c r="H97" s="76">
        <v>0</v>
      </c>
      <c r="I97" s="76">
        <v>0</v>
      </c>
      <c r="J97" s="77">
        <v>0</v>
      </c>
      <c r="K97" s="69">
        <f>+'Fluxo Consolidado'!D92</f>
        <v>1268342.8638095239</v>
      </c>
      <c r="L97" s="78">
        <f>+'Fluxo Consolidado'!E92</f>
        <v>2365370.37</v>
      </c>
      <c r="M97" s="78">
        <f>+'Fluxo Consolidado'!F92</f>
        <v>0</v>
      </c>
      <c r="N97" s="70">
        <v>0</v>
      </c>
      <c r="O97" s="242">
        <f t="shared" si="37"/>
        <v>0.05</v>
      </c>
      <c r="P97" s="70">
        <f>+'Fluxo Consolidado'!H92</f>
        <v>-118268.51850000001</v>
      </c>
      <c r="Q97" s="70">
        <f>+'Fluxo Consolidado'!I92</f>
        <v>119980.59850000002</v>
      </c>
      <c r="R97" s="79">
        <f>'Fluxo Consolidado'!J92</f>
        <v>301856.74173947098</v>
      </c>
      <c r="S97" s="79">
        <f>'Fluxo Consolidado'!K92</f>
        <v>16</v>
      </c>
      <c r="T97" s="79">
        <f t="shared" si="55"/>
        <v>0</v>
      </c>
      <c r="U97" s="79">
        <v>3</v>
      </c>
      <c r="V97" s="79">
        <f t="shared" si="53"/>
        <v>3937282.0555489948</v>
      </c>
      <c r="W97" s="79">
        <v>0</v>
      </c>
      <c r="X97" s="79">
        <v>0</v>
      </c>
      <c r="Y97" s="71">
        <v>0</v>
      </c>
      <c r="Z97" s="38">
        <f t="shared" si="36"/>
        <v>0</v>
      </c>
      <c r="AA97" s="80">
        <v>0</v>
      </c>
      <c r="AB97" s="81">
        <f>+'Fluxo Consolidado'!P92</f>
        <v>0</v>
      </c>
      <c r="AC97" s="208">
        <f>'Fluxo Consolidado'!Q92</f>
        <v>0</v>
      </c>
      <c r="AD97" s="81">
        <f>+'Fluxo Consolidado'!R92</f>
        <v>0</v>
      </c>
      <c r="AE97" s="81">
        <f>+'Fluxo Consolidado'!S92</f>
        <v>0</v>
      </c>
      <c r="AF97" s="208">
        <f>'Fluxo Consolidado'!T92</f>
        <v>0</v>
      </c>
      <c r="AG97" s="81">
        <f>+'Fluxo Consolidado'!U92</f>
        <v>0</v>
      </c>
      <c r="AH97" s="246">
        <f>+'Fluxo Consolidado'!V92</f>
        <v>0</v>
      </c>
      <c r="AI97" s="125" t="e">
        <f>+'Fluxo Consolidado'!#REF!</f>
        <v>#REF!</v>
      </c>
      <c r="AJ97" s="82">
        <f>+'Fluxo Consolidado'!X92</f>
        <v>-2000</v>
      </c>
      <c r="AK97" s="85">
        <v>0</v>
      </c>
      <c r="AL97" s="85">
        <f>+'Fluxo Consolidado'!Y92+'Fluxo Consolidado'!Z92+'Fluxo Consolidado'!AA92</f>
        <v>0</v>
      </c>
      <c r="AM97" s="85">
        <f>+'Fluxo Consolidado'!AB92+'Fluxo Consolidado'!AC92</f>
        <v>-80034.576383928579</v>
      </c>
      <c r="AN97" s="103">
        <f>+'Fluxo Consolidado'!AD92</f>
        <v>0</v>
      </c>
      <c r="AO97" s="85">
        <f>+'Fluxo Consolidado'!AF92+'Fluxo Consolidado'!AF92</f>
        <v>0</v>
      </c>
      <c r="AP97" s="83">
        <f>+'Fluxo Consolidado'!AG92</f>
        <v>0</v>
      </c>
      <c r="AQ97" s="119">
        <f>+'Fluxo Consolidado'!AH92</f>
        <v>-235342.01538469642</v>
      </c>
      <c r="AR97" s="85">
        <f>+'Fluxo Consolidado'!AI92</f>
        <v>-9209.81</v>
      </c>
      <c r="AS97" s="85">
        <f>+'Fluxo Consolidado'!AJ92</f>
        <v>-23969</v>
      </c>
      <c r="AT97" s="85">
        <v>0</v>
      </c>
      <c r="AU97" s="85">
        <f>+'Fluxo Consolidado'!AK92</f>
        <v>-17947.317671519188</v>
      </c>
      <c r="AV97" s="84">
        <f>+'Fluxo Consolidado'!AL92</f>
        <v>-767.84</v>
      </c>
      <c r="AW97" s="82">
        <f t="shared" si="62"/>
        <v>-47068.403076939285</v>
      </c>
      <c r="AX97" s="82">
        <v>0</v>
      </c>
      <c r="AY97" s="82">
        <f>(-V96*$AY$1)+'Fluxo Consolidado'!AO92</f>
        <v>-166894.67692313096</v>
      </c>
      <c r="AZ97" s="84">
        <v>0</v>
      </c>
      <c r="BA97" s="122">
        <v>0</v>
      </c>
      <c r="BB97" s="81">
        <v>0</v>
      </c>
      <c r="BC97" s="81">
        <f>+'Fluxo Consolidado'!AP92</f>
        <v>0</v>
      </c>
      <c r="BD97" s="125">
        <f>+'Fluxo Consolidado'!AQ92</f>
        <v>0</v>
      </c>
      <c r="BE97" s="133"/>
      <c r="BF97" s="78">
        <f t="shared" si="57"/>
        <v>3937282.0555489948</v>
      </c>
      <c r="BG97" s="70" t="e">
        <f t="shared" si="58"/>
        <v>#REF!</v>
      </c>
      <c r="BH97" s="70" t="e">
        <f t="shared" si="43"/>
        <v>#REF!</v>
      </c>
      <c r="BI97" s="71" t="e">
        <f t="shared" si="42"/>
        <v>#REF!</v>
      </c>
      <c r="BJ97" s="201" t="e">
        <f t="shared" si="61"/>
        <v>#REF!</v>
      </c>
      <c r="BQ97" s="82">
        <v>0</v>
      </c>
      <c r="BR97" s="223">
        <v>-886265.55074821087</v>
      </c>
      <c r="BS97" s="223">
        <v>-59542.350472296981</v>
      </c>
      <c r="BT97" s="223">
        <v>0</v>
      </c>
      <c r="BU97" s="223">
        <v>-3918039.8664320009</v>
      </c>
      <c r="BV97" s="223">
        <v>3902603.3115143836</v>
      </c>
      <c r="BW97" s="223">
        <f t="shared" si="63"/>
        <v>-945807.9012205078</v>
      </c>
      <c r="BX97" s="83">
        <f t="shared" si="54"/>
        <v>-945807.9012205078</v>
      </c>
      <c r="BY97" s="78">
        <f t="shared" si="64"/>
        <v>2976037.5994108696</v>
      </c>
      <c r="BZ97" s="70" t="e">
        <f t="shared" si="49"/>
        <v>#REF!</v>
      </c>
      <c r="CA97" s="70" t="e">
        <f t="shared" si="50"/>
        <v>#REF!</v>
      </c>
      <c r="CB97" s="71" t="e">
        <f t="shared" si="51"/>
        <v>#REF!</v>
      </c>
      <c r="CC97" s="270" t="e">
        <f t="shared" si="52"/>
        <v>#REF!</v>
      </c>
      <c r="CD97" s="201"/>
      <c r="CE97" s="69" t="e">
        <f t="shared" si="59"/>
        <v>#REF!</v>
      </c>
      <c r="CF97" s="71" t="e">
        <f t="shared" si="60"/>
        <v>#REF!</v>
      </c>
    </row>
    <row r="98" spans="1:84" ht="15" customHeight="1">
      <c r="A98" s="35">
        <f t="shared" si="47"/>
        <v>36</v>
      </c>
      <c r="B98" s="87"/>
      <c r="C98" s="36">
        <v>44348</v>
      </c>
      <c r="D98" s="75">
        <v>0</v>
      </c>
      <c r="E98" s="110">
        <v>0</v>
      </c>
      <c r="F98" s="110">
        <v>0</v>
      </c>
      <c r="G98" s="110">
        <v>0</v>
      </c>
      <c r="H98" s="76">
        <v>0</v>
      </c>
      <c r="I98" s="76">
        <v>0</v>
      </c>
      <c r="J98" s="77">
        <v>0</v>
      </c>
      <c r="K98" s="69">
        <f>+'Fluxo Consolidado'!D93</f>
        <v>1268342.8638095239</v>
      </c>
      <c r="L98" s="78">
        <f>+'Fluxo Consolidado'!E93</f>
        <v>2357920.98</v>
      </c>
      <c r="M98" s="78">
        <f>+'Fluxo Consolidado'!F93</f>
        <v>0</v>
      </c>
      <c r="N98" s="70">
        <v>0</v>
      </c>
      <c r="O98" s="242">
        <f t="shared" si="37"/>
        <v>0.05</v>
      </c>
      <c r="P98" s="70">
        <f>+'Fluxo Consolidado'!H93</f>
        <v>-117896.049</v>
      </c>
      <c r="Q98" s="70">
        <f>+'Fluxo Consolidado'!I93</f>
        <v>118769.25900000002</v>
      </c>
      <c r="R98" s="79">
        <f>'Fluxo Consolidado'!J93</f>
        <v>320875.42111659376</v>
      </c>
      <c r="S98" s="79">
        <f>'Fluxo Consolidado'!K93</f>
        <v>17</v>
      </c>
      <c r="T98" s="79">
        <f t="shared" si="55"/>
        <v>0</v>
      </c>
      <c r="U98" s="79">
        <v>3</v>
      </c>
      <c r="V98" s="79">
        <f t="shared" si="53"/>
        <v>3948012.4749261178</v>
      </c>
      <c r="W98" s="79">
        <v>0</v>
      </c>
      <c r="X98" s="79">
        <v>0</v>
      </c>
      <c r="Y98" s="71">
        <v>0</v>
      </c>
      <c r="Z98" s="38">
        <f t="shared" si="36"/>
        <v>0</v>
      </c>
      <c r="AA98" s="80">
        <v>0</v>
      </c>
      <c r="AB98" s="81">
        <f>+'Fluxo Consolidado'!P93</f>
        <v>0</v>
      </c>
      <c r="AC98" s="208">
        <f>'Fluxo Consolidado'!Q93</f>
        <v>0</v>
      </c>
      <c r="AD98" s="81">
        <f>+'Fluxo Consolidado'!R93</f>
        <v>0</v>
      </c>
      <c r="AE98" s="81">
        <f>+'Fluxo Consolidado'!S93</f>
        <v>0</v>
      </c>
      <c r="AF98" s="208">
        <f>'Fluxo Consolidado'!T93</f>
        <v>0</v>
      </c>
      <c r="AG98" s="81">
        <f>+'Fluxo Consolidado'!U93</f>
        <v>0</v>
      </c>
      <c r="AH98" s="246">
        <f>+'Fluxo Consolidado'!V93</f>
        <v>0</v>
      </c>
      <c r="AI98" s="125" t="e">
        <f>+'Fluxo Consolidado'!#REF!</f>
        <v>#REF!</v>
      </c>
      <c r="AJ98" s="82">
        <f>+'Fluxo Consolidado'!X93</f>
        <v>-2000</v>
      </c>
      <c r="AK98" s="85">
        <v>0</v>
      </c>
      <c r="AL98" s="85">
        <f>+'Fluxo Consolidado'!Y93+'Fluxo Consolidado'!Z93+'Fluxo Consolidado'!AA93</f>
        <v>0</v>
      </c>
      <c r="AM98" s="85">
        <f>+'Fluxo Consolidado'!AB93+'Fluxo Consolidado'!AC93</f>
        <v>-79859.156383928566</v>
      </c>
      <c r="AN98" s="103">
        <f>+'Fluxo Consolidado'!AD93</f>
        <v>0</v>
      </c>
      <c r="AO98" s="85">
        <f>+'Fluxo Consolidado'!AF93+'Fluxo Consolidado'!AF93</f>
        <v>0</v>
      </c>
      <c r="AP98" s="83">
        <f>+'Fluxo Consolidado'!AG93</f>
        <v>0</v>
      </c>
      <c r="AQ98" s="119">
        <f>+'Fluxo Consolidado'!AH93</f>
        <v>-236236.92333293968</v>
      </c>
      <c r="AR98" s="85">
        <f>+'Fluxo Consolidado'!AI93</f>
        <v>-9209.81</v>
      </c>
      <c r="AS98" s="85">
        <f>+'Fluxo Consolidado'!AJ93</f>
        <v>-7969</v>
      </c>
      <c r="AT98" s="85">
        <v>0</v>
      </c>
      <c r="AU98" s="85">
        <f>+'Fluxo Consolidado'!AK93</f>
        <v>-17924.75445762217</v>
      </c>
      <c r="AV98" s="84">
        <f>+'Fluxo Consolidado'!AL93</f>
        <v>-767.84</v>
      </c>
      <c r="AW98" s="82">
        <f t="shared" si="62"/>
        <v>-47247.384666587939</v>
      </c>
      <c r="AX98" s="82">
        <v>0</v>
      </c>
      <c r="AY98" s="82">
        <f>(-V97*$AY$1)+'Fluxo Consolidado'!AO93</f>
        <v>-157491.28222195979</v>
      </c>
      <c r="AZ98" s="84">
        <v>0</v>
      </c>
      <c r="BA98" s="122">
        <v>0</v>
      </c>
      <c r="BB98" s="81">
        <v>0</v>
      </c>
      <c r="BC98" s="81">
        <f>+'Fluxo Consolidado'!AP93</f>
        <v>0</v>
      </c>
      <c r="BD98" s="125">
        <f>+'Fluxo Consolidado'!AQ93</f>
        <v>0</v>
      </c>
      <c r="BE98" s="133"/>
      <c r="BF98" s="78">
        <f t="shared" si="57"/>
        <v>3948012.4749261178</v>
      </c>
      <c r="BG98" s="70" t="e">
        <f t="shared" si="58"/>
        <v>#REF!</v>
      </c>
      <c r="BH98" s="70" t="e">
        <f t="shared" si="43"/>
        <v>#REF!</v>
      </c>
      <c r="BI98" s="71" t="e">
        <f t="shared" si="42"/>
        <v>#REF!</v>
      </c>
      <c r="BJ98" s="201" t="e">
        <f t="shared" si="61"/>
        <v>#REF!</v>
      </c>
      <c r="BQ98" s="82">
        <v>0</v>
      </c>
      <c r="BR98" s="223">
        <v>-881165.94221698132</v>
      </c>
      <c r="BS98" s="223">
        <v>-58173.248143060249</v>
      </c>
      <c r="BT98" s="223">
        <v>0</v>
      </c>
      <c r="BU98" s="223">
        <v>-3929381.3224375071</v>
      </c>
      <c r="BV98" s="223">
        <v>3918039.8664320009</v>
      </c>
      <c r="BW98" s="223">
        <f t="shared" si="63"/>
        <v>-939339.19036004157</v>
      </c>
      <c r="BX98" s="83">
        <f t="shared" si="54"/>
        <v>-939339.19036004157</v>
      </c>
      <c r="BY98" s="78">
        <f t="shared" si="64"/>
        <v>2997331.8285605703</v>
      </c>
      <c r="BZ98" s="70" t="e">
        <f t="shared" si="49"/>
        <v>#REF!</v>
      </c>
      <c r="CA98" s="70" t="e">
        <f t="shared" si="50"/>
        <v>#REF!</v>
      </c>
      <c r="CB98" s="71" t="e">
        <f t="shared" si="51"/>
        <v>#REF!</v>
      </c>
      <c r="CC98" s="270" t="e">
        <f t="shared" si="52"/>
        <v>#REF!</v>
      </c>
      <c r="CD98" s="201"/>
      <c r="CE98" s="69" t="e">
        <f t="shared" si="59"/>
        <v>#REF!</v>
      </c>
      <c r="CF98" s="71" t="e">
        <f t="shared" si="60"/>
        <v>#REF!</v>
      </c>
    </row>
    <row r="99" spans="1:84" ht="15" customHeight="1">
      <c r="A99" s="35">
        <f t="shared" si="47"/>
        <v>37</v>
      </c>
      <c r="B99" s="87"/>
      <c r="C99" s="36">
        <v>44378</v>
      </c>
      <c r="D99" s="75">
        <v>0</v>
      </c>
      <c r="E99" s="110">
        <v>0</v>
      </c>
      <c r="F99" s="110">
        <v>0</v>
      </c>
      <c r="G99" s="110">
        <v>0</v>
      </c>
      <c r="H99" s="76">
        <v>0</v>
      </c>
      <c r="I99" s="76">
        <v>0</v>
      </c>
      <c r="J99" s="77">
        <v>0</v>
      </c>
      <c r="K99" s="69">
        <f>+'Fluxo Consolidado'!D94</f>
        <v>1268342.8638095239</v>
      </c>
      <c r="L99" s="78">
        <f>+'Fluxo Consolidado'!E94</f>
        <v>2354054.9700000002</v>
      </c>
      <c r="M99" s="78">
        <f>+'Fluxo Consolidado'!F94</f>
        <v>0</v>
      </c>
      <c r="N99" s="70">
        <v>0</v>
      </c>
      <c r="O99" s="242">
        <f t="shared" si="37"/>
        <v>0.05</v>
      </c>
      <c r="P99" s="70">
        <f>+'Fluxo Consolidado'!H94</f>
        <v>-117702.74850000002</v>
      </c>
      <c r="Q99" s="70">
        <f>+'Fluxo Consolidado'!I94</f>
        <v>118464.99050000001</v>
      </c>
      <c r="R99" s="79">
        <f>'Fluxo Consolidado'!J94</f>
        <v>340247.98722156556</v>
      </c>
      <c r="S99" s="79">
        <f>'Fluxo Consolidado'!K94</f>
        <v>18</v>
      </c>
      <c r="T99" s="79">
        <f t="shared" si="55"/>
        <v>0</v>
      </c>
      <c r="U99" s="79">
        <v>3</v>
      </c>
      <c r="V99" s="79">
        <f t="shared" si="53"/>
        <v>3963408.0630310895</v>
      </c>
      <c r="W99" s="79">
        <v>0</v>
      </c>
      <c r="X99" s="79">
        <v>0</v>
      </c>
      <c r="Y99" s="71">
        <v>0</v>
      </c>
      <c r="Z99" s="38">
        <f t="shared" si="36"/>
        <v>0</v>
      </c>
      <c r="AA99" s="80">
        <v>0</v>
      </c>
      <c r="AB99" s="81">
        <f>+'Fluxo Consolidado'!P94</f>
        <v>0</v>
      </c>
      <c r="AC99" s="208">
        <f>'Fluxo Consolidado'!Q94</f>
        <v>0</v>
      </c>
      <c r="AD99" s="81">
        <f>+'Fluxo Consolidado'!R94</f>
        <v>0</v>
      </c>
      <c r="AE99" s="81">
        <f>+'Fluxo Consolidado'!S94</f>
        <v>0</v>
      </c>
      <c r="AF99" s="208">
        <f>'Fluxo Consolidado'!T94</f>
        <v>0</v>
      </c>
      <c r="AG99" s="81">
        <f>+'Fluxo Consolidado'!U94</f>
        <v>0</v>
      </c>
      <c r="AH99" s="246">
        <f>+'Fluxo Consolidado'!V94</f>
        <v>0</v>
      </c>
      <c r="AI99" s="125" t="e">
        <f>+'Fluxo Consolidado'!#REF!</f>
        <v>#REF!</v>
      </c>
      <c r="AJ99" s="82">
        <f>+'Fluxo Consolidado'!X94</f>
        <v>-2000</v>
      </c>
      <c r="AK99" s="85">
        <v>0</v>
      </c>
      <c r="AL99" s="85">
        <f>+'Fluxo Consolidado'!Y94+'Fluxo Consolidado'!Z94+'Fluxo Consolidado'!AA94</f>
        <v>0</v>
      </c>
      <c r="AM99" s="85">
        <f>+'Fluxo Consolidado'!AB94+'Fluxo Consolidado'!AC94</f>
        <v>-79786.966383928579</v>
      </c>
      <c r="AN99" s="103">
        <f>+'Fluxo Consolidado'!AD94</f>
        <v>0</v>
      </c>
      <c r="AO99" s="85">
        <f>+'Fluxo Consolidado'!AF94+'Fluxo Consolidado'!AF94</f>
        <v>0</v>
      </c>
      <c r="AP99" s="83">
        <f>+'Fluxo Consolidado'!AG94</f>
        <v>0</v>
      </c>
      <c r="AQ99" s="119">
        <f>+'Fluxo Consolidado'!AH94</f>
        <v>-236880.74849556707</v>
      </c>
      <c r="AR99" s="85">
        <f>+'Fluxo Consolidado'!AI94</f>
        <v>-9209.81</v>
      </c>
      <c r="AS99" s="85">
        <f>+'Fluxo Consolidado'!AJ94</f>
        <v>-7969</v>
      </c>
      <c r="AT99" s="85">
        <v>0</v>
      </c>
      <c r="AU99" s="85">
        <f>+'Fluxo Consolidado'!AK94</f>
        <v>-17871.806950788156</v>
      </c>
      <c r="AV99" s="84">
        <f>+'Fluxo Consolidado'!AL94</f>
        <v>-767.84</v>
      </c>
      <c r="AW99" s="82">
        <f t="shared" si="62"/>
        <v>-47376.149699113412</v>
      </c>
      <c r="AX99" s="82">
        <v>0</v>
      </c>
      <c r="AY99" s="82">
        <f>(-V98*$AY$1)+'Fluxo Consolidado'!AO94</f>
        <v>-157920.49899704472</v>
      </c>
      <c r="AZ99" s="84">
        <v>0</v>
      </c>
      <c r="BA99" s="122">
        <v>0</v>
      </c>
      <c r="BB99" s="81">
        <v>0</v>
      </c>
      <c r="BC99" s="81">
        <f>+'Fluxo Consolidado'!AP94</f>
        <v>0</v>
      </c>
      <c r="BD99" s="125">
        <f>+'Fluxo Consolidado'!AQ94</f>
        <v>0</v>
      </c>
      <c r="BE99" s="133"/>
      <c r="BF99" s="78">
        <f t="shared" si="57"/>
        <v>3963408.0630310895</v>
      </c>
      <c r="BG99" s="70" t="e">
        <f t="shared" si="58"/>
        <v>#REF!</v>
      </c>
      <c r="BH99" s="70" t="e">
        <f t="shared" si="43"/>
        <v>#REF!</v>
      </c>
      <c r="BI99" s="71" t="e">
        <f t="shared" si="42"/>
        <v>#REF!</v>
      </c>
      <c r="BJ99" s="201" t="e">
        <f t="shared" si="61"/>
        <v>#REF!</v>
      </c>
      <c r="BQ99" s="82">
        <v>0</v>
      </c>
      <c r="BR99" s="223">
        <v>-876066.33368575166</v>
      </c>
      <c r="BS99" s="223">
        <v>-56842.964225281685</v>
      </c>
      <c r="BT99" s="223">
        <v>0</v>
      </c>
      <c r="BU99" s="223">
        <v>-3944722.1021256968</v>
      </c>
      <c r="BV99" s="223">
        <v>3929381.3224375071</v>
      </c>
      <c r="BW99" s="223">
        <f t="shared" si="63"/>
        <v>-932909.29791103338</v>
      </c>
      <c r="BX99" s="83">
        <f t="shared" si="54"/>
        <v>-932909.29791103338</v>
      </c>
      <c r="BY99" s="78">
        <f t="shared" si="64"/>
        <v>3015157.9854318667</v>
      </c>
      <c r="BZ99" s="70" t="e">
        <f t="shared" si="49"/>
        <v>#REF!</v>
      </c>
      <c r="CA99" s="70" t="e">
        <f t="shared" si="50"/>
        <v>#REF!</v>
      </c>
      <c r="CB99" s="71" t="e">
        <f t="shared" si="51"/>
        <v>#REF!</v>
      </c>
      <c r="CC99" s="270" t="e">
        <f t="shared" si="52"/>
        <v>#REF!</v>
      </c>
      <c r="CD99" s="201"/>
      <c r="CE99" s="69" t="e">
        <f t="shared" si="59"/>
        <v>#REF!</v>
      </c>
      <c r="CF99" s="71" t="e">
        <f t="shared" si="60"/>
        <v>#REF!</v>
      </c>
    </row>
    <row r="100" spans="1:84" ht="15" customHeight="1">
      <c r="A100" s="35">
        <f t="shared" si="47"/>
        <v>38</v>
      </c>
      <c r="B100" s="87"/>
      <c r="C100" s="36">
        <v>44409</v>
      </c>
      <c r="D100" s="75">
        <v>0</v>
      </c>
      <c r="E100" s="110">
        <v>0</v>
      </c>
      <c r="F100" s="110">
        <v>0</v>
      </c>
      <c r="G100" s="110">
        <v>0</v>
      </c>
      <c r="H100" s="76">
        <v>0</v>
      </c>
      <c r="I100" s="76">
        <v>0</v>
      </c>
      <c r="J100" s="77">
        <v>0</v>
      </c>
      <c r="K100" s="69">
        <f>+'Fluxo Consolidado'!D95</f>
        <v>1268342.8638095239</v>
      </c>
      <c r="L100" s="78">
        <f>+'Fluxo Consolidado'!E95</f>
        <v>2324647.85</v>
      </c>
      <c r="M100" s="78">
        <f>+'Fluxo Consolidado'!F95</f>
        <v>0</v>
      </c>
      <c r="N100" s="70">
        <v>0</v>
      </c>
      <c r="O100" s="242">
        <f t="shared" si="37"/>
        <v>0.05</v>
      </c>
      <c r="P100" s="70">
        <f>+'Fluxo Consolidado'!H95</f>
        <v>-116232.39250000002</v>
      </c>
      <c r="Q100" s="70">
        <f>+'Fluxo Consolidado'!I95</f>
        <v>118268.51850000001</v>
      </c>
      <c r="R100" s="79">
        <f>'Fluxo Consolidado'!J95</f>
        <v>357138.19023139775</v>
      </c>
      <c r="S100" s="79">
        <f>'Fluxo Consolidado'!K95</f>
        <v>19</v>
      </c>
      <c r="T100" s="79">
        <f t="shared" si="55"/>
        <v>0</v>
      </c>
      <c r="U100" s="79">
        <v>3</v>
      </c>
      <c r="V100" s="79">
        <f t="shared" si="53"/>
        <v>3952165.0300409216</v>
      </c>
      <c r="W100" s="79">
        <v>0</v>
      </c>
      <c r="X100" s="79">
        <v>0</v>
      </c>
      <c r="Y100" s="71">
        <v>0</v>
      </c>
      <c r="Z100" s="38">
        <f t="shared" si="36"/>
        <v>0</v>
      </c>
      <c r="AA100" s="80">
        <v>0</v>
      </c>
      <c r="AB100" s="81">
        <f>+'Fluxo Consolidado'!P95</f>
        <v>0</v>
      </c>
      <c r="AC100" s="208">
        <f>'Fluxo Consolidado'!Q95</f>
        <v>0</v>
      </c>
      <c r="AD100" s="81">
        <f>+'Fluxo Consolidado'!R95</f>
        <v>0</v>
      </c>
      <c r="AE100" s="81">
        <f>+'Fluxo Consolidado'!S95</f>
        <v>0</v>
      </c>
      <c r="AF100" s="208">
        <f>'Fluxo Consolidado'!T95</f>
        <v>0</v>
      </c>
      <c r="AG100" s="81">
        <f>+'Fluxo Consolidado'!U95</f>
        <v>0</v>
      </c>
      <c r="AH100" s="246">
        <f>+'Fluxo Consolidado'!V95</f>
        <v>0</v>
      </c>
      <c r="AI100" s="125" t="e">
        <f>+'Fluxo Consolidado'!#REF!</f>
        <v>#REF!</v>
      </c>
      <c r="AJ100" s="82">
        <f>+'Fluxo Consolidado'!X95</f>
        <v>-2000</v>
      </c>
      <c r="AK100" s="85">
        <v>0</v>
      </c>
      <c r="AL100" s="85">
        <f>+'Fluxo Consolidado'!Y95+'Fluxo Consolidado'!Z95+'Fluxo Consolidado'!AA95</f>
        <v>0</v>
      </c>
      <c r="AM100" s="85">
        <f>+'Fluxo Consolidado'!AB95+'Fluxo Consolidado'!AC95</f>
        <v>-79067.226383928573</v>
      </c>
      <c r="AN100" s="103">
        <f>+'Fluxo Consolidado'!AD95</f>
        <v>0</v>
      </c>
      <c r="AO100" s="85">
        <f>+'Fluxo Consolidado'!AF95+'Fluxo Consolidado'!AF95</f>
        <v>0</v>
      </c>
      <c r="AP100" s="83">
        <f>+'Fluxo Consolidado'!AG95</f>
        <v>0</v>
      </c>
      <c r="AQ100" s="119">
        <f>+'Fluxo Consolidado'!AH95</f>
        <v>-237804.48378186536</v>
      </c>
      <c r="AR100" s="85">
        <f>+'Fluxo Consolidado'!AI95</f>
        <v>-9209.81</v>
      </c>
      <c r="AS100" s="85">
        <f>+'Fluxo Consolidado'!AJ95</f>
        <v>-7969</v>
      </c>
      <c r="AT100" s="85">
        <v>0</v>
      </c>
      <c r="AU100" s="85">
        <f>+'Fluxo Consolidado'!AK95</f>
        <v>-17855.730728818544</v>
      </c>
      <c r="AV100" s="84">
        <f>+'Fluxo Consolidado'!AL95</f>
        <v>0</v>
      </c>
      <c r="AW100" s="82">
        <f t="shared" si="62"/>
        <v>-47560.896756373077</v>
      </c>
      <c r="AX100" s="82">
        <v>0</v>
      </c>
      <c r="AY100" s="82">
        <f>(-V99*$AY$1)+'Fluxo Consolidado'!AO95</f>
        <v>-158536.32252124359</v>
      </c>
      <c r="AZ100" s="84">
        <v>0</v>
      </c>
      <c r="BA100" s="122">
        <v>0</v>
      </c>
      <c r="BB100" s="81">
        <v>0</v>
      </c>
      <c r="BC100" s="81">
        <f>+'Fluxo Consolidado'!AP95</f>
        <v>0</v>
      </c>
      <c r="BD100" s="125">
        <f>+'Fluxo Consolidado'!AQ95</f>
        <v>0</v>
      </c>
      <c r="BE100" s="133"/>
      <c r="BF100" s="78">
        <f t="shared" si="57"/>
        <v>3952165.0300409216</v>
      </c>
      <c r="BG100" s="70" t="e">
        <f t="shared" si="58"/>
        <v>#REF!</v>
      </c>
      <c r="BH100" s="70" t="e">
        <f t="shared" si="43"/>
        <v>#REF!</v>
      </c>
      <c r="BI100" s="71" t="e">
        <f t="shared" si="42"/>
        <v>#REF!</v>
      </c>
      <c r="BJ100" s="201" t="e">
        <f t="shared" si="61"/>
        <v>#REF!</v>
      </c>
      <c r="BQ100" s="82">
        <v>0</v>
      </c>
      <c r="BR100" s="223">
        <v>-870966.72515452188</v>
      </c>
      <c r="BS100" s="223">
        <v>-71112.151081412332</v>
      </c>
      <c r="BT100" s="223">
        <v>0</v>
      </c>
      <c r="BU100" s="223">
        <v>-3933001.7734757662</v>
      </c>
      <c r="BV100" s="223">
        <v>3944722.1021256968</v>
      </c>
      <c r="BW100" s="223">
        <f t="shared" si="63"/>
        <v>-942078.87623593421</v>
      </c>
      <c r="BX100" s="83">
        <f t="shared" si="54"/>
        <v>-942078.87623593421</v>
      </c>
      <c r="BY100" s="78">
        <f t="shared" si="64"/>
        <v>3021806.4824549183</v>
      </c>
      <c r="BZ100" s="70" t="e">
        <f t="shared" si="49"/>
        <v>#REF!</v>
      </c>
      <c r="CA100" s="70" t="e">
        <f t="shared" si="50"/>
        <v>#REF!</v>
      </c>
      <c r="CB100" s="71" t="e">
        <f t="shared" si="51"/>
        <v>#REF!</v>
      </c>
      <c r="CC100" s="270" t="e">
        <f t="shared" si="52"/>
        <v>#REF!</v>
      </c>
      <c r="CD100" s="201"/>
      <c r="CE100" s="69" t="e">
        <f t="shared" si="59"/>
        <v>#REF!</v>
      </c>
      <c r="CF100" s="71" t="e">
        <f t="shared" si="60"/>
        <v>#REF!</v>
      </c>
    </row>
    <row r="101" spans="1:84" ht="15" customHeight="1">
      <c r="A101" s="35">
        <f t="shared" si="47"/>
        <v>39</v>
      </c>
      <c r="B101" s="87"/>
      <c r="C101" s="36">
        <v>44440</v>
      </c>
      <c r="D101" s="75">
        <v>0</v>
      </c>
      <c r="E101" s="110">
        <v>0</v>
      </c>
      <c r="F101" s="110">
        <v>0</v>
      </c>
      <c r="G101" s="110">
        <v>0</v>
      </c>
      <c r="H101" s="76">
        <v>0</v>
      </c>
      <c r="I101" s="76">
        <v>0</v>
      </c>
      <c r="J101" s="77">
        <v>0</v>
      </c>
      <c r="K101" s="69">
        <f>+'Fluxo Consolidado'!D96</f>
        <v>1268342.8638095239</v>
      </c>
      <c r="L101" s="78">
        <f>+'Fluxo Consolidado'!E96</f>
        <v>2309123.7599999998</v>
      </c>
      <c r="M101" s="78">
        <f>+'Fluxo Consolidado'!F96</f>
        <v>0</v>
      </c>
      <c r="N101" s="70">
        <v>0</v>
      </c>
      <c r="O101" s="242">
        <f t="shared" si="37"/>
        <v>0.05</v>
      </c>
      <c r="P101" s="70">
        <f>+'Fluxo Consolidado'!H96</f>
        <v>-115456.18799999999</v>
      </c>
      <c r="Q101" s="70">
        <f>+'Fluxo Consolidado'!I96</f>
        <v>117896.049</v>
      </c>
      <c r="R101" s="79">
        <f>'Fluxo Consolidado'!J96</f>
        <v>375260.42637075344</v>
      </c>
      <c r="S101" s="79">
        <f>'Fluxo Consolidado'!K96</f>
        <v>20</v>
      </c>
      <c r="T101" s="79">
        <f t="shared" si="55"/>
        <v>0</v>
      </c>
      <c r="U101" s="79">
        <v>3</v>
      </c>
      <c r="V101" s="79">
        <f t="shared" si="53"/>
        <v>3955166.9111802774</v>
      </c>
      <c r="W101" s="79">
        <v>0</v>
      </c>
      <c r="X101" s="79">
        <v>0</v>
      </c>
      <c r="Y101" s="71">
        <v>0</v>
      </c>
      <c r="Z101" s="38">
        <f t="shared" si="36"/>
        <v>0</v>
      </c>
      <c r="AA101" s="80">
        <v>0</v>
      </c>
      <c r="AB101" s="81">
        <f>+'Fluxo Consolidado'!P96</f>
        <v>0</v>
      </c>
      <c r="AC101" s="208">
        <f>'Fluxo Consolidado'!Q96</f>
        <v>0</v>
      </c>
      <c r="AD101" s="81">
        <f>+'Fluxo Consolidado'!R96</f>
        <v>0</v>
      </c>
      <c r="AE101" s="81">
        <f>+'Fluxo Consolidado'!S96</f>
        <v>0</v>
      </c>
      <c r="AF101" s="208">
        <f>'Fluxo Consolidado'!T96</f>
        <v>0</v>
      </c>
      <c r="AG101" s="81">
        <f>+'Fluxo Consolidado'!U96</f>
        <v>0</v>
      </c>
      <c r="AH101" s="246">
        <f>+'Fluxo Consolidado'!V96</f>
        <v>0</v>
      </c>
      <c r="AI101" s="125" t="e">
        <f>+'Fluxo Consolidado'!#REF!</f>
        <v>#REF!</v>
      </c>
      <c r="AJ101" s="82">
        <f>+'Fluxo Consolidado'!X96</f>
        <v>-2000</v>
      </c>
      <c r="AK101" s="85">
        <v>0</v>
      </c>
      <c r="AL101" s="85">
        <f>+'Fluxo Consolidado'!Y96+'Fluxo Consolidado'!Z96+'Fluxo Consolidado'!AA96</f>
        <v>0</v>
      </c>
      <c r="AM101" s="85">
        <f>+'Fluxo Consolidado'!AB96+'Fluxo Consolidado'!AC96</f>
        <v>-78733.646383928572</v>
      </c>
      <c r="AN101" s="103">
        <f>+'Fluxo Consolidado'!AD96</f>
        <v>0</v>
      </c>
      <c r="AO101" s="85">
        <f>+'Fluxo Consolidado'!AF96+'Fluxo Consolidado'!AF96</f>
        <v>0</v>
      </c>
      <c r="AP101" s="83">
        <f>+'Fluxo Consolidado'!AG96</f>
        <v>0</v>
      </c>
      <c r="AQ101" s="119">
        <f>+'Fluxo Consolidado'!AH96</f>
        <v>-237129.90180245528</v>
      </c>
      <c r="AR101" s="85">
        <f>+'Fluxo Consolidado'!AI96</f>
        <v>-9209.81</v>
      </c>
      <c r="AS101" s="85">
        <f>+'Fluxo Consolidado'!AJ96</f>
        <v>-7969</v>
      </c>
      <c r="AT101" s="85">
        <v>0</v>
      </c>
      <c r="AU101" s="85">
        <f>+'Fluxo Consolidado'!AK96</f>
        <v>-17709.677846398758</v>
      </c>
      <c r="AV101" s="84">
        <f>+'Fluxo Consolidado'!AL96</f>
        <v>0</v>
      </c>
      <c r="AW101" s="82">
        <f t="shared" si="62"/>
        <v>-47425.980360491063</v>
      </c>
      <c r="AX101" s="82">
        <v>0</v>
      </c>
      <c r="AY101" s="82">
        <f>(-V100*$AY$1)+'Fluxo Consolidado'!AO96</f>
        <v>-158086.60120163686</v>
      </c>
      <c r="AZ101" s="84">
        <v>0</v>
      </c>
      <c r="BA101" s="122">
        <v>0</v>
      </c>
      <c r="BB101" s="81">
        <v>0</v>
      </c>
      <c r="BC101" s="81">
        <f>+'Fluxo Consolidado'!AP96</f>
        <v>0</v>
      </c>
      <c r="BD101" s="125">
        <f>+'Fluxo Consolidado'!AQ96</f>
        <v>0</v>
      </c>
      <c r="BE101" s="133"/>
      <c r="BF101" s="78">
        <f t="shared" si="57"/>
        <v>3955166.9111802774</v>
      </c>
      <c r="BG101" s="70" t="e">
        <f t="shared" si="58"/>
        <v>#REF!</v>
      </c>
      <c r="BH101" s="70" t="e">
        <f t="shared" si="43"/>
        <v>#REF!</v>
      </c>
      <c r="BI101" s="71" t="e">
        <f t="shared" si="42"/>
        <v>#REF!</v>
      </c>
      <c r="BJ101" s="201" t="e">
        <f t="shared" si="61"/>
        <v>#REF!</v>
      </c>
      <c r="BQ101" s="82">
        <v>0</v>
      </c>
      <c r="BR101" s="223">
        <v>-865867.11662329233</v>
      </c>
      <c r="BS101" s="223">
        <v>-54294.480327953046</v>
      </c>
      <c r="BT101" s="223">
        <v>0</v>
      </c>
      <c r="BU101" s="223">
        <v>-3935906.6847644681</v>
      </c>
      <c r="BV101" s="223">
        <v>3933001.7734757662</v>
      </c>
      <c r="BW101" s="223">
        <f t="shared" si="63"/>
        <v>-920161.59695124533</v>
      </c>
      <c r="BX101" s="83">
        <f t="shared" si="54"/>
        <v>-920161.59695124533</v>
      </c>
      <c r="BY101" s="78">
        <f t="shared" si="64"/>
        <v>3032100.4029403301</v>
      </c>
      <c r="BZ101" s="70" t="e">
        <f t="shared" si="49"/>
        <v>#REF!</v>
      </c>
      <c r="CA101" s="70" t="e">
        <f t="shared" si="50"/>
        <v>#REF!</v>
      </c>
      <c r="CB101" s="71" t="e">
        <f t="shared" si="51"/>
        <v>#REF!</v>
      </c>
      <c r="CC101" s="270" t="e">
        <f t="shared" si="52"/>
        <v>#REF!</v>
      </c>
      <c r="CD101" s="201"/>
      <c r="CE101" s="69" t="e">
        <f t="shared" si="59"/>
        <v>#REF!</v>
      </c>
      <c r="CF101" s="71" t="e">
        <f t="shared" si="60"/>
        <v>#REF!</v>
      </c>
    </row>
    <row r="102" spans="1:84" ht="15" customHeight="1">
      <c r="A102" s="35">
        <f t="shared" si="47"/>
        <v>40</v>
      </c>
      <c r="B102" s="87"/>
      <c r="C102" s="36">
        <v>44470</v>
      </c>
      <c r="D102" s="75">
        <v>0</v>
      </c>
      <c r="E102" s="110">
        <v>0</v>
      </c>
      <c r="F102" s="110">
        <v>0</v>
      </c>
      <c r="G102" s="110">
        <v>0</v>
      </c>
      <c r="H102" s="76">
        <v>0</v>
      </c>
      <c r="I102" s="76">
        <v>0</v>
      </c>
      <c r="J102" s="77">
        <v>0</v>
      </c>
      <c r="K102" s="69">
        <f>+'Fluxo Consolidado'!D97</f>
        <v>1268342.8638095239</v>
      </c>
      <c r="L102" s="78">
        <f>+'Fluxo Consolidado'!E97</f>
        <v>2252592.7400000002</v>
      </c>
      <c r="M102" s="78">
        <f>+'Fluxo Consolidado'!F97</f>
        <v>0</v>
      </c>
      <c r="N102" s="70">
        <v>0</v>
      </c>
      <c r="O102" s="242">
        <f t="shared" si="37"/>
        <v>0.05</v>
      </c>
      <c r="P102" s="70">
        <f>+'Fluxo Consolidado'!H97</f>
        <v>-112629.63700000002</v>
      </c>
      <c r="Q102" s="70">
        <f>+'Fluxo Consolidado'!I97</f>
        <v>117702.74850000002</v>
      </c>
      <c r="R102" s="79">
        <f>'Fluxo Consolidado'!J97</f>
        <v>388781.90327994013</v>
      </c>
      <c r="S102" s="79">
        <f>'Fluxo Consolidado'!K97</f>
        <v>21</v>
      </c>
      <c r="T102" s="79">
        <f t="shared" si="55"/>
        <v>0</v>
      </c>
      <c r="U102" s="79">
        <v>4</v>
      </c>
      <c r="V102" s="79">
        <f t="shared" si="53"/>
        <v>3914790.6185894641</v>
      </c>
      <c r="W102" s="79">
        <v>0</v>
      </c>
      <c r="X102" s="79">
        <v>0</v>
      </c>
      <c r="Y102" s="71">
        <v>0</v>
      </c>
      <c r="Z102" s="38">
        <f t="shared" si="36"/>
        <v>0</v>
      </c>
      <c r="AA102" s="80">
        <v>0</v>
      </c>
      <c r="AB102" s="81">
        <f>+'Fluxo Consolidado'!P97</f>
        <v>0</v>
      </c>
      <c r="AC102" s="208">
        <f>'Fluxo Consolidado'!Q97</f>
        <v>0</v>
      </c>
      <c r="AD102" s="81">
        <f>+'Fluxo Consolidado'!R97</f>
        <v>0</v>
      </c>
      <c r="AE102" s="81">
        <f>+'Fluxo Consolidado'!S97</f>
        <v>0</v>
      </c>
      <c r="AF102" s="208">
        <f>'Fluxo Consolidado'!T97</f>
        <v>0</v>
      </c>
      <c r="AG102" s="81">
        <f>+'Fluxo Consolidado'!U97</f>
        <v>0</v>
      </c>
      <c r="AH102" s="246">
        <f>+'Fluxo Consolidado'!V97</f>
        <v>0</v>
      </c>
      <c r="AI102" s="125" t="e">
        <f>+'Fluxo Consolidado'!#REF!</f>
        <v>#REF!</v>
      </c>
      <c r="AJ102" s="82">
        <f>+'Fluxo Consolidado'!X97</f>
        <v>-2000</v>
      </c>
      <c r="AK102" s="85">
        <v>0</v>
      </c>
      <c r="AL102" s="85">
        <f>+'Fluxo Consolidado'!Y97+'Fluxo Consolidado'!Z97+'Fluxo Consolidado'!AA97</f>
        <v>0</v>
      </c>
      <c r="AM102" s="85">
        <f>+'Fluxo Consolidado'!AB97+'Fluxo Consolidado'!AC97</f>
        <v>-77240.56638392857</v>
      </c>
      <c r="AN102" s="103">
        <f>+'Fluxo Consolidado'!AD97</f>
        <v>0</v>
      </c>
      <c r="AO102" s="85">
        <f>+'Fluxo Consolidado'!AF97+'Fluxo Consolidado'!AF97</f>
        <v>0</v>
      </c>
      <c r="AP102" s="83">
        <f>+'Fluxo Consolidado'!AG97</f>
        <v>0</v>
      </c>
      <c r="AQ102" s="119">
        <f>+'Fluxo Consolidado'!AH97</f>
        <v>-237310.01467081663</v>
      </c>
      <c r="AR102" s="85">
        <f>+'Fluxo Consolidado'!AI97</f>
        <v>-9209.81</v>
      </c>
      <c r="AS102" s="85">
        <f>+'Fluxo Consolidado'!AJ97</f>
        <v>-7969</v>
      </c>
      <c r="AT102" s="85">
        <v>0</v>
      </c>
      <c r="AU102" s="85">
        <f>+'Fluxo Consolidado'!AK97</f>
        <v>-17629.963937709294</v>
      </c>
      <c r="AV102" s="84">
        <f>+'Fluxo Consolidado'!AL97</f>
        <v>0</v>
      </c>
      <c r="AW102" s="82">
        <f t="shared" si="62"/>
        <v>-47462.002934163327</v>
      </c>
      <c r="AX102" s="82">
        <v>0</v>
      </c>
      <c r="AY102" s="82">
        <f>(-V101*$AY$1)+'Fluxo Consolidado'!AO97</f>
        <v>-158206.6764472111</v>
      </c>
      <c r="AZ102" s="84">
        <v>0</v>
      </c>
      <c r="BA102" s="122">
        <v>0</v>
      </c>
      <c r="BB102" s="81">
        <v>0</v>
      </c>
      <c r="BC102" s="81">
        <f>+'Fluxo Consolidado'!AP97</f>
        <v>0</v>
      </c>
      <c r="BD102" s="125">
        <f>+'Fluxo Consolidado'!AQ97</f>
        <v>0</v>
      </c>
      <c r="BE102" s="133"/>
      <c r="BF102" s="78">
        <f t="shared" si="57"/>
        <v>3914790.6185894641</v>
      </c>
      <c r="BG102" s="70" t="e">
        <f t="shared" si="58"/>
        <v>#REF!</v>
      </c>
      <c r="BH102" s="70" t="e">
        <f t="shared" si="43"/>
        <v>#REF!</v>
      </c>
      <c r="BI102" s="71" t="e">
        <f t="shared" si="42"/>
        <v>#REF!</v>
      </c>
      <c r="BJ102" s="201" t="e">
        <f t="shared" si="61"/>
        <v>#REF!</v>
      </c>
      <c r="BQ102" s="82">
        <v>0</v>
      </c>
      <c r="BR102" s="223">
        <v>-860767.50809206266</v>
      </c>
      <c r="BS102" s="223">
        <v>-53074.171831136213</v>
      </c>
      <c r="BT102" s="223">
        <v>0</v>
      </c>
      <c r="BU102" s="223">
        <v>-3895085.9927780139</v>
      </c>
      <c r="BV102" s="223">
        <v>3935906.6847644681</v>
      </c>
      <c r="BW102" s="223">
        <f t="shared" si="63"/>
        <v>-913841.67992319888</v>
      </c>
      <c r="BX102" s="83">
        <f t="shared" si="54"/>
        <v>-913841.67992319888</v>
      </c>
      <c r="BY102" s="78">
        <f t="shared" si="64"/>
        <v>3041769.6306527196</v>
      </c>
      <c r="BZ102" s="70" t="e">
        <f t="shared" si="49"/>
        <v>#REF!</v>
      </c>
      <c r="CA102" s="70" t="e">
        <f t="shared" si="50"/>
        <v>#REF!</v>
      </c>
      <c r="CB102" s="71" t="e">
        <f t="shared" si="51"/>
        <v>#REF!</v>
      </c>
      <c r="CC102" s="270" t="e">
        <f t="shared" si="52"/>
        <v>#REF!</v>
      </c>
      <c r="CD102" s="201"/>
      <c r="CE102" s="69" t="e">
        <f t="shared" si="59"/>
        <v>#REF!</v>
      </c>
      <c r="CF102" s="71" t="e">
        <f t="shared" si="60"/>
        <v>#REF!</v>
      </c>
    </row>
    <row r="103" spans="1:84" ht="15" customHeight="1">
      <c r="A103" s="35">
        <f t="shared" si="47"/>
        <v>41</v>
      </c>
      <c r="B103" s="87"/>
      <c r="C103" s="36">
        <v>44501</v>
      </c>
      <c r="D103" s="75">
        <v>0</v>
      </c>
      <c r="E103" s="110">
        <v>0</v>
      </c>
      <c r="F103" s="110">
        <v>0</v>
      </c>
      <c r="G103" s="110">
        <v>0</v>
      </c>
      <c r="H103" s="76">
        <v>0</v>
      </c>
      <c r="I103" s="76">
        <v>0</v>
      </c>
      <c r="J103" s="77">
        <v>0</v>
      </c>
      <c r="K103" s="69">
        <f>+'Fluxo Consolidado'!D98</f>
        <v>1268342.8638095239</v>
      </c>
      <c r="L103" s="78">
        <f>+'Fluxo Consolidado'!E98</f>
        <v>2232580.14</v>
      </c>
      <c r="M103" s="78">
        <f>+'Fluxo Consolidado'!F98</f>
        <v>0</v>
      </c>
      <c r="N103" s="70">
        <v>0</v>
      </c>
      <c r="O103" s="242">
        <f t="shared" si="37"/>
        <v>0.05</v>
      </c>
      <c r="P103" s="70">
        <f>+'Fluxo Consolidado'!H98</f>
        <v>-111629.00700000001</v>
      </c>
      <c r="Q103" s="70">
        <f>+'Fluxo Consolidado'!I98</f>
        <v>116232.39250000002</v>
      </c>
      <c r="R103" s="79">
        <f>'Fluxo Consolidado'!J98</f>
        <v>406009.58645926882</v>
      </c>
      <c r="S103" s="79">
        <f>'Fluxo Consolidado'!K98</f>
        <v>22</v>
      </c>
      <c r="T103" s="79">
        <f t="shared" si="55"/>
        <v>0</v>
      </c>
      <c r="U103" s="79">
        <v>4</v>
      </c>
      <c r="V103" s="79">
        <f t="shared" si="53"/>
        <v>3911535.9757687929</v>
      </c>
      <c r="W103" s="79">
        <v>0</v>
      </c>
      <c r="X103" s="79">
        <v>0</v>
      </c>
      <c r="Y103" s="71">
        <v>0</v>
      </c>
      <c r="Z103" s="38">
        <f t="shared" si="36"/>
        <v>0</v>
      </c>
      <c r="AA103" s="80">
        <v>0</v>
      </c>
      <c r="AB103" s="81">
        <f>+'Fluxo Consolidado'!P98</f>
        <v>0</v>
      </c>
      <c r="AC103" s="208">
        <f>'Fluxo Consolidado'!Q98</f>
        <v>0</v>
      </c>
      <c r="AD103" s="81">
        <f>+'Fluxo Consolidado'!R98</f>
        <v>0</v>
      </c>
      <c r="AE103" s="81">
        <f>+'Fluxo Consolidado'!S98</f>
        <v>0</v>
      </c>
      <c r="AF103" s="208">
        <f>'Fluxo Consolidado'!T98</f>
        <v>0</v>
      </c>
      <c r="AG103" s="81">
        <f>+'Fluxo Consolidado'!U98</f>
        <v>0</v>
      </c>
      <c r="AH103" s="246">
        <f>+'Fluxo Consolidado'!V98</f>
        <v>0</v>
      </c>
      <c r="AI103" s="125" t="e">
        <f>+'Fluxo Consolidado'!#REF!</f>
        <v>#REF!</v>
      </c>
      <c r="AJ103" s="82">
        <f>+'Fluxo Consolidado'!X98</f>
        <v>-2000</v>
      </c>
      <c r="AK103" s="85">
        <v>0</v>
      </c>
      <c r="AL103" s="85">
        <f>+'Fluxo Consolidado'!Y98+'Fluxo Consolidado'!Z98+'Fluxo Consolidado'!AA98</f>
        <v>0</v>
      </c>
      <c r="AM103" s="85">
        <f>+'Fluxo Consolidado'!AB98+'Fluxo Consolidado'!AC98</f>
        <v>-76710.526383928576</v>
      </c>
      <c r="AN103" s="103">
        <f>+'Fluxo Consolidado'!AD98</f>
        <v>0</v>
      </c>
      <c r="AO103" s="85">
        <f>+'Fluxo Consolidado'!AF98+'Fluxo Consolidado'!AF98</f>
        <v>0</v>
      </c>
      <c r="AP103" s="83">
        <f>+'Fluxo Consolidado'!AG98</f>
        <v>0</v>
      </c>
      <c r="AQ103" s="119">
        <f>+'Fluxo Consolidado'!AH98</f>
        <v>-234887.43711536785</v>
      </c>
      <c r="AR103" s="85">
        <f>+'Fluxo Consolidado'!AI98</f>
        <v>-9209.81</v>
      </c>
      <c r="AS103" s="85">
        <f>+'Fluxo Consolidado'!AJ98</f>
        <v>-7969</v>
      </c>
      <c r="AT103" s="85">
        <v>0</v>
      </c>
      <c r="AU103" s="85">
        <f>+'Fluxo Consolidado'!AK98</f>
        <v>-17350.770621180702</v>
      </c>
      <c r="AV103" s="84">
        <f>+'Fluxo Consolidado'!AL98</f>
        <v>0</v>
      </c>
      <c r="AW103" s="82">
        <f t="shared" si="62"/>
        <v>-46977.487423073573</v>
      </c>
      <c r="AX103" s="82">
        <v>0</v>
      </c>
      <c r="AY103" s="82">
        <f>(-V102*$AY$1)+'Fluxo Consolidado'!AO98</f>
        <v>-156591.62474357858</v>
      </c>
      <c r="AZ103" s="84">
        <v>0</v>
      </c>
      <c r="BA103" s="122">
        <v>0</v>
      </c>
      <c r="BB103" s="81">
        <v>0</v>
      </c>
      <c r="BC103" s="81">
        <f>+'Fluxo Consolidado'!AP98</f>
        <v>0</v>
      </c>
      <c r="BD103" s="125">
        <f>+'Fluxo Consolidado'!AQ98</f>
        <v>0</v>
      </c>
      <c r="BE103" s="133"/>
      <c r="BF103" s="78">
        <f t="shared" si="57"/>
        <v>3911535.9757687929</v>
      </c>
      <c r="BG103" s="70" t="e">
        <f t="shared" si="58"/>
        <v>#REF!</v>
      </c>
      <c r="BH103" s="70" t="e">
        <f t="shared" si="43"/>
        <v>#REF!</v>
      </c>
      <c r="BI103" s="71" t="e">
        <f t="shared" si="42"/>
        <v>#REF!</v>
      </c>
      <c r="BJ103" s="201" t="e">
        <f t="shared" si="61"/>
        <v>#REF!</v>
      </c>
      <c r="BQ103" s="82">
        <v>0</v>
      </c>
      <c r="BR103" s="223">
        <v>-855667.89956083288</v>
      </c>
      <c r="BS103" s="223">
        <v>-51888.462966738196</v>
      </c>
      <c r="BT103" s="223">
        <v>0</v>
      </c>
      <c r="BU103" s="223">
        <v>-3892256.0912808212</v>
      </c>
      <c r="BV103" s="223">
        <v>3895085.9927780139</v>
      </c>
      <c r="BW103" s="223">
        <f t="shared" si="63"/>
        <v>-907556.36252757104</v>
      </c>
      <c r="BX103" s="83">
        <f t="shared" si="54"/>
        <v>-907556.36252757104</v>
      </c>
      <c r="BY103" s="78">
        <f t="shared" si="64"/>
        <v>3006809.5147384144</v>
      </c>
      <c r="BZ103" s="70" t="e">
        <f t="shared" si="49"/>
        <v>#REF!</v>
      </c>
      <c r="CA103" s="70" t="e">
        <f t="shared" si="50"/>
        <v>#REF!</v>
      </c>
      <c r="CB103" s="71" t="e">
        <f t="shared" si="51"/>
        <v>#REF!</v>
      </c>
      <c r="CC103" s="270" t="e">
        <f t="shared" si="52"/>
        <v>#REF!</v>
      </c>
      <c r="CD103" s="201"/>
      <c r="CE103" s="69" t="e">
        <f t="shared" si="59"/>
        <v>#REF!</v>
      </c>
      <c r="CF103" s="71" t="e">
        <f t="shared" si="60"/>
        <v>#REF!</v>
      </c>
    </row>
    <row r="104" spans="1:84" ht="15" customHeight="1">
      <c r="A104" s="35">
        <f t="shared" si="47"/>
        <v>42</v>
      </c>
      <c r="B104" s="87"/>
      <c r="C104" s="36">
        <v>44531</v>
      </c>
      <c r="D104" s="75">
        <v>0</v>
      </c>
      <c r="E104" s="110">
        <v>0</v>
      </c>
      <c r="F104" s="110">
        <v>0</v>
      </c>
      <c r="G104" s="110">
        <v>0</v>
      </c>
      <c r="H104" s="76">
        <v>0</v>
      </c>
      <c r="I104" s="76">
        <v>0</v>
      </c>
      <c r="J104" s="77">
        <v>0</v>
      </c>
      <c r="K104" s="69">
        <f>+'Fluxo Consolidado'!D99</f>
        <v>1268342.8638095239</v>
      </c>
      <c r="L104" s="78">
        <f>+'Fluxo Consolidado'!E99</f>
        <v>2218788.25</v>
      </c>
      <c r="M104" s="78">
        <f>+'Fluxo Consolidado'!F99</f>
        <v>0</v>
      </c>
      <c r="N104" s="70">
        <v>0</v>
      </c>
      <c r="O104" s="242">
        <f t="shared" si="37"/>
        <v>0.05</v>
      </c>
      <c r="P104" s="70">
        <f>+'Fluxo Consolidado'!H99</f>
        <v>-110939.41250000001</v>
      </c>
      <c r="Q104" s="70">
        <f>+'Fluxo Consolidado'!I99</f>
        <v>115456.18799999999</v>
      </c>
      <c r="R104" s="79">
        <f>'Fluxo Consolidado'!J99</f>
        <v>423867.81737494096</v>
      </c>
      <c r="S104" s="79">
        <f>'Fluxo Consolidado'!K99</f>
        <v>23</v>
      </c>
      <c r="T104" s="79">
        <f t="shared" si="55"/>
        <v>0</v>
      </c>
      <c r="U104" s="79">
        <v>4</v>
      </c>
      <c r="V104" s="79">
        <f t="shared" si="53"/>
        <v>3915515.7066844646</v>
      </c>
      <c r="W104" s="79">
        <v>0</v>
      </c>
      <c r="X104" s="79">
        <v>0</v>
      </c>
      <c r="Y104" s="71">
        <v>0</v>
      </c>
      <c r="Z104" s="38">
        <f t="shared" si="36"/>
        <v>0</v>
      </c>
      <c r="AA104" s="80">
        <v>0</v>
      </c>
      <c r="AB104" s="81">
        <f>+'Fluxo Consolidado'!P99</f>
        <v>0</v>
      </c>
      <c r="AC104" s="208">
        <f>'Fluxo Consolidado'!Q99</f>
        <v>0</v>
      </c>
      <c r="AD104" s="81">
        <f>+'Fluxo Consolidado'!R99</f>
        <v>0</v>
      </c>
      <c r="AE104" s="81">
        <f>+'Fluxo Consolidado'!S99</f>
        <v>0</v>
      </c>
      <c r="AF104" s="208">
        <f>'Fluxo Consolidado'!T99</f>
        <v>0</v>
      </c>
      <c r="AG104" s="81">
        <f>+'Fluxo Consolidado'!U99</f>
        <v>0</v>
      </c>
      <c r="AH104" s="246">
        <f>+'Fluxo Consolidado'!V99</f>
        <v>0</v>
      </c>
      <c r="AI104" s="125" t="e">
        <f>+'Fluxo Consolidado'!#REF!</f>
        <v>#REF!</v>
      </c>
      <c r="AJ104" s="82">
        <f>+'Fluxo Consolidado'!X99</f>
        <v>-2000</v>
      </c>
      <c r="AK104" s="85">
        <v>0</v>
      </c>
      <c r="AL104" s="85">
        <f>+'Fluxo Consolidado'!Y99+'Fluxo Consolidado'!Z99+'Fluxo Consolidado'!AA99</f>
        <v>0</v>
      </c>
      <c r="AM104" s="85">
        <f>+'Fluxo Consolidado'!AB99+'Fluxo Consolidado'!AC99</f>
        <v>-76405.006383928572</v>
      </c>
      <c r="AN104" s="103">
        <f>+'Fluxo Consolidado'!AD99</f>
        <v>0</v>
      </c>
      <c r="AO104" s="85">
        <f>+'Fluxo Consolidado'!AF99+'Fluxo Consolidado'!AF99</f>
        <v>0</v>
      </c>
      <c r="AP104" s="83">
        <f>+'Fluxo Consolidado'!AG99</f>
        <v>0</v>
      </c>
      <c r="AQ104" s="119">
        <f>+'Fluxo Consolidado'!AH99</f>
        <v>-234692.15854612755</v>
      </c>
      <c r="AR104" s="85">
        <f>+'Fluxo Consolidado'!AI99</f>
        <v>-9209.81</v>
      </c>
      <c r="AS104" s="85">
        <f>+'Fluxo Consolidado'!AJ99</f>
        <v>-7969</v>
      </c>
      <c r="AT104" s="85">
        <v>0</v>
      </c>
      <c r="AU104" s="85">
        <f>+'Fluxo Consolidado'!AK99</f>
        <v>-17235.540992127804</v>
      </c>
      <c r="AV104" s="84">
        <f>+'Fluxo Consolidado'!AL99</f>
        <v>0</v>
      </c>
      <c r="AW104" s="82">
        <f t="shared" si="62"/>
        <v>-46938.431709225515</v>
      </c>
      <c r="AX104" s="82">
        <v>0</v>
      </c>
      <c r="AY104" s="82">
        <f>(-V103*$AY$1)+'Fluxo Consolidado'!AO99</f>
        <v>-156461.43903075173</v>
      </c>
      <c r="AZ104" s="84">
        <v>0</v>
      </c>
      <c r="BA104" s="122">
        <v>0</v>
      </c>
      <c r="BB104" s="81">
        <v>0</v>
      </c>
      <c r="BC104" s="81">
        <f>+'Fluxo Consolidado'!AP99</f>
        <v>0</v>
      </c>
      <c r="BD104" s="125">
        <f>+'Fluxo Consolidado'!AQ99</f>
        <v>0</v>
      </c>
      <c r="BE104" s="133"/>
      <c r="BF104" s="78">
        <f t="shared" si="57"/>
        <v>3915515.7066844646</v>
      </c>
      <c r="BG104" s="70" t="e">
        <f t="shared" si="58"/>
        <v>#REF!</v>
      </c>
      <c r="BH104" s="70" t="e">
        <f t="shared" si="43"/>
        <v>#REF!</v>
      </c>
      <c r="BI104" s="71" t="e">
        <f t="shared" si="42"/>
        <v>#REF!</v>
      </c>
      <c r="BJ104" s="201" t="e">
        <f t="shared" si="61"/>
        <v>#REF!</v>
      </c>
      <c r="BQ104" s="82">
        <v>0</v>
      </c>
      <c r="BR104" s="223">
        <v>-850568.29102960322</v>
      </c>
      <c r="BS104" s="223">
        <v>-50736.3727249843</v>
      </c>
      <c r="BT104" s="223">
        <v>0</v>
      </c>
      <c r="BU104" s="223">
        <v>-3896207.1750644301</v>
      </c>
      <c r="BV104" s="223">
        <v>3892256.0912808212</v>
      </c>
      <c r="BW104" s="223">
        <f t="shared" si="63"/>
        <v>-901304.66375458753</v>
      </c>
      <c r="BX104" s="83">
        <f t="shared" si="54"/>
        <v>-901304.66375458753</v>
      </c>
      <c r="BY104" s="78">
        <f t="shared" si="64"/>
        <v>3010259.9591462682</v>
      </c>
      <c r="BZ104" s="70" t="e">
        <f t="shared" si="49"/>
        <v>#REF!</v>
      </c>
      <c r="CA104" s="70" t="e">
        <f t="shared" si="50"/>
        <v>#REF!</v>
      </c>
      <c r="CB104" s="71" t="e">
        <f t="shared" si="51"/>
        <v>#REF!</v>
      </c>
      <c r="CC104" s="270" t="e">
        <f t="shared" si="52"/>
        <v>#REF!</v>
      </c>
      <c r="CD104" s="201"/>
      <c r="CE104" s="69" t="e">
        <f t="shared" si="59"/>
        <v>#REF!</v>
      </c>
      <c r="CF104" s="71" t="e">
        <f t="shared" si="60"/>
        <v>#REF!</v>
      </c>
    </row>
    <row r="105" spans="1:84" ht="15" customHeight="1">
      <c r="A105" s="35">
        <f t="shared" si="47"/>
        <v>43</v>
      </c>
      <c r="B105" s="87"/>
      <c r="C105" s="36">
        <v>44562</v>
      </c>
      <c r="D105" s="75">
        <v>0</v>
      </c>
      <c r="E105" s="110">
        <v>0</v>
      </c>
      <c r="F105" s="110">
        <v>0</v>
      </c>
      <c r="G105" s="110">
        <v>0</v>
      </c>
      <c r="H105" s="76">
        <v>0</v>
      </c>
      <c r="I105" s="76">
        <v>0</v>
      </c>
      <c r="J105" s="77">
        <v>0</v>
      </c>
      <c r="K105" s="69">
        <f>+'Fluxo Consolidado'!D100</f>
        <v>1268342.8638095239</v>
      </c>
      <c r="L105" s="78">
        <f>+'Fluxo Consolidado'!E100</f>
        <v>2199203.9300000002</v>
      </c>
      <c r="M105" s="78">
        <f>+'Fluxo Consolidado'!F100</f>
        <v>0</v>
      </c>
      <c r="N105" s="70">
        <v>0</v>
      </c>
      <c r="O105" s="242">
        <f t="shared" si="37"/>
        <v>0.05</v>
      </c>
      <c r="P105" s="70">
        <f>+'Fluxo Consolidado'!H100</f>
        <v>-109960.19650000002</v>
      </c>
      <c r="Q105" s="70">
        <f>+'Fluxo Consolidado'!I100</f>
        <v>112629.63700000002</v>
      </c>
      <c r="R105" s="79">
        <f>'Fluxo Consolidado'!J100</f>
        <v>440932.47428252874</v>
      </c>
      <c r="S105" s="79">
        <f>'Fluxo Consolidado'!K100</f>
        <v>24</v>
      </c>
      <c r="T105" s="79">
        <f t="shared" si="55"/>
        <v>0</v>
      </c>
      <c r="U105" s="79">
        <v>4</v>
      </c>
      <c r="V105" s="79">
        <f t="shared" si="53"/>
        <v>3911148.7085920526</v>
      </c>
      <c r="W105" s="79">
        <v>0</v>
      </c>
      <c r="X105" s="79">
        <v>0</v>
      </c>
      <c r="Y105" s="71">
        <v>0</v>
      </c>
      <c r="Z105" s="38">
        <f t="shared" si="36"/>
        <v>0</v>
      </c>
      <c r="AA105" s="80">
        <v>0</v>
      </c>
      <c r="AB105" s="81">
        <f>+'Fluxo Consolidado'!P100</f>
        <v>0</v>
      </c>
      <c r="AC105" s="208">
        <f>'Fluxo Consolidado'!Q100</f>
        <v>0</v>
      </c>
      <c r="AD105" s="81">
        <f>+'Fluxo Consolidado'!R100</f>
        <v>0</v>
      </c>
      <c r="AE105" s="81">
        <f>+'Fluxo Consolidado'!S100</f>
        <v>0</v>
      </c>
      <c r="AF105" s="208">
        <f>'Fluxo Consolidado'!T100</f>
        <v>0</v>
      </c>
      <c r="AG105" s="81">
        <f>+'Fluxo Consolidado'!U100</f>
        <v>0</v>
      </c>
      <c r="AH105" s="246">
        <f>+'Fluxo Consolidado'!V100</f>
        <v>0</v>
      </c>
      <c r="AI105" s="125" t="e">
        <f>+'Fluxo Consolidado'!#REF!</f>
        <v>#REF!</v>
      </c>
      <c r="AJ105" s="82">
        <f>+'Fluxo Consolidado'!X100</f>
        <v>-2000</v>
      </c>
      <c r="AK105" s="85">
        <v>0</v>
      </c>
      <c r="AL105" s="85">
        <f>+'Fluxo Consolidado'!Y100+'Fluxo Consolidado'!Z100+'Fluxo Consolidado'!AA100</f>
        <v>0</v>
      </c>
      <c r="AM105" s="85">
        <f>+'Fluxo Consolidado'!AB100+'Fluxo Consolidado'!AC100</f>
        <v>-75994.256383928572</v>
      </c>
      <c r="AN105" s="103">
        <f>+'Fluxo Consolidado'!AD100</f>
        <v>0</v>
      </c>
      <c r="AO105" s="85">
        <f>+'Fluxo Consolidado'!AF100+'Fluxo Consolidado'!AF100</f>
        <v>0</v>
      </c>
      <c r="AP105" s="83">
        <f>+'Fluxo Consolidado'!AG100</f>
        <v>0</v>
      </c>
      <c r="AQ105" s="119">
        <f>+'Fluxo Consolidado'!AH100</f>
        <v>-234930.94240106788</v>
      </c>
      <c r="AR105" s="85">
        <f>+'Fluxo Consolidado'!AI100</f>
        <v>-9209.81</v>
      </c>
      <c r="AS105" s="85">
        <f>+'Fluxo Consolidado'!AJ100</f>
        <v>-7969</v>
      </c>
      <c r="AT105" s="85">
        <v>0</v>
      </c>
      <c r="AU105" s="85">
        <f>+'Fluxo Consolidado'!AK100</f>
        <v>-17158.675989452378</v>
      </c>
      <c r="AV105" s="84">
        <f>+'Fluxo Consolidado'!AL100</f>
        <v>0</v>
      </c>
      <c r="AW105" s="82">
        <f t="shared" si="62"/>
        <v>-46986.188480213576</v>
      </c>
      <c r="AX105" s="82">
        <v>0</v>
      </c>
      <c r="AY105" s="82">
        <f>(-V104*$AY$1)+'Fluxo Consolidado'!AO100</f>
        <v>-156620.62826737858</v>
      </c>
      <c r="AZ105" s="84">
        <v>0</v>
      </c>
      <c r="BA105" s="122">
        <v>0</v>
      </c>
      <c r="BB105" s="81">
        <v>0</v>
      </c>
      <c r="BC105" s="81">
        <f>+'Fluxo Consolidado'!AP100</f>
        <v>0</v>
      </c>
      <c r="BD105" s="125">
        <f>+'Fluxo Consolidado'!AQ100</f>
        <v>0</v>
      </c>
      <c r="BE105" s="133"/>
      <c r="BF105" s="78">
        <f t="shared" si="57"/>
        <v>3911148.7085920526</v>
      </c>
      <c r="BG105" s="70" t="e">
        <f t="shared" si="58"/>
        <v>#REF!</v>
      </c>
      <c r="BH105" s="70" t="e">
        <f t="shared" si="43"/>
        <v>#REF!</v>
      </c>
      <c r="BI105" s="71" t="e">
        <f t="shared" si="42"/>
        <v>#REF!</v>
      </c>
      <c r="BJ105" s="201" t="e">
        <f t="shared" si="61"/>
        <v>#REF!</v>
      </c>
      <c r="BQ105" s="82">
        <v>0</v>
      </c>
      <c r="BR105" s="223">
        <v>-845468.68249837367</v>
      </c>
      <c r="BS105" s="223">
        <v>-49616.947910851333</v>
      </c>
      <c r="BT105" s="223">
        <v>0</v>
      </c>
      <c r="BU105" s="223">
        <v>-3890847.3190001268</v>
      </c>
      <c r="BV105" s="223">
        <v>3896207.1750644301</v>
      </c>
      <c r="BW105" s="223">
        <f t="shared" si="63"/>
        <v>-895085.63040922501</v>
      </c>
      <c r="BX105" s="83">
        <f t="shared" si="54"/>
        <v>-895085.63040922501</v>
      </c>
      <c r="BY105" s="78">
        <f t="shared" si="64"/>
        <v>3021422.934247131</v>
      </c>
      <c r="BZ105" s="70" t="e">
        <f t="shared" si="49"/>
        <v>#REF!</v>
      </c>
      <c r="CA105" s="70" t="e">
        <f t="shared" si="50"/>
        <v>#REF!</v>
      </c>
      <c r="CB105" s="71" t="e">
        <f t="shared" si="51"/>
        <v>#REF!</v>
      </c>
      <c r="CC105" s="270" t="e">
        <f t="shared" si="52"/>
        <v>#REF!</v>
      </c>
      <c r="CD105" s="201"/>
      <c r="CE105" s="69" t="e">
        <f t="shared" si="59"/>
        <v>#REF!</v>
      </c>
      <c r="CF105" s="71" t="e">
        <f t="shared" si="60"/>
        <v>#REF!</v>
      </c>
    </row>
    <row r="106" spans="1:84" ht="15" customHeight="1">
      <c r="A106" s="35">
        <f t="shared" si="47"/>
        <v>44</v>
      </c>
      <c r="B106" s="87"/>
      <c r="C106" s="36">
        <v>44593</v>
      </c>
      <c r="D106" s="75">
        <v>0</v>
      </c>
      <c r="E106" s="110">
        <v>0</v>
      </c>
      <c r="F106" s="110">
        <v>0</v>
      </c>
      <c r="G106" s="110">
        <v>0</v>
      </c>
      <c r="H106" s="76">
        <v>0</v>
      </c>
      <c r="I106" s="76">
        <v>0</v>
      </c>
      <c r="J106" s="77">
        <v>0</v>
      </c>
      <c r="K106" s="69">
        <f>+'Fluxo Consolidado'!D101</f>
        <v>1268342.8638095239</v>
      </c>
      <c r="L106" s="78">
        <f>+'Fluxo Consolidado'!E101</f>
        <v>2172515.61</v>
      </c>
      <c r="M106" s="78">
        <f>+'Fluxo Consolidado'!F101</f>
        <v>0</v>
      </c>
      <c r="N106" s="70">
        <v>0</v>
      </c>
      <c r="O106" s="242">
        <f t="shared" si="37"/>
        <v>0.05</v>
      </c>
      <c r="P106" s="70">
        <f>+'Fluxo Consolidado'!H101</f>
        <v>-108625.78049999999</v>
      </c>
      <c r="Q106" s="70">
        <f>+'Fluxo Consolidado'!I101</f>
        <v>111629.00700000001</v>
      </c>
      <c r="R106" s="79">
        <f>'Fluxo Consolidado'!J101</f>
        <v>456930.77982049808</v>
      </c>
      <c r="S106" s="79">
        <f>'Fluxo Consolidado'!K101</f>
        <v>25</v>
      </c>
      <c r="T106" s="79">
        <f t="shared" si="55"/>
        <v>0</v>
      </c>
      <c r="U106" s="79">
        <v>4</v>
      </c>
      <c r="V106" s="79">
        <f t="shared" si="53"/>
        <v>3900792.4801300219</v>
      </c>
      <c r="W106" s="79">
        <v>0</v>
      </c>
      <c r="X106" s="79">
        <v>0</v>
      </c>
      <c r="Y106" s="71">
        <v>0</v>
      </c>
      <c r="Z106" s="38">
        <f t="shared" si="36"/>
        <v>0</v>
      </c>
      <c r="AA106" s="80">
        <v>0</v>
      </c>
      <c r="AB106" s="81">
        <f>+'Fluxo Consolidado'!P101</f>
        <v>0</v>
      </c>
      <c r="AC106" s="208">
        <f>'Fluxo Consolidado'!Q101</f>
        <v>0</v>
      </c>
      <c r="AD106" s="81">
        <f>+'Fluxo Consolidado'!R101</f>
        <v>0</v>
      </c>
      <c r="AE106" s="81">
        <f>+'Fluxo Consolidado'!S101</f>
        <v>0</v>
      </c>
      <c r="AF106" s="208">
        <f>'Fluxo Consolidado'!T101</f>
        <v>0</v>
      </c>
      <c r="AG106" s="81">
        <f>+'Fluxo Consolidado'!U101</f>
        <v>0</v>
      </c>
      <c r="AH106" s="246">
        <f>+'Fluxo Consolidado'!V101</f>
        <v>0</v>
      </c>
      <c r="AI106" s="125" t="e">
        <f>+'Fluxo Consolidado'!#REF!</f>
        <v>#REF!</v>
      </c>
      <c r="AJ106" s="82">
        <f>+'Fluxo Consolidado'!X101</f>
        <v>-2000</v>
      </c>
      <c r="AK106" s="85">
        <v>0</v>
      </c>
      <c r="AL106" s="85">
        <f>+'Fluxo Consolidado'!Y101+'Fluxo Consolidado'!Z101+'Fluxo Consolidado'!AA101</f>
        <v>0</v>
      </c>
      <c r="AM106" s="85">
        <f>+'Fluxo Consolidado'!AB101+'Fluxo Consolidado'!AC101</f>
        <v>-75447.756383928572</v>
      </c>
      <c r="AN106" s="103">
        <f>+'Fluxo Consolidado'!AD101</f>
        <v>0</v>
      </c>
      <c r="AO106" s="85">
        <f>+'Fluxo Consolidado'!AF101+'Fluxo Consolidado'!AF101</f>
        <v>0</v>
      </c>
      <c r="AP106" s="83">
        <f>+'Fluxo Consolidado'!AG101</f>
        <v>0</v>
      </c>
      <c r="AQ106" s="119">
        <f>+'Fluxo Consolidado'!AH101</f>
        <v>-234668.92251552315</v>
      </c>
      <c r="AR106" s="85">
        <f>+'Fluxo Consolidado'!AI101</f>
        <v>-9209.81</v>
      </c>
      <c r="AS106" s="85">
        <f>+'Fluxo Consolidado'!AJ101</f>
        <v>-7969</v>
      </c>
      <c r="AT106" s="85">
        <v>0</v>
      </c>
      <c r="AU106" s="85">
        <f>+'Fluxo Consolidado'!AK101</f>
        <v>-17028.434698447381</v>
      </c>
      <c r="AV106" s="84">
        <f>+'Fluxo Consolidado'!AL101</f>
        <v>0</v>
      </c>
      <c r="AW106" s="82">
        <f t="shared" si="62"/>
        <v>-46933.784503104631</v>
      </c>
      <c r="AX106" s="82">
        <v>0</v>
      </c>
      <c r="AY106" s="82">
        <f>(-V105*$AY$1)+'Fluxo Consolidado'!AO101</f>
        <v>-156445.9483436821</v>
      </c>
      <c r="AZ106" s="84">
        <v>0</v>
      </c>
      <c r="BA106" s="122">
        <v>0</v>
      </c>
      <c r="BB106" s="81">
        <v>0</v>
      </c>
      <c r="BC106" s="81">
        <f>+'Fluxo Consolidado'!AP101</f>
        <v>0</v>
      </c>
      <c r="BD106" s="125">
        <f>+'Fluxo Consolidado'!AQ101</f>
        <v>0</v>
      </c>
      <c r="BE106" s="133"/>
      <c r="BF106" s="78">
        <f t="shared" ref="BF106:BF137" si="65">V106+Y106+W106+X106</f>
        <v>3900792.4801300219</v>
      </c>
      <c r="BG106" s="70" t="e">
        <f t="shared" ref="BG106:BG137" si="66">+SUM(AA106:BD106)</f>
        <v>#REF!</v>
      </c>
      <c r="BH106" s="70" t="e">
        <f t="shared" si="43"/>
        <v>#REF!</v>
      </c>
      <c r="BI106" s="71" t="e">
        <f t="shared" si="42"/>
        <v>#REF!</v>
      </c>
      <c r="BJ106" s="201" t="e">
        <f t="shared" si="61"/>
        <v>#REF!</v>
      </c>
      <c r="BQ106" s="82">
        <v>0</v>
      </c>
      <c r="BR106" s="223">
        <v>-840369.07396714389</v>
      </c>
      <c r="BS106" s="223">
        <v>-48529.262355430845</v>
      </c>
      <c r="BT106" s="223">
        <v>0</v>
      </c>
      <c r="BU106" s="223">
        <v>-3880464.5584873483</v>
      </c>
      <c r="BV106" s="223">
        <v>3890847.3190001268</v>
      </c>
      <c r="BW106" s="223">
        <f t="shared" si="63"/>
        <v>-888898.33632257476</v>
      </c>
      <c r="BX106" s="83">
        <f t="shared" si="54"/>
        <v>-888898.33632257476</v>
      </c>
      <c r="BY106" s="78">
        <f t="shared" si="64"/>
        <v>3022276.9043202256</v>
      </c>
      <c r="BZ106" s="70" t="e">
        <f t="shared" si="49"/>
        <v>#REF!</v>
      </c>
      <c r="CA106" s="70" t="e">
        <f t="shared" si="50"/>
        <v>#REF!</v>
      </c>
      <c r="CB106" s="71" t="e">
        <f t="shared" si="51"/>
        <v>#REF!</v>
      </c>
      <c r="CC106" s="270" t="e">
        <f t="shared" si="52"/>
        <v>#REF!</v>
      </c>
      <c r="CD106" s="201"/>
      <c r="CE106" s="69" t="e">
        <f t="shared" ref="CE106:CE137" si="67">PV($CE$5,A106,,-BH106)</f>
        <v>#REF!</v>
      </c>
      <c r="CF106" s="71" t="e">
        <f t="shared" ref="CF106:CF137" si="68">PV($CE$5,A106,,-CA106)</f>
        <v>#REF!</v>
      </c>
    </row>
    <row r="107" spans="1:84" ht="15" customHeight="1">
      <c r="A107" s="35">
        <f t="shared" si="47"/>
        <v>45</v>
      </c>
      <c r="B107" s="87"/>
      <c r="C107" s="36">
        <v>44621</v>
      </c>
      <c r="D107" s="75">
        <v>0</v>
      </c>
      <c r="E107" s="110">
        <v>0</v>
      </c>
      <c r="F107" s="110">
        <v>0</v>
      </c>
      <c r="G107" s="110">
        <v>0</v>
      </c>
      <c r="H107" s="76">
        <v>0</v>
      </c>
      <c r="I107" s="76">
        <v>0</v>
      </c>
      <c r="J107" s="77">
        <v>0</v>
      </c>
      <c r="K107" s="69">
        <f>+'Fluxo Consolidado'!D102</f>
        <v>1268342.8638095239</v>
      </c>
      <c r="L107" s="78">
        <f>+'Fluxo Consolidado'!E102</f>
        <v>2140900.37</v>
      </c>
      <c r="M107" s="78">
        <f>+'Fluxo Consolidado'!F102</f>
        <v>0</v>
      </c>
      <c r="N107" s="70">
        <v>0</v>
      </c>
      <c r="O107" s="242">
        <f t="shared" si="37"/>
        <v>0.05</v>
      </c>
      <c r="P107" s="70">
        <f>+'Fluxo Consolidado'!H102</f>
        <v>-107045.01850000001</v>
      </c>
      <c r="Q107" s="70">
        <f>+'Fluxo Consolidado'!I102</f>
        <v>110939.41250000001</v>
      </c>
      <c r="R107" s="79">
        <f>'Fluxo Consolidado'!J102</f>
        <v>472042.29409146635</v>
      </c>
      <c r="S107" s="79">
        <f>'Fluxo Consolidado'!K102</f>
        <v>26</v>
      </c>
      <c r="T107" s="79">
        <f t="shared" si="55"/>
        <v>0</v>
      </c>
      <c r="U107" s="79">
        <v>4</v>
      </c>
      <c r="V107" s="79">
        <f t="shared" si="53"/>
        <v>3885179.9219009904</v>
      </c>
      <c r="W107" s="79">
        <v>0</v>
      </c>
      <c r="X107" s="79">
        <v>0</v>
      </c>
      <c r="Y107" s="71">
        <v>0</v>
      </c>
      <c r="Z107" s="38">
        <f t="shared" si="36"/>
        <v>0</v>
      </c>
      <c r="AA107" s="80">
        <v>0</v>
      </c>
      <c r="AB107" s="81">
        <f>+'Fluxo Consolidado'!P102</f>
        <v>0</v>
      </c>
      <c r="AC107" s="208">
        <f>'Fluxo Consolidado'!Q102</f>
        <v>0</v>
      </c>
      <c r="AD107" s="81">
        <f>+'Fluxo Consolidado'!R102</f>
        <v>0</v>
      </c>
      <c r="AE107" s="81">
        <f>+'Fluxo Consolidado'!S102</f>
        <v>0</v>
      </c>
      <c r="AF107" s="208">
        <f>'Fluxo Consolidado'!T102</f>
        <v>0</v>
      </c>
      <c r="AG107" s="81">
        <f>+'Fluxo Consolidado'!U102</f>
        <v>0</v>
      </c>
      <c r="AH107" s="246">
        <f>+'Fluxo Consolidado'!V102</f>
        <v>0</v>
      </c>
      <c r="AI107" s="125" t="e">
        <f>+'Fluxo Consolidado'!#REF!</f>
        <v>#REF!</v>
      </c>
      <c r="AJ107" s="82">
        <f>+'Fluxo Consolidado'!X102</f>
        <v>-2000</v>
      </c>
      <c r="AK107" s="85">
        <v>0</v>
      </c>
      <c r="AL107" s="85">
        <f>+'Fluxo Consolidado'!Y102+'Fluxo Consolidado'!Z102+'Fluxo Consolidado'!AA102</f>
        <v>0</v>
      </c>
      <c r="AM107" s="85">
        <f>+'Fluxo Consolidado'!AB102+'Fluxo Consolidado'!AC102</f>
        <v>-74748.706383928569</v>
      </c>
      <c r="AN107" s="103">
        <f>+'Fluxo Consolidado'!AD102</f>
        <v>0</v>
      </c>
      <c r="AO107" s="85">
        <f>+'Fluxo Consolidado'!AF102+'Fluxo Consolidado'!AF102</f>
        <v>0</v>
      </c>
      <c r="AP107" s="83">
        <f>+'Fluxo Consolidado'!AG102</f>
        <v>0</v>
      </c>
      <c r="AQ107" s="119">
        <f>+'Fluxo Consolidado'!AH102</f>
        <v>-234047.5488078013</v>
      </c>
      <c r="AR107" s="85">
        <f>+'Fluxo Consolidado'!AI102</f>
        <v>-9209.81</v>
      </c>
      <c r="AS107" s="85">
        <f>+'Fluxo Consolidado'!AJ102</f>
        <v>-7969</v>
      </c>
      <c r="AT107" s="85">
        <v>0</v>
      </c>
      <c r="AU107" s="85">
        <f>+'Fluxo Consolidado'!AK102</f>
        <v>-16885.622488736419</v>
      </c>
      <c r="AV107" s="84">
        <f>+'Fluxo Consolidado'!AL102</f>
        <v>0</v>
      </c>
      <c r="AW107" s="82">
        <f t="shared" si="62"/>
        <v>-46809.509761560264</v>
      </c>
      <c r="AX107" s="82">
        <v>0</v>
      </c>
      <c r="AY107" s="82">
        <f>(-V106*$AY$1)+'Fluxo Consolidado'!AO102</f>
        <v>-156031.69920520089</v>
      </c>
      <c r="AZ107" s="84">
        <v>0</v>
      </c>
      <c r="BA107" s="122">
        <v>0</v>
      </c>
      <c r="BB107" s="81">
        <v>0</v>
      </c>
      <c r="BC107" s="81">
        <f>+'Fluxo Consolidado'!AP102</f>
        <v>0</v>
      </c>
      <c r="BD107" s="125">
        <f>+'Fluxo Consolidado'!AQ102</f>
        <v>0</v>
      </c>
      <c r="BE107" s="133"/>
      <c r="BF107" s="78">
        <f t="shared" si="65"/>
        <v>3885179.9219009904</v>
      </c>
      <c r="BG107" s="70" t="e">
        <f t="shared" si="66"/>
        <v>#REF!</v>
      </c>
      <c r="BH107" s="70" t="e">
        <f t="shared" si="43"/>
        <v>#REF!</v>
      </c>
      <c r="BI107" s="71" t="e">
        <f t="shared" si="42"/>
        <v>#REF!</v>
      </c>
      <c r="BJ107" s="201" t="e">
        <f t="shared" si="61"/>
        <v>#REF!</v>
      </c>
      <c r="BQ107" s="82">
        <v>0</v>
      </c>
      <c r="BR107" s="223">
        <v>-835269.46543591423</v>
      </c>
      <c r="BS107" s="223">
        <v>-47472.416149652643</v>
      </c>
      <c r="BT107" s="223">
        <v>0</v>
      </c>
      <c r="BU107" s="223">
        <v>-3864534.8148469012</v>
      </c>
      <c r="BV107" s="223">
        <v>3880464.5584873483</v>
      </c>
      <c r="BW107" s="223">
        <f t="shared" si="63"/>
        <v>-882741.88158556691</v>
      </c>
      <c r="BX107" s="83">
        <f t="shared" si="54"/>
        <v>-882741.88158556691</v>
      </c>
      <c r="BY107" s="78">
        <f t="shared" si="64"/>
        <v>3018367.7839558707</v>
      </c>
      <c r="BZ107" s="70" t="e">
        <f t="shared" si="49"/>
        <v>#REF!</v>
      </c>
      <c r="CA107" s="70" t="e">
        <f t="shared" si="50"/>
        <v>#REF!</v>
      </c>
      <c r="CB107" s="71" t="e">
        <f t="shared" si="51"/>
        <v>#REF!</v>
      </c>
      <c r="CC107" s="270" t="e">
        <f t="shared" si="52"/>
        <v>#REF!</v>
      </c>
      <c r="CD107" s="201"/>
      <c r="CE107" s="69" t="e">
        <f t="shared" si="67"/>
        <v>#REF!</v>
      </c>
      <c r="CF107" s="71" t="e">
        <f t="shared" si="68"/>
        <v>#REF!</v>
      </c>
    </row>
    <row r="108" spans="1:84" ht="15" customHeight="1">
      <c r="A108" s="35">
        <f t="shared" si="47"/>
        <v>46</v>
      </c>
      <c r="B108" s="87"/>
      <c r="C108" s="36">
        <v>44652</v>
      </c>
      <c r="D108" s="75">
        <v>0</v>
      </c>
      <c r="E108" s="110">
        <v>0</v>
      </c>
      <c r="F108" s="110">
        <v>0</v>
      </c>
      <c r="G108" s="110">
        <v>0</v>
      </c>
      <c r="H108" s="76">
        <v>0</v>
      </c>
      <c r="I108" s="76">
        <v>0</v>
      </c>
      <c r="J108" s="77">
        <v>0</v>
      </c>
      <c r="K108" s="69">
        <f>+'Fluxo Consolidado'!D103</f>
        <v>1268342.8638095239</v>
      </c>
      <c r="L108" s="78">
        <f>+'Fluxo Consolidado'!E103</f>
        <v>2101476.58</v>
      </c>
      <c r="M108" s="78">
        <f>+'Fluxo Consolidado'!F103</f>
        <v>0</v>
      </c>
      <c r="N108" s="70">
        <v>0</v>
      </c>
      <c r="O108" s="242">
        <f t="shared" si="37"/>
        <v>0.05</v>
      </c>
      <c r="P108" s="70">
        <f>+'Fluxo Consolidado'!H103</f>
        <v>-105073.82900000001</v>
      </c>
      <c r="Q108" s="70">
        <f>+'Fluxo Consolidado'!I103</f>
        <v>109960.19650000002</v>
      </c>
      <c r="R108" s="79">
        <f>'Fluxo Consolidado'!J103</f>
        <v>485765.70943981176</v>
      </c>
      <c r="S108" s="79">
        <f>'Fluxo Consolidado'!K103</f>
        <v>27</v>
      </c>
      <c r="T108" s="79">
        <f t="shared" si="55"/>
        <v>0</v>
      </c>
      <c r="U108" s="79">
        <v>4</v>
      </c>
      <c r="V108" s="79">
        <f t="shared" si="53"/>
        <v>3860471.5207493356</v>
      </c>
      <c r="W108" s="79">
        <v>0</v>
      </c>
      <c r="X108" s="79">
        <v>0</v>
      </c>
      <c r="Y108" s="71">
        <v>0</v>
      </c>
      <c r="Z108" s="38">
        <f t="shared" si="36"/>
        <v>0</v>
      </c>
      <c r="AA108" s="80">
        <v>0</v>
      </c>
      <c r="AB108" s="81">
        <f>+'Fluxo Consolidado'!P103</f>
        <v>0</v>
      </c>
      <c r="AC108" s="208">
        <f>'Fluxo Consolidado'!Q103</f>
        <v>0</v>
      </c>
      <c r="AD108" s="81">
        <f>+'Fluxo Consolidado'!R103</f>
        <v>0</v>
      </c>
      <c r="AE108" s="81">
        <f>+'Fluxo Consolidado'!S103</f>
        <v>0</v>
      </c>
      <c r="AF108" s="208">
        <f>'Fluxo Consolidado'!T103</f>
        <v>0</v>
      </c>
      <c r="AG108" s="81">
        <f>+'Fluxo Consolidado'!U103</f>
        <v>0</v>
      </c>
      <c r="AH108" s="246">
        <f>+'Fluxo Consolidado'!V103</f>
        <v>0</v>
      </c>
      <c r="AI108" s="125" t="e">
        <f>+'Fluxo Consolidado'!#REF!</f>
        <v>#REF!</v>
      </c>
      <c r="AJ108" s="82">
        <f>+'Fluxo Consolidado'!X103</f>
        <v>-2000</v>
      </c>
      <c r="AK108" s="85">
        <v>0</v>
      </c>
      <c r="AL108" s="85">
        <f>+'Fluxo Consolidado'!Y103+'Fluxo Consolidado'!Z103+'Fluxo Consolidado'!AA103</f>
        <v>0</v>
      </c>
      <c r="AM108" s="85">
        <f>+'Fluxo Consolidado'!AB103+'Fluxo Consolidado'!AC103</f>
        <v>-73978.836383928574</v>
      </c>
      <c r="AN108" s="103">
        <f>+'Fluxo Consolidado'!AD103</f>
        <v>0</v>
      </c>
      <c r="AO108" s="85">
        <f>+'Fluxo Consolidado'!AF103+'Fluxo Consolidado'!AF103</f>
        <v>0</v>
      </c>
      <c r="AP108" s="83">
        <f>+'Fluxo Consolidado'!AG103</f>
        <v>0</v>
      </c>
      <c r="AQ108" s="119">
        <f>+'Fluxo Consolidado'!AH103</f>
        <v>-233110.79531405942</v>
      </c>
      <c r="AR108" s="85">
        <f>+'Fluxo Consolidado'!AI103</f>
        <v>-9209.81</v>
      </c>
      <c r="AS108" s="85">
        <f>+'Fluxo Consolidado'!AJ103</f>
        <v>-23969</v>
      </c>
      <c r="AT108" s="85">
        <v>0</v>
      </c>
      <c r="AU108" s="85">
        <f>+'Fluxo Consolidado'!AK103</f>
        <v>-16715.903670908789</v>
      </c>
      <c r="AV108" s="84">
        <f>+'Fluxo Consolidado'!AL103</f>
        <v>0</v>
      </c>
      <c r="AW108" s="82">
        <f t="shared" si="62"/>
        <v>-46622.159062811887</v>
      </c>
      <c r="AX108" s="82">
        <v>0</v>
      </c>
      <c r="AY108" s="82">
        <f>(-V107*$AY$1)+'Fluxo Consolidado'!AO103</f>
        <v>-155407.19687603961</v>
      </c>
      <c r="AZ108" s="84">
        <v>0</v>
      </c>
      <c r="BA108" s="122">
        <v>0</v>
      </c>
      <c r="BB108" s="81">
        <v>0</v>
      </c>
      <c r="BC108" s="81">
        <f>+'Fluxo Consolidado'!AP103</f>
        <v>0</v>
      </c>
      <c r="BD108" s="125">
        <f>+'Fluxo Consolidado'!AQ103</f>
        <v>0</v>
      </c>
      <c r="BE108" s="133"/>
      <c r="BF108" s="78">
        <f t="shared" si="65"/>
        <v>3860471.5207493356</v>
      </c>
      <c r="BG108" s="70" t="e">
        <f t="shared" si="66"/>
        <v>#REF!</v>
      </c>
      <c r="BH108" s="70" t="e">
        <f t="shared" si="43"/>
        <v>#REF!</v>
      </c>
      <c r="BI108" s="71" t="e">
        <f t="shared" si="42"/>
        <v>#REF!</v>
      </c>
      <c r="BJ108" s="201" t="e">
        <f t="shared" si="61"/>
        <v>#REF!</v>
      </c>
      <c r="BQ108" s="82">
        <v>0</v>
      </c>
      <c r="BR108" s="223">
        <v>-830169.85690468468</v>
      </c>
      <c r="BS108" s="223">
        <v>-46445.534899734805</v>
      </c>
      <c r="BT108" s="223">
        <v>0</v>
      </c>
      <c r="BU108" s="223">
        <v>-3839158.4600053141</v>
      </c>
      <c r="BV108" s="223">
        <v>3864534.8148469012</v>
      </c>
      <c r="BW108" s="223">
        <f t="shared" si="63"/>
        <v>-876615.39180441946</v>
      </c>
      <c r="BX108" s="83">
        <f t="shared" si="54"/>
        <v>-876615.39180441946</v>
      </c>
      <c r="BY108" s="78">
        <f t="shared" si="64"/>
        <v>3009232.4837865033</v>
      </c>
      <c r="BZ108" s="70" t="e">
        <f t="shared" si="49"/>
        <v>#REF!</v>
      </c>
      <c r="CA108" s="70" t="e">
        <f t="shared" si="50"/>
        <v>#REF!</v>
      </c>
      <c r="CB108" s="71" t="e">
        <f t="shared" si="51"/>
        <v>#REF!</v>
      </c>
      <c r="CC108" s="270" t="e">
        <f t="shared" si="52"/>
        <v>#REF!</v>
      </c>
      <c r="CD108" s="201"/>
      <c r="CE108" s="69" t="e">
        <f t="shared" si="67"/>
        <v>#REF!</v>
      </c>
      <c r="CF108" s="71" t="e">
        <f t="shared" si="68"/>
        <v>#REF!</v>
      </c>
    </row>
    <row r="109" spans="1:84" ht="15" customHeight="1">
      <c r="A109" s="35">
        <f t="shared" si="47"/>
        <v>47</v>
      </c>
      <c r="B109" s="87"/>
      <c r="C109" s="36">
        <v>44682</v>
      </c>
      <c r="D109" s="75">
        <v>0</v>
      </c>
      <c r="E109" s="110">
        <v>0</v>
      </c>
      <c r="F109" s="110">
        <v>0</v>
      </c>
      <c r="G109" s="110">
        <v>0</v>
      </c>
      <c r="H109" s="76">
        <v>0</v>
      </c>
      <c r="I109" s="76">
        <v>0</v>
      </c>
      <c r="J109" s="77">
        <v>0</v>
      </c>
      <c r="K109" s="69">
        <f>+'Fluxo Consolidado'!D104</f>
        <v>1268342.8638095239</v>
      </c>
      <c r="L109" s="78">
        <f>+'Fluxo Consolidado'!E104</f>
        <v>2078889.67</v>
      </c>
      <c r="M109" s="78">
        <f>+'Fluxo Consolidado'!F104</f>
        <v>0</v>
      </c>
      <c r="N109" s="70">
        <v>0</v>
      </c>
      <c r="O109" s="242">
        <f t="shared" si="37"/>
        <v>0.05</v>
      </c>
      <c r="P109" s="70">
        <f>+'Fluxo Consolidado'!H104</f>
        <v>-103944.4835</v>
      </c>
      <c r="Q109" s="70">
        <f>+'Fluxo Consolidado'!I104</f>
        <v>108625.78049999999</v>
      </c>
      <c r="R109" s="79">
        <f>'Fluxo Consolidado'!J104</f>
        <v>501658.47605296783</v>
      </c>
      <c r="S109" s="79">
        <f>'Fluxo Consolidado'!K104</f>
        <v>28</v>
      </c>
      <c r="T109" s="79">
        <f t="shared" si="55"/>
        <v>0</v>
      </c>
      <c r="U109" s="79">
        <v>4</v>
      </c>
      <c r="V109" s="79">
        <f t="shared" si="53"/>
        <v>3853572.3068624916</v>
      </c>
      <c r="W109" s="79">
        <v>0</v>
      </c>
      <c r="X109" s="79">
        <v>0</v>
      </c>
      <c r="Y109" s="71">
        <v>0</v>
      </c>
      <c r="Z109" s="38">
        <f t="shared" si="36"/>
        <v>0</v>
      </c>
      <c r="AA109" s="80">
        <v>0</v>
      </c>
      <c r="AB109" s="81">
        <f>+'Fluxo Consolidado'!P104</f>
        <v>0</v>
      </c>
      <c r="AC109" s="208">
        <f>'Fluxo Consolidado'!Q104</f>
        <v>0</v>
      </c>
      <c r="AD109" s="81">
        <f>+'Fluxo Consolidado'!R104</f>
        <v>0</v>
      </c>
      <c r="AE109" s="81">
        <f>+'Fluxo Consolidado'!S104</f>
        <v>0</v>
      </c>
      <c r="AF109" s="208">
        <f>'Fluxo Consolidado'!T104</f>
        <v>0</v>
      </c>
      <c r="AG109" s="81">
        <f>+'Fluxo Consolidado'!U104</f>
        <v>0</v>
      </c>
      <c r="AH109" s="246">
        <f>+'Fluxo Consolidado'!V104</f>
        <v>0</v>
      </c>
      <c r="AI109" s="125" t="e">
        <f>+'Fluxo Consolidado'!#REF!</f>
        <v>#REF!</v>
      </c>
      <c r="AJ109" s="82">
        <f>+'Fluxo Consolidado'!X104</f>
        <v>-2000</v>
      </c>
      <c r="AK109" s="85">
        <v>0</v>
      </c>
      <c r="AL109" s="85">
        <f>+'Fluxo Consolidado'!Y104+'Fluxo Consolidado'!Z104+'Fluxo Consolidado'!AA104</f>
        <v>0</v>
      </c>
      <c r="AM109" s="85">
        <f>+'Fluxo Consolidado'!AB104+'Fluxo Consolidado'!AC104</f>
        <v>-73491.626383928568</v>
      </c>
      <c r="AN109" s="103">
        <f>+'Fluxo Consolidado'!AD104</f>
        <v>0</v>
      </c>
      <c r="AO109" s="85">
        <f>+'Fluxo Consolidado'!AF104+'Fluxo Consolidado'!AF104</f>
        <v>0</v>
      </c>
      <c r="AP109" s="83">
        <f>+'Fluxo Consolidado'!AG104</f>
        <v>0</v>
      </c>
      <c r="AQ109" s="119">
        <f>+'Fluxo Consolidado'!AH104</f>
        <v>-231628.29124496013</v>
      </c>
      <c r="AR109" s="85">
        <f>+'Fluxo Consolidado'!AI104</f>
        <v>-9209.81</v>
      </c>
      <c r="AS109" s="85">
        <f>+'Fluxo Consolidado'!AJ104</f>
        <v>-23969</v>
      </c>
      <c r="AT109" s="85">
        <v>0</v>
      </c>
      <c r="AU109" s="85">
        <f>+'Fluxo Consolidado'!AK104</f>
        <v>-16504.898492126264</v>
      </c>
      <c r="AV109" s="84">
        <f>+'Fluxo Consolidado'!AL104</f>
        <v>0</v>
      </c>
      <c r="AW109" s="82">
        <f t="shared" si="62"/>
        <v>-46325.658248992026</v>
      </c>
      <c r="AX109" s="82">
        <v>0</v>
      </c>
      <c r="AY109" s="82">
        <f>(-V108*$AY$1)+'Fluxo Consolidado'!AO104</f>
        <v>-154418.86082997342</v>
      </c>
      <c r="AZ109" s="84">
        <v>0</v>
      </c>
      <c r="BA109" s="122">
        <v>0</v>
      </c>
      <c r="BB109" s="81">
        <v>0</v>
      </c>
      <c r="BC109" s="81">
        <f>+'Fluxo Consolidado'!AP104</f>
        <v>0</v>
      </c>
      <c r="BD109" s="125">
        <f>+'Fluxo Consolidado'!AQ104</f>
        <v>0</v>
      </c>
      <c r="BE109" s="133"/>
      <c r="BF109" s="78">
        <f t="shared" si="65"/>
        <v>3853572.3068624916</v>
      </c>
      <c r="BG109" s="70" t="e">
        <f t="shared" si="66"/>
        <v>#REF!</v>
      </c>
      <c r="BH109" s="70" t="e">
        <f t="shared" si="43"/>
        <v>#REF!</v>
      </c>
      <c r="BI109" s="71" t="e">
        <f t="shared" si="42"/>
        <v>#REF!</v>
      </c>
      <c r="BJ109" s="201" t="e">
        <f t="shared" si="61"/>
        <v>#REF!</v>
      </c>
      <c r="BQ109" s="82">
        <v>0</v>
      </c>
      <c r="BR109" s="223">
        <v>-825070.2483734549</v>
      </c>
      <c r="BS109" s="223">
        <v>-45447.769003743946</v>
      </c>
      <c r="BT109" s="223">
        <v>0</v>
      </c>
      <c r="BU109" s="223">
        <v>-3831720.7102231532</v>
      </c>
      <c r="BV109" s="223">
        <v>3839158.4600053141</v>
      </c>
      <c r="BW109" s="223">
        <f t="shared" si="63"/>
        <v>-870518.01737719891</v>
      </c>
      <c r="BX109" s="83">
        <f t="shared" si="54"/>
        <v>-870518.01737719891</v>
      </c>
      <c r="BY109" s="78">
        <f t="shared" si="64"/>
        <v>2990492.0392674538</v>
      </c>
      <c r="BZ109" s="70" t="e">
        <f t="shared" si="49"/>
        <v>#REF!</v>
      </c>
      <c r="CA109" s="70" t="e">
        <f t="shared" si="50"/>
        <v>#REF!</v>
      </c>
      <c r="CB109" s="71" t="e">
        <f t="shared" si="51"/>
        <v>#REF!</v>
      </c>
      <c r="CC109" s="270" t="e">
        <f t="shared" si="52"/>
        <v>#REF!</v>
      </c>
      <c r="CD109" s="201"/>
      <c r="CE109" s="69" t="e">
        <f t="shared" si="67"/>
        <v>#REF!</v>
      </c>
      <c r="CF109" s="71" t="e">
        <f t="shared" si="68"/>
        <v>#REF!</v>
      </c>
    </row>
    <row r="110" spans="1:84" ht="15" customHeight="1">
      <c r="A110" s="35">
        <f t="shared" si="47"/>
        <v>48</v>
      </c>
      <c r="B110" s="87"/>
      <c r="C110" s="36">
        <v>44713</v>
      </c>
      <c r="D110" s="75">
        <v>0</v>
      </c>
      <c r="E110" s="110">
        <v>0</v>
      </c>
      <c r="F110" s="110">
        <v>0</v>
      </c>
      <c r="G110" s="110">
        <v>0</v>
      </c>
      <c r="H110" s="76">
        <v>0</v>
      </c>
      <c r="I110" s="76">
        <v>0</v>
      </c>
      <c r="J110" s="77">
        <v>0</v>
      </c>
      <c r="K110" s="69">
        <f>+'Fluxo Consolidado'!D105</f>
        <v>1268342.8638095239</v>
      </c>
      <c r="L110" s="78">
        <f>+'Fluxo Consolidado'!E105</f>
        <v>2069833.65</v>
      </c>
      <c r="M110" s="78">
        <f>+'Fluxo Consolidado'!F105</f>
        <v>0</v>
      </c>
      <c r="N110" s="70">
        <v>0</v>
      </c>
      <c r="O110" s="242">
        <f t="shared" si="37"/>
        <v>0.05</v>
      </c>
      <c r="P110" s="70">
        <f>+'Fluxo Consolidado'!H105</f>
        <v>-103491.6825</v>
      </c>
      <c r="Q110" s="70">
        <f>+'Fluxo Consolidado'!I105</f>
        <v>107045.01850000001</v>
      </c>
      <c r="R110" s="79">
        <f>'Fluxo Consolidado'!J105</f>
        <v>519493.61540207872</v>
      </c>
      <c r="S110" s="79">
        <f>'Fluxo Consolidado'!K105</f>
        <v>29</v>
      </c>
      <c r="T110" s="79">
        <f t="shared" si="55"/>
        <v>0</v>
      </c>
      <c r="U110" s="79">
        <v>4</v>
      </c>
      <c r="V110" s="79">
        <f t="shared" si="53"/>
        <v>3861223.4652116024</v>
      </c>
      <c r="W110" s="79">
        <v>0</v>
      </c>
      <c r="X110" s="79">
        <v>0</v>
      </c>
      <c r="Y110" s="71">
        <v>0</v>
      </c>
      <c r="Z110" s="38">
        <f t="shared" si="36"/>
        <v>0</v>
      </c>
      <c r="AA110" s="80">
        <v>0</v>
      </c>
      <c r="AB110" s="81">
        <f>+'Fluxo Consolidado'!P105</f>
        <v>0</v>
      </c>
      <c r="AC110" s="208">
        <f>'Fluxo Consolidado'!Q105</f>
        <v>0</v>
      </c>
      <c r="AD110" s="81">
        <f>+'Fluxo Consolidado'!R105</f>
        <v>0</v>
      </c>
      <c r="AE110" s="81">
        <f>+'Fluxo Consolidado'!S105</f>
        <v>0</v>
      </c>
      <c r="AF110" s="208">
        <f>'Fluxo Consolidado'!T105</f>
        <v>0</v>
      </c>
      <c r="AG110" s="81">
        <f>+'Fluxo Consolidado'!U105</f>
        <v>0</v>
      </c>
      <c r="AH110" s="246">
        <f>+'Fluxo Consolidado'!V105</f>
        <v>0</v>
      </c>
      <c r="AI110" s="125" t="e">
        <f>+'Fluxo Consolidado'!#REF!</f>
        <v>#REF!</v>
      </c>
      <c r="AJ110" s="82">
        <f>+'Fluxo Consolidado'!X105</f>
        <v>0</v>
      </c>
      <c r="AK110" s="85">
        <v>0</v>
      </c>
      <c r="AL110" s="85">
        <f>+'Fluxo Consolidado'!Y105+'Fluxo Consolidado'!Z105+'Fluxo Consolidado'!AA105</f>
        <v>0</v>
      </c>
      <c r="AM110" s="85">
        <f>+'Fluxo Consolidado'!AB105+'Fluxo Consolidado'!AC105</f>
        <v>-73274.946383928575</v>
      </c>
      <c r="AN110" s="103">
        <f>+'Fluxo Consolidado'!AD105</f>
        <v>0</v>
      </c>
      <c r="AO110" s="85">
        <f>+'Fluxo Consolidado'!AF105+'Fluxo Consolidado'!AF105</f>
        <v>0</v>
      </c>
      <c r="AP110" s="83">
        <f>+'Fluxo Consolidado'!AG105</f>
        <v>0</v>
      </c>
      <c r="AQ110" s="119">
        <f>+'Fluxo Consolidado'!AH105</f>
        <v>-231214.33841174949</v>
      </c>
      <c r="AR110" s="85">
        <f>+'Fluxo Consolidado'!AI105</f>
        <v>-9209.81</v>
      </c>
      <c r="AS110" s="85">
        <f>+'Fluxo Consolidado'!AJ105</f>
        <v>-7969</v>
      </c>
      <c r="AT110" s="85">
        <v>0</v>
      </c>
      <c r="AU110" s="85">
        <f>+'Fluxo Consolidado'!AK105</f>
        <v>-16373.315978429007</v>
      </c>
      <c r="AV110" s="84">
        <f>+'Fluxo Consolidado'!AL105</f>
        <v>0</v>
      </c>
      <c r="AW110" s="82">
        <f t="shared" si="62"/>
        <v>-46242.867682349897</v>
      </c>
      <c r="AX110" s="82">
        <v>0</v>
      </c>
      <c r="AY110" s="82">
        <f>(-V109*$AY$1)+'Fluxo Consolidado'!AO105</f>
        <v>-154142.89227449967</v>
      </c>
      <c r="AZ110" s="84">
        <v>0</v>
      </c>
      <c r="BA110" s="122">
        <v>0</v>
      </c>
      <c r="BB110" s="81">
        <v>0</v>
      </c>
      <c r="BC110" s="81">
        <f>+'Fluxo Consolidado'!AP105</f>
        <v>0</v>
      </c>
      <c r="BD110" s="125">
        <f>+'Fluxo Consolidado'!AQ105</f>
        <v>0</v>
      </c>
      <c r="BE110" s="133"/>
      <c r="BF110" s="78">
        <f t="shared" si="65"/>
        <v>3861223.4652116024</v>
      </c>
      <c r="BG110" s="70" t="e">
        <f t="shared" si="66"/>
        <v>#REF!</v>
      </c>
      <c r="BH110" s="70" t="e">
        <f t="shared" si="43"/>
        <v>#REF!</v>
      </c>
      <c r="BI110" s="71" t="e">
        <f t="shared" si="42"/>
        <v>#REF!</v>
      </c>
      <c r="BJ110" s="201" t="e">
        <f t="shared" si="61"/>
        <v>#REF!</v>
      </c>
      <c r="BQ110" s="82">
        <v>0</v>
      </c>
      <c r="BR110" s="223">
        <v>-819970.63984222524</v>
      </c>
      <c r="BS110" s="223">
        <v>-44478.292948667382</v>
      </c>
      <c r="BT110" s="223">
        <v>0</v>
      </c>
      <c r="BU110" s="223">
        <v>-3838861.7988262288</v>
      </c>
      <c r="BV110" s="223">
        <v>3831720.7102231532</v>
      </c>
      <c r="BW110" s="223">
        <f t="shared" si="63"/>
        <v>-864448.93279089266</v>
      </c>
      <c r="BX110" s="83">
        <f t="shared" si="54"/>
        <v>-864448.93279089266</v>
      </c>
      <c r="BY110" s="78">
        <f t="shared" si="64"/>
        <v>2989633.4438176341</v>
      </c>
      <c r="BZ110" s="70" t="e">
        <f t="shared" si="49"/>
        <v>#REF!</v>
      </c>
      <c r="CA110" s="70" t="e">
        <f t="shared" si="50"/>
        <v>#REF!</v>
      </c>
      <c r="CB110" s="71" t="e">
        <f t="shared" si="51"/>
        <v>#REF!</v>
      </c>
      <c r="CC110" s="270" t="e">
        <f t="shared" si="52"/>
        <v>#REF!</v>
      </c>
      <c r="CD110" s="201"/>
      <c r="CE110" s="69" t="e">
        <f t="shared" si="67"/>
        <v>#REF!</v>
      </c>
      <c r="CF110" s="71" t="e">
        <f t="shared" si="68"/>
        <v>#REF!</v>
      </c>
    </row>
    <row r="111" spans="1:84" ht="15" customHeight="1">
      <c r="A111" s="35">
        <f t="shared" si="47"/>
        <v>49</v>
      </c>
      <c r="B111" s="87"/>
      <c r="C111" s="36">
        <v>44743</v>
      </c>
      <c r="D111" s="75">
        <v>0</v>
      </c>
      <c r="E111" s="110">
        <v>0</v>
      </c>
      <c r="F111" s="110">
        <v>0</v>
      </c>
      <c r="G111" s="110">
        <v>0</v>
      </c>
      <c r="H111" s="76">
        <v>0</v>
      </c>
      <c r="I111" s="76">
        <v>0</v>
      </c>
      <c r="J111" s="77">
        <v>0</v>
      </c>
      <c r="K111" s="69">
        <f>+'Fluxo Consolidado'!D106</f>
        <v>1268342.8638095239</v>
      </c>
      <c r="L111" s="78">
        <f>+'Fluxo Consolidado'!E106</f>
        <v>2054894.02</v>
      </c>
      <c r="M111" s="78">
        <f>+'Fluxo Consolidado'!F106</f>
        <v>0</v>
      </c>
      <c r="N111" s="70">
        <v>0</v>
      </c>
      <c r="O111" s="242">
        <f t="shared" si="37"/>
        <v>0.05</v>
      </c>
      <c r="P111" s="70">
        <f>+'Fluxo Consolidado'!H106</f>
        <v>-102744.701</v>
      </c>
      <c r="Q111" s="70">
        <f>+'Fluxo Consolidado'!I106</f>
        <v>105073.82900000001</v>
      </c>
      <c r="R111" s="79">
        <f>'Fluxo Consolidado'!J106</f>
        <v>536370.70852771029</v>
      </c>
      <c r="S111" s="79">
        <f>'Fluxo Consolidado'!K106</f>
        <v>30</v>
      </c>
      <c r="T111" s="79">
        <f t="shared" si="55"/>
        <v>0</v>
      </c>
      <c r="U111" s="79">
        <v>4</v>
      </c>
      <c r="V111" s="79">
        <f t="shared" si="53"/>
        <v>3861936.7203372344</v>
      </c>
      <c r="W111" s="79">
        <v>0</v>
      </c>
      <c r="X111" s="79">
        <v>0</v>
      </c>
      <c r="Y111" s="71">
        <v>0</v>
      </c>
      <c r="Z111" s="38">
        <f t="shared" si="36"/>
        <v>0</v>
      </c>
      <c r="AA111" s="80">
        <v>0</v>
      </c>
      <c r="AB111" s="81">
        <f>+'Fluxo Consolidado'!P106</f>
        <v>0</v>
      </c>
      <c r="AC111" s="208">
        <f>'Fluxo Consolidado'!Q106</f>
        <v>0</v>
      </c>
      <c r="AD111" s="81">
        <f>+'Fluxo Consolidado'!R106</f>
        <v>0</v>
      </c>
      <c r="AE111" s="81">
        <f>+'Fluxo Consolidado'!S106</f>
        <v>0</v>
      </c>
      <c r="AF111" s="208">
        <f>'Fluxo Consolidado'!T106</f>
        <v>0</v>
      </c>
      <c r="AG111" s="81">
        <f>+'Fluxo Consolidado'!U106</f>
        <v>0</v>
      </c>
      <c r="AH111" s="246">
        <f>+'Fluxo Consolidado'!V106</f>
        <v>0</v>
      </c>
      <c r="AI111" s="125" t="e">
        <f>+'Fluxo Consolidado'!#REF!</f>
        <v>#REF!</v>
      </c>
      <c r="AJ111" s="82">
        <f>+'Fluxo Consolidado'!X106</f>
        <v>0</v>
      </c>
      <c r="AK111" s="85">
        <v>0</v>
      </c>
      <c r="AL111" s="85">
        <f>+'Fluxo Consolidado'!Y106+'Fluxo Consolidado'!Z106+'Fluxo Consolidado'!AA106</f>
        <v>0</v>
      </c>
      <c r="AM111" s="85">
        <f>+'Fluxo Consolidado'!AB106+'Fluxo Consolidado'!AC106</f>
        <v>-72850.626383928568</v>
      </c>
      <c r="AN111" s="103">
        <f>+'Fluxo Consolidado'!AD106</f>
        <v>0</v>
      </c>
      <c r="AO111" s="85">
        <f>+'Fluxo Consolidado'!AF106+'Fluxo Consolidado'!AF106</f>
        <v>0</v>
      </c>
      <c r="AP111" s="83">
        <f>+'Fluxo Consolidado'!AG106</f>
        <v>0</v>
      </c>
      <c r="AQ111" s="119">
        <f>+'Fluxo Consolidado'!AH106</f>
        <v>-231673.40791269613</v>
      </c>
      <c r="AR111" s="85">
        <f>+'Fluxo Consolidado'!AI106</f>
        <v>-9209.81</v>
      </c>
      <c r="AS111" s="85">
        <f>+'Fluxo Consolidado'!AJ106</f>
        <v>-7969</v>
      </c>
      <c r="AT111" s="85">
        <v>0</v>
      </c>
      <c r="AU111" s="85">
        <f>+'Fluxo Consolidado'!AK106</f>
        <v>-16303.79832403691</v>
      </c>
      <c r="AV111" s="84">
        <f>+'Fluxo Consolidado'!AL106</f>
        <v>0</v>
      </c>
      <c r="AW111" s="82">
        <f t="shared" si="62"/>
        <v>-46334.681582539233</v>
      </c>
      <c r="AX111" s="82">
        <v>0</v>
      </c>
      <c r="AY111" s="82">
        <f>(-V110*$AY$1)+'Fluxo Consolidado'!AO106</f>
        <v>-154448.93860846409</v>
      </c>
      <c r="AZ111" s="84">
        <v>0</v>
      </c>
      <c r="BA111" s="122">
        <v>0</v>
      </c>
      <c r="BB111" s="81">
        <v>0</v>
      </c>
      <c r="BC111" s="81">
        <f>+'Fluxo Consolidado'!AP106</f>
        <v>0</v>
      </c>
      <c r="BD111" s="125">
        <f>+'Fluxo Consolidado'!AQ106</f>
        <v>0</v>
      </c>
      <c r="BE111" s="133"/>
      <c r="BF111" s="78">
        <f t="shared" si="65"/>
        <v>3861936.7203372344</v>
      </c>
      <c r="BG111" s="70" t="e">
        <f t="shared" si="66"/>
        <v>#REF!</v>
      </c>
      <c r="BH111" s="70" t="e">
        <f t="shared" si="43"/>
        <v>#REF!</v>
      </c>
      <c r="BI111" s="71" t="e">
        <f t="shared" si="42"/>
        <v>#REF!</v>
      </c>
      <c r="BJ111" s="201" t="e">
        <f t="shared" si="61"/>
        <v>#REF!</v>
      </c>
      <c r="BQ111" s="82">
        <v>0</v>
      </c>
      <c r="BR111" s="223">
        <v>-814871.03131099558</v>
      </c>
      <c r="BS111" s="223">
        <v>-43536.304627415499</v>
      </c>
      <c r="BT111" s="223">
        <v>0</v>
      </c>
      <c r="BU111" s="223">
        <v>-3838332.0069457567</v>
      </c>
      <c r="BV111" s="223">
        <v>3838861.7988262288</v>
      </c>
      <c r="BW111" s="223">
        <f t="shared" si="63"/>
        <v>-858407.33593841107</v>
      </c>
      <c r="BX111" s="83">
        <f t="shared" si="54"/>
        <v>-858407.33593841107</v>
      </c>
      <c r="BY111" s="78">
        <f t="shared" si="64"/>
        <v>3004059.1762792952</v>
      </c>
      <c r="BZ111" s="70" t="e">
        <f t="shared" si="49"/>
        <v>#REF!</v>
      </c>
      <c r="CA111" s="70" t="e">
        <f t="shared" si="50"/>
        <v>#REF!</v>
      </c>
      <c r="CB111" s="71" t="e">
        <f t="shared" si="51"/>
        <v>#REF!</v>
      </c>
      <c r="CC111" s="270" t="e">
        <f t="shared" si="52"/>
        <v>#REF!</v>
      </c>
      <c r="CD111" s="201"/>
      <c r="CE111" s="69" t="e">
        <f t="shared" si="67"/>
        <v>#REF!</v>
      </c>
      <c r="CF111" s="71" t="e">
        <f t="shared" si="68"/>
        <v>#REF!</v>
      </c>
    </row>
    <row r="112" spans="1:84" ht="15" customHeight="1">
      <c r="A112" s="35">
        <f t="shared" si="47"/>
        <v>50</v>
      </c>
      <c r="B112" s="87"/>
      <c r="C112" s="36">
        <v>44774</v>
      </c>
      <c r="D112" s="75">
        <v>0</v>
      </c>
      <c r="E112" s="110">
        <v>0</v>
      </c>
      <c r="F112" s="110">
        <v>0</v>
      </c>
      <c r="G112" s="110">
        <v>0</v>
      </c>
      <c r="H112" s="76">
        <v>0</v>
      </c>
      <c r="I112" s="76">
        <v>0</v>
      </c>
      <c r="J112" s="77">
        <v>0</v>
      </c>
      <c r="K112" s="69">
        <f>+'Fluxo Consolidado'!D107</f>
        <v>1268342.8638095239</v>
      </c>
      <c r="L112" s="78">
        <f>+'Fluxo Consolidado'!E107</f>
        <v>2027564.92</v>
      </c>
      <c r="M112" s="78">
        <f>+'Fluxo Consolidado'!F107</f>
        <v>0</v>
      </c>
      <c r="N112" s="70">
        <v>0</v>
      </c>
      <c r="O112" s="242">
        <f t="shared" si="37"/>
        <v>0.05</v>
      </c>
      <c r="P112" s="70">
        <f>+'Fluxo Consolidado'!H107</f>
        <v>-101378.246</v>
      </c>
      <c r="Q112" s="70">
        <f>+'Fluxo Consolidado'!I107</f>
        <v>103944.4835</v>
      </c>
      <c r="R112" s="79">
        <f>'Fluxo Consolidado'!J107</f>
        <v>551099.12738891318</v>
      </c>
      <c r="S112" s="79">
        <f>'Fluxo Consolidado'!K107</f>
        <v>31</v>
      </c>
      <c r="T112" s="79">
        <f t="shared" si="55"/>
        <v>0</v>
      </c>
      <c r="U112" s="79">
        <v>4</v>
      </c>
      <c r="V112" s="79">
        <f t="shared" si="53"/>
        <v>3849573.148698437</v>
      </c>
      <c r="W112" s="79">
        <v>0</v>
      </c>
      <c r="X112" s="79">
        <v>0</v>
      </c>
      <c r="Y112" s="71">
        <v>0</v>
      </c>
      <c r="Z112" s="38">
        <f t="shared" si="36"/>
        <v>0</v>
      </c>
      <c r="AA112" s="80">
        <v>0</v>
      </c>
      <c r="AB112" s="81">
        <f>+'Fluxo Consolidado'!P107</f>
        <v>0</v>
      </c>
      <c r="AC112" s="208">
        <f>'Fluxo Consolidado'!Q107</f>
        <v>0</v>
      </c>
      <c r="AD112" s="81">
        <f>+'Fluxo Consolidado'!R107</f>
        <v>0</v>
      </c>
      <c r="AE112" s="81">
        <f>+'Fluxo Consolidado'!S107</f>
        <v>0</v>
      </c>
      <c r="AF112" s="208">
        <f>'Fluxo Consolidado'!T107</f>
        <v>0</v>
      </c>
      <c r="AG112" s="81">
        <f>+'Fluxo Consolidado'!U107</f>
        <v>0</v>
      </c>
      <c r="AH112" s="246">
        <f>+'Fluxo Consolidado'!V107</f>
        <v>0</v>
      </c>
      <c r="AI112" s="125" t="e">
        <f>+'Fluxo Consolidado'!#REF!</f>
        <v>#REF!</v>
      </c>
      <c r="AJ112" s="82">
        <f>+'Fluxo Consolidado'!X107</f>
        <v>0</v>
      </c>
      <c r="AK112" s="85">
        <v>0</v>
      </c>
      <c r="AL112" s="85">
        <f>+'Fluxo Consolidado'!Y107+'Fluxo Consolidado'!Z107+'Fluxo Consolidado'!AA107</f>
        <v>0</v>
      </c>
      <c r="AM112" s="85">
        <f>+'Fluxo Consolidado'!AB107+'Fluxo Consolidado'!AC107</f>
        <v>-72093.976383928573</v>
      </c>
      <c r="AN112" s="103">
        <f>+'Fluxo Consolidado'!AD107</f>
        <v>0</v>
      </c>
      <c r="AO112" s="85">
        <f>+'Fluxo Consolidado'!AF107+'Fluxo Consolidado'!AF107</f>
        <v>0</v>
      </c>
      <c r="AP112" s="83">
        <f>+'Fluxo Consolidado'!AG107</f>
        <v>0</v>
      </c>
      <c r="AQ112" s="119">
        <f>+'Fluxo Consolidado'!AH107</f>
        <v>-231716.20322023405</v>
      </c>
      <c r="AR112" s="85">
        <f>+'Fluxo Consolidado'!AI107</f>
        <v>-9209.81</v>
      </c>
      <c r="AS112" s="85">
        <f>+'Fluxo Consolidado'!AJ107</f>
        <v>-7969</v>
      </c>
      <c r="AT112" s="85">
        <v>0</v>
      </c>
      <c r="AU112" s="85">
        <f>+'Fluxo Consolidado'!AK107</f>
        <v>-16212.43688304575</v>
      </c>
      <c r="AV112" s="84">
        <f>+'Fluxo Consolidado'!AL107</f>
        <v>0</v>
      </c>
      <c r="AW112" s="82">
        <f t="shared" si="62"/>
        <v>-46343.240644046811</v>
      </c>
      <c r="AX112" s="82">
        <v>0</v>
      </c>
      <c r="AY112" s="82">
        <f>(-V111*$AY$1)+'Fluxo Consolidado'!AO107</f>
        <v>-154477.46881348939</v>
      </c>
      <c r="AZ112" s="84">
        <v>0</v>
      </c>
      <c r="BA112" s="122">
        <v>0</v>
      </c>
      <c r="BB112" s="81">
        <v>0</v>
      </c>
      <c r="BC112" s="81">
        <f>+'Fluxo Consolidado'!AP107</f>
        <v>0</v>
      </c>
      <c r="BD112" s="125">
        <f>+'Fluxo Consolidado'!AQ107</f>
        <v>0</v>
      </c>
      <c r="BE112" s="133"/>
      <c r="BF112" s="78">
        <f t="shared" si="65"/>
        <v>3849573.148698437</v>
      </c>
      <c r="BG112" s="70" t="e">
        <f t="shared" si="66"/>
        <v>#REF!</v>
      </c>
      <c r="BH112" s="70" t="e">
        <f t="shared" si="43"/>
        <v>#REF!</v>
      </c>
      <c r="BI112" s="71" t="e">
        <f t="shared" si="42"/>
        <v>#REF!</v>
      </c>
      <c r="BJ112" s="201" t="e">
        <f t="shared" si="61"/>
        <v>#REF!</v>
      </c>
      <c r="BQ112" s="82">
        <v>0</v>
      </c>
      <c r="BR112" s="223">
        <v>-809771.42277976591</v>
      </c>
      <c r="BS112" s="223">
        <v>-58182.777663237066</v>
      </c>
      <c r="BT112" s="223">
        <v>0</v>
      </c>
      <c r="BU112" s="223">
        <v>-3826002.8051539403</v>
      </c>
      <c r="BV112" s="223">
        <v>3838332.0069457567</v>
      </c>
      <c r="BW112" s="223">
        <f t="shared" si="63"/>
        <v>-867954.20044300298</v>
      </c>
      <c r="BX112" s="83">
        <f t="shared" si="54"/>
        <v>-867954.20044300298</v>
      </c>
      <c r="BY112" s="78">
        <f t="shared" si="64"/>
        <v>2993948.1500472506</v>
      </c>
      <c r="BZ112" s="70" t="e">
        <f t="shared" si="49"/>
        <v>#REF!</v>
      </c>
      <c r="CA112" s="70" t="e">
        <f t="shared" si="50"/>
        <v>#REF!</v>
      </c>
      <c r="CB112" s="71" t="e">
        <f t="shared" si="51"/>
        <v>#REF!</v>
      </c>
      <c r="CC112" s="270" t="e">
        <f t="shared" si="52"/>
        <v>#REF!</v>
      </c>
      <c r="CD112" s="201"/>
      <c r="CE112" s="69" t="e">
        <f t="shared" si="67"/>
        <v>#REF!</v>
      </c>
      <c r="CF112" s="71" t="e">
        <f t="shared" si="68"/>
        <v>#REF!</v>
      </c>
    </row>
    <row r="113" spans="1:84" ht="15" customHeight="1">
      <c r="A113" s="35">
        <f t="shared" si="47"/>
        <v>51</v>
      </c>
      <c r="B113" s="87"/>
      <c r="C113" s="36">
        <v>44805</v>
      </c>
      <c r="D113" s="75">
        <v>0</v>
      </c>
      <c r="E113" s="110">
        <v>0</v>
      </c>
      <c r="F113" s="110">
        <v>0</v>
      </c>
      <c r="G113" s="110">
        <v>0</v>
      </c>
      <c r="H113" s="76">
        <v>0</v>
      </c>
      <c r="I113" s="76">
        <v>0</v>
      </c>
      <c r="J113" s="77">
        <v>0</v>
      </c>
      <c r="K113" s="69">
        <f>+'Fluxo Consolidado'!D108</f>
        <v>1268342.8638095239</v>
      </c>
      <c r="L113" s="78">
        <f>+'Fluxo Consolidado'!E108</f>
        <v>2011308.42</v>
      </c>
      <c r="M113" s="78">
        <f>+'Fluxo Consolidado'!F108</f>
        <v>0</v>
      </c>
      <c r="N113" s="70">
        <v>0</v>
      </c>
      <c r="O113" s="242">
        <f t="shared" si="37"/>
        <v>0.05</v>
      </c>
      <c r="P113" s="70">
        <f>+'Fluxo Consolidado'!H108</f>
        <v>-100565.421</v>
      </c>
      <c r="Q113" s="70">
        <f>+'Fluxo Consolidado'!I108</f>
        <v>103491.6825</v>
      </c>
      <c r="R113" s="79">
        <f>'Fluxo Consolidado'!J108</f>
        <v>567521.08648533002</v>
      </c>
      <c r="S113" s="79">
        <f>'Fluxo Consolidado'!K108</f>
        <v>32</v>
      </c>
      <c r="T113" s="79">
        <f t="shared" si="55"/>
        <v>0</v>
      </c>
      <c r="U113" s="79">
        <v>4</v>
      </c>
      <c r="V113" s="79">
        <f t="shared" si="53"/>
        <v>3850098.6317948541</v>
      </c>
      <c r="W113" s="79">
        <v>0</v>
      </c>
      <c r="X113" s="79">
        <v>0</v>
      </c>
      <c r="Y113" s="71">
        <v>0</v>
      </c>
      <c r="Z113" s="38">
        <f t="shared" si="36"/>
        <v>0</v>
      </c>
      <c r="AA113" s="80">
        <v>0</v>
      </c>
      <c r="AB113" s="81">
        <f>+'Fluxo Consolidado'!P108</f>
        <v>0</v>
      </c>
      <c r="AC113" s="208">
        <f>'Fluxo Consolidado'!Q108</f>
        <v>0</v>
      </c>
      <c r="AD113" s="81">
        <f>+'Fluxo Consolidado'!R108</f>
        <v>0</v>
      </c>
      <c r="AE113" s="81">
        <f>+'Fluxo Consolidado'!S108</f>
        <v>0</v>
      </c>
      <c r="AF113" s="208">
        <f>'Fluxo Consolidado'!T108</f>
        <v>0</v>
      </c>
      <c r="AG113" s="81">
        <f>+'Fluxo Consolidado'!U108</f>
        <v>0</v>
      </c>
      <c r="AH113" s="246">
        <f>+'Fluxo Consolidado'!V108</f>
        <v>0</v>
      </c>
      <c r="AI113" s="125" t="e">
        <f>+'Fluxo Consolidado'!#REF!</f>
        <v>#REF!</v>
      </c>
      <c r="AJ113" s="82">
        <f>+'Fluxo Consolidado'!X108</f>
        <v>0</v>
      </c>
      <c r="AK113" s="85">
        <v>0</v>
      </c>
      <c r="AL113" s="85">
        <f>+'Fluxo Consolidado'!Y108+'Fluxo Consolidado'!Z108+'Fluxo Consolidado'!AA108</f>
        <v>0</v>
      </c>
      <c r="AM113" s="85">
        <f>+'Fluxo Consolidado'!AB108+'Fluxo Consolidado'!AC108</f>
        <v>-71723.79638392858</v>
      </c>
      <c r="AN113" s="103">
        <f>+'Fluxo Consolidado'!AD108</f>
        <v>0</v>
      </c>
      <c r="AO113" s="85">
        <f>+'Fluxo Consolidado'!AF108+'Fluxo Consolidado'!AF108</f>
        <v>0</v>
      </c>
      <c r="AP113" s="83">
        <f>+'Fluxo Consolidado'!AG108</f>
        <v>0</v>
      </c>
      <c r="AQ113" s="119">
        <f>+'Fluxo Consolidado'!AH108</f>
        <v>-230974.38892190621</v>
      </c>
      <c r="AR113" s="85">
        <f>+'Fluxo Consolidado'!AI108</f>
        <v>-9209.81</v>
      </c>
      <c r="AS113" s="85">
        <f>+'Fluxo Consolidado'!AJ108</f>
        <v>-7969</v>
      </c>
      <c r="AT113" s="85">
        <v>0</v>
      </c>
      <c r="AU113" s="85">
        <f>+'Fluxo Consolidado'!AK108</f>
        <v>-16076.071367986075</v>
      </c>
      <c r="AV113" s="84">
        <f>+'Fluxo Consolidado'!AL108</f>
        <v>0</v>
      </c>
      <c r="AW113" s="82">
        <f t="shared" si="62"/>
        <v>-46194.877784381242</v>
      </c>
      <c r="AX113" s="82">
        <v>0</v>
      </c>
      <c r="AY113" s="82">
        <f>(-V112*$AY$1)+'Fluxo Consolidado'!AO108</f>
        <v>-153982.92594793747</v>
      </c>
      <c r="AZ113" s="84">
        <v>0</v>
      </c>
      <c r="BA113" s="122">
        <v>0</v>
      </c>
      <c r="BB113" s="81">
        <v>0</v>
      </c>
      <c r="BC113" s="81">
        <f>+'Fluxo Consolidado'!AP108</f>
        <v>0</v>
      </c>
      <c r="BD113" s="125">
        <f>+'Fluxo Consolidado'!AQ108</f>
        <v>0</v>
      </c>
      <c r="BE113" s="133"/>
      <c r="BF113" s="78">
        <f t="shared" si="65"/>
        <v>3850098.6317948541</v>
      </c>
      <c r="BG113" s="70" t="e">
        <f t="shared" si="66"/>
        <v>#REF!</v>
      </c>
      <c r="BH113" s="70" t="e">
        <f t="shared" si="43"/>
        <v>#REF!</v>
      </c>
      <c r="BI113" s="71" t="e">
        <f t="shared" si="42"/>
        <v>#REF!</v>
      </c>
      <c r="BJ113" s="201" t="e">
        <f t="shared" si="61"/>
        <v>#REF!</v>
      </c>
      <c r="BQ113" s="82">
        <v>0</v>
      </c>
      <c r="BR113" s="223">
        <v>-804671.81424853625</v>
      </c>
      <c r="BS113" s="223">
        <v>-41731.695824663897</v>
      </c>
      <c r="BT113" s="223">
        <v>0</v>
      </c>
      <c r="BU113" s="223">
        <v>-3826500.7219725959</v>
      </c>
      <c r="BV113" s="223">
        <v>3826002.8051539403</v>
      </c>
      <c r="BW113" s="223">
        <f t="shared" si="63"/>
        <v>-846403.5100732001</v>
      </c>
      <c r="BX113" s="83">
        <f t="shared" si="54"/>
        <v>-846403.5100732001</v>
      </c>
      <c r="BY113" s="78">
        <f t="shared" si="64"/>
        <v>3003197.2049029982</v>
      </c>
      <c r="BZ113" s="70" t="e">
        <f t="shared" si="49"/>
        <v>#REF!</v>
      </c>
      <c r="CA113" s="70" t="e">
        <f t="shared" si="50"/>
        <v>#REF!</v>
      </c>
      <c r="CB113" s="71" t="e">
        <f t="shared" si="51"/>
        <v>#REF!</v>
      </c>
      <c r="CC113" s="270" t="e">
        <f t="shared" si="52"/>
        <v>#REF!</v>
      </c>
      <c r="CD113" s="201"/>
      <c r="CE113" s="69" t="e">
        <f t="shared" si="67"/>
        <v>#REF!</v>
      </c>
      <c r="CF113" s="71" t="e">
        <f t="shared" si="68"/>
        <v>#REF!</v>
      </c>
    </row>
    <row r="114" spans="1:84" ht="15" customHeight="1">
      <c r="A114" s="35">
        <f t="shared" ref="A114:A177" si="69">A113+1</f>
        <v>52</v>
      </c>
      <c r="B114" s="87"/>
      <c r="C114" s="36">
        <v>44835</v>
      </c>
      <c r="D114" s="75">
        <v>0</v>
      </c>
      <c r="E114" s="110">
        <v>0</v>
      </c>
      <c r="F114" s="110">
        <v>0</v>
      </c>
      <c r="G114" s="110">
        <v>0</v>
      </c>
      <c r="H114" s="76">
        <v>0</v>
      </c>
      <c r="I114" s="76">
        <v>0</v>
      </c>
      <c r="J114" s="77">
        <v>0</v>
      </c>
      <c r="K114" s="69">
        <f>+'Fluxo Consolidado'!D109</f>
        <v>1268342.8638095239</v>
      </c>
      <c r="L114" s="78">
        <f>+'Fluxo Consolidado'!E109</f>
        <v>1960857.81</v>
      </c>
      <c r="M114" s="78">
        <f>+'Fluxo Consolidado'!F109</f>
        <v>0</v>
      </c>
      <c r="N114" s="70">
        <v>0</v>
      </c>
      <c r="O114" s="242">
        <f t="shared" si="37"/>
        <v>0.05</v>
      </c>
      <c r="P114" s="70">
        <f>+'Fluxo Consolidado'!H109</f>
        <v>-98042.890500000009</v>
      </c>
      <c r="Q114" s="70">
        <f>+'Fluxo Consolidado'!I109</f>
        <v>102744.701</v>
      </c>
      <c r="R114" s="79">
        <f>'Fluxo Consolidado'!J109</f>
        <v>577730.9137362754</v>
      </c>
      <c r="S114" s="79">
        <f>'Fluxo Consolidado'!K109</f>
        <v>33</v>
      </c>
      <c r="T114" s="79">
        <f t="shared" si="55"/>
        <v>0</v>
      </c>
      <c r="U114" s="79">
        <v>4</v>
      </c>
      <c r="V114" s="79">
        <f t="shared" si="53"/>
        <v>3811633.3980457992</v>
      </c>
      <c r="W114" s="79">
        <v>0</v>
      </c>
      <c r="X114" s="79">
        <v>0</v>
      </c>
      <c r="Y114" s="71">
        <v>0</v>
      </c>
      <c r="Z114" s="38">
        <f t="shared" ref="Z114:Z177" si="70">IFERROR(SUM(AA114:AH114)/SUM($AA$8:$AH$8),0)</f>
        <v>0</v>
      </c>
      <c r="AA114" s="80">
        <v>0</v>
      </c>
      <c r="AB114" s="81">
        <f>+'Fluxo Consolidado'!P109</f>
        <v>0</v>
      </c>
      <c r="AC114" s="208">
        <f>'Fluxo Consolidado'!Q109</f>
        <v>0</v>
      </c>
      <c r="AD114" s="81">
        <f>+'Fluxo Consolidado'!R109</f>
        <v>0</v>
      </c>
      <c r="AE114" s="81">
        <f>+'Fluxo Consolidado'!S109</f>
        <v>0</v>
      </c>
      <c r="AF114" s="208">
        <f>'Fluxo Consolidado'!T109</f>
        <v>0</v>
      </c>
      <c r="AG114" s="81">
        <f>+'Fluxo Consolidado'!U109</f>
        <v>0</v>
      </c>
      <c r="AH114" s="246">
        <f>+'Fluxo Consolidado'!V109</f>
        <v>0</v>
      </c>
      <c r="AI114" s="125" t="e">
        <f>+'Fluxo Consolidado'!#REF!</f>
        <v>#REF!</v>
      </c>
      <c r="AJ114" s="82">
        <f>+'Fluxo Consolidado'!X109</f>
        <v>0</v>
      </c>
      <c r="AK114" s="85">
        <v>0</v>
      </c>
      <c r="AL114" s="85">
        <f>+'Fluxo Consolidado'!Y109+'Fluxo Consolidado'!Z109+'Fluxo Consolidado'!AA109</f>
        <v>0</v>
      </c>
      <c r="AM114" s="85">
        <f>+'Fluxo Consolidado'!AB109+'Fluxo Consolidado'!AC109</f>
        <v>-70516.606383928578</v>
      </c>
      <c r="AN114" s="103">
        <f>+'Fluxo Consolidado'!AD109</f>
        <v>0</v>
      </c>
      <c r="AO114" s="85">
        <f>+'Fluxo Consolidado'!AF109+'Fluxo Consolidado'!AF109</f>
        <v>0</v>
      </c>
      <c r="AP114" s="83">
        <f>+'Fluxo Consolidado'!AG109</f>
        <v>0</v>
      </c>
      <c r="AQ114" s="119">
        <f>+'Fluxo Consolidado'!AH109</f>
        <v>-231005.91790769124</v>
      </c>
      <c r="AR114" s="85">
        <f>+'Fluxo Consolidado'!AI109</f>
        <v>-9209.81</v>
      </c>
      <c r="AS114" s="85">
        <f>+'Fluxo Consolidado'!AJ109</f>
        <v>-7969</v>
      </c>
      <c r="AT114" s="85">
        <v>0</v>
      </c>
      <c r="AU114" s="85">
        <f>+'Fluxo Consolidado'!AK109</f>
        <v>-15992.628507509064</v>
      </c>
      <c r="AV114" s="84">
        <f>+'Fluxo Consolidado'!AL109</f>
        <v>0</v>
      </c>
      <c r="AW114" s="82">
        <f t="shared" si="62"/>
        <v>-46201.183581538251</v>
      </c>
      <c r="AX114" s="82">
        <v>0</v>
      </c>
      <c r="AY114" s="82">
        <f>(-V113*$AY$1)+'Fluxo Consolidado'!AO109</f>
        <v>-154003.94527179416</v>
      </c>
      <c r="AZ114" s="84">
        <v>0</v>
      </c>
      <c r="BA114" s="122">
        <v>0</v>
      </c>
      <c r="BB114" s="81">
        <v>0</v>
      </c>
      <c r="BC114" s="81">
        <f>+'Fluxo Consolidado'!AP109</f>
        <v>0</v>
      </c>
      <c r="BD114" s="125">
        <f>+'Fluxo Consolidado'!AQ109</f>
        <v>0</v>
      </c>
      <c r="BE114" s="133"/>
      <c r="BF114" s="78">
        <f t="shared" si="65"/>
        <v>3811633.3980457992</v>
      </c>
      <c r="BG114" s="70" t="e">
        <f t="shared" si="66"/>
        <v>#REF!</v>
      </c>
      <c r="BH114" s="70" t="e">
        <f t="shared" si="43"/>
        <v>#REF!</v>
      </c>
      <c r="BI114" s="71" t="e">
        <f t="shared" si="42"/>
        <v>#REF!</v>
      </c>
      <c r="BJ114" s="201" t="e">
        <f t="shared" si="61"/>
        <v>#REF!</v>
      </c>
      <c r="BQ114" s="82">
        <v>0</v>
      </c>
      <c r="BR114" s="223">
        <v>-799572.20571730658</v>
      </c>
      <c r="BS114" s="223">
        <v>-40867.582279455091</v>
      </c>
      <c r="BT114" s="223">
        <v>0</v>
      </c>
      <c r="BU114" s="223">
        <v>-3788407.0548829809</v>
      </c>
      <c r="BV114" s="223">
        <v>3826500.7219725959</v>
      </c>
      <c r="BW114" s="223">
        <f t="shared" si="63"/>
        <v>-840439.78799676173</v>
      </c>
      <c r="BX114" s="83">
        <f t="shared" si="54"/>
        <v>-840439.78799676173</v>
      </c>
      <c r="BY114" s="78">
        <f t="shared" si="64"/>
        <v>3009287.2771386527</v>
      </c>
      <c r="BZ114" s="70" t="e">
        <f t="shared" si="49"/>
        <v>#REF!</v>
      </c>
      <c r="CA114" s="70" t="e">
        <f t="shared" si="50"/>
        <v>#REF!</v>
      </c>
      <c r="CB114" s="71" t="e">
        <f t="shared" si="51"/>
        <v>#REF!</v>
      </c>
      <c r="CC114" s="270" t="e">
        <f t="shared" si="52"/>
        <v>#REF!</v>
      </c>
      <c r="CD114" s="201"/>
      <c r="CE114" s="69" t="e">
        <f t="shared" si="67"/>
        <v>#REF!</v>
      </c>
      <c r="CF114" s="71" t="e">
        <f t="shared" si="68"/>
        <v>#REF!</v>
      </c>
    </row>
    <row r="115" spans="1:84" ht="15" customHeight="1">
      <c r="A115" s="35">
        <f t="shared" si="69"/>
        <v>53</v>
      </c>
      <c r="B115" s="87"/>
      <c r="C115" s="36">
        <v>44866</v>
      </c>
      <c r="D115" s="75">
        <v>0</v>
      </c>
      <c r="E115" s="110">
        <v>0</v>
      </c>
      <c r="F115" s="110">
        <v>0</v>
      </c>
      <c r="G115" s="110">
        <v>0</v>
      </c>
      <c r="H115" s="76">
        <v>0</v>
      </c>
      <c r="I115" s="76">
        <v>0</v>
      </c>
      <c r="J115" s="77">
        <v>0</v>
      </c>
      <c r="K115" s="69">
        <f>+'Fluxo Consolidado'!D110</f>
        <v>1268342.8638095239</v>
      </c>
      <c r="L115" s="78">
        <f>+'Fluxo Consolidado'!E110</f>
        <v>1932758.36</v>
      </c>
      <c r="M115" s="78">
        <f>+'Fluxo Consolidado'!F110</f>
        <v>0</v>
      </c>
      <c r="N115" s="70">
        <v>0</v>
      </c>
      <c r="O115" s="242">
        <f t="shared" ref="O115:O178" si="71">+O114</f>
        <v>0.05</v>
      </c>
      <c r="P115" s="70">
        <f>+'Fluxo Consolidado'!H110</f>
        <v>-96637.918000000005</v>
      </c>
      <c r="Q115" s="70">
        <f>+'Fluxo Consolidado'!I110</f>
        <v>101378.246</v>
      </c>
      <c r="R115" s="79">
        <f>'Fluxo Consolidado'!J110</f>
        <v>591572.71250022203</v>
      </c>
      <c r="S115" s="79">
        <f>'Fluxo Consolidado'!K110</f>
        <v>34</v>
      </c>
      <c r="T115" s="79">
        <f t="shared" si="55"/>
        <v>0</v>
      </c>
      <c r="U115" s="79">
        <v>5</v>
      </c>
      <c r="V115" s="79">
        <f t="shared" si="53"/>
        <v>3797414.2643097462</v>
      </c>
      <c r="W115" s="79">
        <v>0</v>
      </c>
      <c r="X115" s="79">
        <v>0</v>
      </c>
      <c r="Y115" s="71">
        <v>0</v>
      </c>
      <c r="Z115" s="38">
        <f t="shared" si="70"/>
        <v>0</v>
      </c>
      <c r="AA115" s="80">
        <v>0</v>
      </c>
      <c r="AB115" s="81">
        <f>+'Fluxo Consolidado'!P110</f>
        <v>0</v>
      </c>
      <c r="AC115" s="208">
        <f>'Fluxo Consolidado'!Q110</f>
        <v>0</v>
      </c>
      <c r="AD115" s="81">
        <f>+'Fluxo Consolidado'!R110</f>
        <v>0</v>
      </c>
      <c r="AE115" s="81">
        <f>+'Fluxo Consolidado'!S110</f>
        <v>0</v>
      </c>
      <c r="AF115" s="208">
        <f>'Fluxo Consolidado'!T110</f>
        <v>0</v>
      </c>
      <c r="AG115" s="81">
        <f>+'Fluxo Consolidado'!U110</f>
        <v>0</v>
      </c>
      <c r="AH115" s="246">
        <f>+'Fluxo Consolidado'!V110</f>
        <v>0</v>
      </c>
      <c r="AI115" s="125" t="e">
        <f>+'Fluxo Consolidado'!#REF!</f>
        <v>#REF!</v>
      </c>
      <c r="AJ115" s="82">
        <f>+'Fluxo Consolidado'!X110</f>
        <v>0</v>
      </c>
      <c r="AK115" s="85">
        <v>0</v>
      </c>
      <c r="AL115" s="85">
        <f>+'Fluxo Consolidado'!Y110+'Fluxo Consolidado'!Z110+'Fluxo Consolidado'!AA110</f>
        <v>0</v>
      </c>
      <c r="AM115" s="85">
        <f>+'Fluxo Consolidado'!AB110+'Fluxo Consolidado'!AC110</f>
        <v>-69915.086383928574</v>
      </c>
      <c r="AN115" s="103">
        <f>+'Fluxo Consolidado'!AD110</f>
        <v>0</v>
      </c>
      <c r="AO115" s="85">
        <f>+'Fluxo Consolidado'!AF110+'Fluxo Consolidado'!AF110</f>
        <v>0</v>
      </c>
      <c r="AP115" s="83">
        <f>+'Fluxo Consolidado'!AG110</f>
        <v>0</v>
      </c>
      <c r="AQ115" s="119">
        <f>+'Fluxo Consolidado'!AH110</f>
        <v>-228698.00388274796</v>
      </c>
      <c r="AR115" s="85">
        <f>+'Fluxo Consolidado'!AI110</f>
        <v>-9209.81</v>
      </c>
      <c r="AS115" s="85">
        <f>+'Fluxo Consolidado'!AJ110</f>
        <v>-7969</v>
      </c>
      <c r="AT115" s="85">
        <v>0</v>
      </c>
      <c r="AU115" s="85">
        <f>+'Fluxo Consolidado'!AK110</f>
        <v>-15722.566955909651</v>
      </c>
      <c r="AV115" s="84">
        <f>+'Fluxo Consolidado'!AL110</f>
        <v>0</v>
      </c>
      <c r="AW115" s="82">
        <f t="shared" si="62"/>
        <v>-45739.600776549589</v>
      </c>
      <c r="AX115" s="82">
        <v>0</v>
      </c>
      <c r="AY115" s="82">
        <f>(-V114*$AY$1)+'Fluxo Consolidado'!AO110</f>
        <v>-152465.33592183198</v>
      </c>
      <c r="AZ115" s="84">
        <v>0</v>
      </c>
      <c r="BA115" s="122">
        <v>0</v>
      </c>
      <c r="BB115" s="81">
        <v>0</v>
      </c>
      <c r="BC115" s="81">
        <f>+'Fluxo Consolidado'!AP110</f>
        <v>0</v>
      </c>
      <c r="BD115" s="125">
        <f>+'Fluxo Consolidado'!AQ110</f>
        <v>0</v>
      </c>
      <c r="BE115" s="133"/>
      <c r="BF115" s="78">
        <f t="shared" si="65"/>
        <v>3797414.2643097462</v>
      </c>
      <c r="BG115" s="70" t="e">
        <f t="shared" si="66"/>
        <v>#REF!</v>
      </c>
      <c r="BH115" s="70" t="e">
        <f t="shared" si="43"/>
        <v>#REF!</v>
      </c>
      <c r="BI115" s="71" t="e">
        <f t="shared" si="42"/>
        <v>#REF!</v>
      </c>
      <c r="BJ115" s="201" t="e">
        <f t="shared" si="61"/>
        <v>#REF!</v>
      </c>
      <c r="BQ115" s="82">
        <v>0</v>
      </c>
      <c r="BR115" s="223">
        <v>-794472.59718607692</v>
      </c>
      <c r="BS115" s="223">
        <v>-40027.969105349432</v>
      </c>
      <c r="BT115" s="223">
        <v>0</v>
      </c>
      <c r="BU115" s="223">
        <v>-3773844.014172812</v>
      </c>
      <c r="BV115" s="223">
        <v>3788407.0548829809</v>
      </c>
      <c r="BW115" s="223">
        <f t="shared" si="63"/>
        <v>-834500.56629142631</v>
      </c>
      <c r="BX115" s="83">
        <f t="shared" si="54"/>
        <v>-834500.56629142631</v>
      </c>
      <c r="BY115" s="78">
        <f t="shared" si="64"/>
        <v>2977476.7387284888</v>
      </c>
      <c r="BZ115" s="70" t="e">
        <f t="shared" si="49"/>
        <v>#REF!</v>
      </c>
      <c r="CA115" s="70" t="e">
        <f t="shared" si="50"/>
        <v>#REF!</v>
      </c>
      <c r="CB115" s="71" t="e">
        <f t="shared" si="51"/>
        <v>#REF!</v>
      </c>
      <c r="CC115" s="270" t="e">
        <f t="shared" si="52"/>
        <v>#REF!</v>
      </c>
      <c r="CD115" s="201"/>
      <c r="CE115" s="69" t="e">
        <f t="shared" si="67"/>
        <v>#REF!</v>
      </c>
      <c r="CF115" s="71" t="e">
        <f t="shared" si="68"/>
        <v>#REF!</v>
      </c>
    </row>
    <row r="116" spans="1:84" ht="15" customHeight="1">
      <c r="A116" s="35">
        <f t="shared" si="69"/>
        <v>54</v>
      </c>
      <c r="B116" s="87"/>
      <c r="C116" s="36">
        <v>44896</v>
      </c>
      <c r="D116" s="75">
        <v>0</v>
      </c>
      <c r="E116" s="110">
        <v>0</v>
      </c>
      <c r="F116" s="110">
        <v>0</v>
      </c>
      <c r="G116" s="110">
        <v>0</v>
      </c>
      <c r="H116" s="76">
        <v>0</v>
      </c>
      <c r="I116" s="76">
        <v>0</v>
      </c>
      <c r="J116" s="77">
        <v>0</v>
      </c>
      <c r="K116" s="69">
        <f>+'Fluxo Consolidado'!D111</f>
        <v>1268342.8638095239</v>
      </c>
      <c r="L116" s="78">
        <f>+'Fluxo Consolidado'!E111</f>
        <v>1896834.87</v>
      </c>
      <c r="M116" s="78">
        <f>+'Fluxo Consolidado'!F111</f>
        <v>0</v>
      </c>
      <c r="N116" s="70">
        <v>0</v>
      </c>
      <c r="O116" s="242">
        <f t="shared" si="71"/>
        <v>0.05</v>
      </c>
      <c r="P116" s="70">
        <f>+'Fluxo Consolidado'!H111</f>
        <v>-94841.743500000011</v>
      </c>
      <c r="Q116" s="70">
        <f>+'Fluxo Consolidado'!I111</f>
        <v>100565.421</v>
      </c>
      <c r="R116" s="79">
        <f>'Fluxo Consolidado'!J111</f>
        <v>603684.50664277701</v>
      </c>
      <c r="S116" s="79">
        <f>'Fluxo Consolidado'!K111</f>
        <v>35</v>
      </c>
      <c r="T116" s="79">
        <f t="shared" si="55"/>
        <v>0</v>
      </c>
      <c r="U116" s="79">
        <v>5</v>
      </c>
      <c r="V116" s="79">
        <f t="shared" si="53"/>
        <v>3774585.917952301</v>
      </c>
      <c r="W116" s="79">
        <v>0</v>
      </c>
      <c r="X116" s="79">
        <v>0</v>
      </c>
      <c r="Y116" s="71">
        <v>0</v>
      </c>
      <c r="Z116" s="38">
        <f t="shared" si="70"/>
        <v>0</v>
      </c>
      <c r="AA116" s="80">
        <v>0</v>
      </c>
      <c r="AB116" s="81">
        <f>+'Fluxo Consolidado'!P111</f>
        <v>0</v>
      </c>
      <c r="AC116" s="208">
        <f>'Fluxo Consolidado'!Q111</f>
        <v>0</v>
      </c>
      <c r="AD116" s="81">
        <f>+'Fluxo Consolidado'!R111</f>
        <v>0</v>
      </c>
      <c r="AE116" s="81">
        <f>+'Fluxo Consolidado'!S111</f>
        <v>0</v>
      </c>
      <c r="AF116" s="208">
        <f>'Fluxo Consolidado'!T111</f>
        <v>0</v>
      </c>
      <c r="AG116" s="81">
        <f>+'Fluxo Consolidado'!U111</f>
        <v>0</v>
      </c>
      <c r="AH116" s="246">
        <f>+'Fluxo Consolidado'!V111</f>
        <v>0</v>
      </c>
      <c r="AI116" s="125" t="e">
        <f>+'Fluxo Consolidado'!#REF!</f>
        <v>#REF!</v>
      </c>
      <c r="AJ116" s="82">
        <f>+'Fluxo Consolidado'!X111</f>
        <v>0</v>
      </c>
      <c r="AK116" s="85">
        <v>0</v>
      </c>
      <c r="AL116" s="85">
        <f>+'Fluxo Consolidado'!Y111+'Fluxo Consolidado'!Z111+'Fluxo Consolidado'!AA111</f>
        <v>0</v>
      </c>
      <c r="AM116" s="85">
        <f>+'Fluxo Consolidado'!AB111+'Fluxo Consolidado'!AC111</f>
        <v>-69122.206383928569</v>
      </c>
      <c r="AN116" s="103">
        <f>+'Fluxo Consolidado'!AD111</f>
        <v>0</v>
      </c>
      <c r="AO116" s="85">
        <f>+'Fluxo Consolidado'!AF111+'Fluxo Consolidado'!AF111</f>
        <v>0</v>
      </c>
      <c r="AP116" s="83">
        <f>+'Fluxo Consolidado'!AG111</f>
        <v>0</v>
      </c>
      <c r="AQ116" s="119">
        <f>+'Fluxo Consolidado'!AH111</f>
        <v>-227844.85585858478</v>
      </c>
      <c r="AR116" s="85">
        <f>+'Fluxo Consolidado'!AI111</f>
        <v>-9209.81</v>
      </c>
      <c r="AS116" s="85">
        <f>+'Fluxo Consolidado'!AJ111</f>
        <v>-7969</v>
      </c>
      <c r="AT116" s="85">
        <v>0</v>
      </c>
      <c r="AU116" s="85">
        <f>+'Fluxo Consolidado'!AK111</f>
        <v>-15573.441377653322</v>
      </c>
      <c r="AV116" s="84">
        <f>+'Fluxo Consolidado'!AL111</f>
        <v>0</v>
      </c>
      <c r="AW116" s="82">
        <f t="shared" si="62"/>
        <v>-45568.971171716956</v>
      </c>
      <c r="AX116" s="82">
        <v>0</v>
      </c>
      <c r="AY116" s="82">
        <f>(-V115*$AY$1)+'Fluxo Consolidado'!AO111</f>
        <v>-151896.57057238984</v>
      </c>
      <c r="AZ116" s="84">
        <v>0</v>
      </c>
      <c r="BA116" s="122">
        <v>0</v>
      </c>
      <c r="BB116" s="81">
        <v>0</v>
      </c>
      <c r="BC116" s="81">
        <f>+'Fluxo Consolidado'!AP111</f>
        <v>0</v>
      </c>
      <c r="BD116" s="125">
        <f>+'Fluxo Consolidado'!AQ111</f>
        <v>0</v>
      </c>
      <c r="BE116" s="133"/>
      <c r="BF116" s="78">
        <f t="shared" si="65"/>
        <v>3774585.917952301</v>
      </c>
      <c r="BG116" s="70" t="e">
        <f t="shared" si="66"/>
        <v>#REF!</v>
      </c>
      <c r="BH116" s="70" t="e">
        <f t="shared" si="43"/>
        <v>#REF!</v>
      </c>
      <c r="BI116" s="71" t="e">
        <f t="shared" si="42"/>
        <v>#REF!</v>
      </c>
      <c r="BJ116" s="201" t="e">
        <f t="shared" si="61"/>
        <v>#REF!</v>
      </c>
      <c r="BQ116" s="82">
        <v>0</v>
      </c>
      <c r="BR116" s="223">
        <v>-789372.98865484726</v>
      </c>
      <c r="BS116" s="223">
        <v>-39212.161638795442</v>
      </c>
      <c r="BT116" s="223">
        <v>0</v>
      </c>
      <c r="BU116" s="223">
        <v>-3749327.7685782998</v>
      </c>
      <c r="BV116" s="223">
        <v>3773844.014172812</v>
      </c>
      <c r="BW116" s="223">
        <f t="shared" si="63"/>
        <v>-828585.15029364266</v>
      </c>
      <c r="BX116" s="83">
        <f t="shared" si="54"/>
        <v>-828585.15029364266</v>
      </c>
      <c r="BY116" s="78">
        <f t="shared" si="64"/>
        <v>2970517.0132531705</v>
      </c>
      <c r="BZ116" s="70" t="e">
        <f t="shared" si="49"/>
        <v>#REF!</v>
      </c>
      <c r="CA116" s="70" t="e">
        <f t="shared" si="50"/>
        <v>#REF!</v>
      </c>
      <c r="CB116" s="71" t="e">
        <f t="shared" si="51"/>
        <v>#REF!</v>
      </c>
      <c r="CC116" s="270" t="e">
        <f t="shared" si="52"/>
        <v>#REF!</v>
      </c>
      <c r="CD116" s="201"/>
      <c r="CE116" s="69" t="e">
        <f t="shared" si="67"/>
        <v>#REF!</v>
      </c>
      <c r="CF116" s="71" t="e">
        <f t="shared" si="68"/>
        <v>#REF!</v>
      </c>
    </row>
    <row r="117" spans="1:84" ht="15" customHeight="1">
      <c r="A117" s="35">
        <f t="shared" si="69"/>
        <v>55</v>
      </c>
      <c r="B117" s="87"/>
      <c r="C117" s="36">
        <v>44927</v>
      </c>
      <c r="D117" s="75">
        <v>0</v>
      </c>
      <c r="E117" s="110">
        <v>0</v>
      </c>
      <c r="F117" s="110">
        <v>0</v>
      </c>
      <c r="G117" s="110">
        <v>0</v>
      </c>
      <c r="H117" s="76">
        <v>0</v>
      </c>
      <c r="I117" s="76">
        <v>0</v>
      </c>
      <c r="J117" s="77">
        <v>0</v>
      </c>
      <c r="K117" s="69">
        <f>+'Fluxo Consolidado'!D112</f>
        <v>1268342.8638095239</v>
      </c>
      <c r="L117" s="78">
        <f>+'Fluxo Consolidado'!E112</f>
        <v>1866989.28</v>
      </c>
      <c r="M117" s="78">
        <f>+'Fluxo Consolidado'!F112</f>
        <v>0</v>
      </c>
      <c r="N117" s="70">
        <v>0</v>
      </c>
      <c r="O117" s="242">
        <f t="shared" si="71"/>
        <v>0.05</v>
      </c>
      <c r="P117" s="70">
        <f>+'Fluxo Consolidado'!H112</f>
        <v>-93349.464000000007</v>
      </c>
      <c r="Q117" s="70">
        <f>+'Fluxo Consolidado'!I112</f>
        <v>98042.890500000009</v>
      </c>
      <c r="R117" s="79">
        <f>'Fluxo Consolidado'!J112</f>
        <v>616658.77154017286</v>
      </c>
      <c r="S117" s="79">
        <f>'Fluxo Consolidado'!K112</f>
        <v>36</v>
      </c>
      <c r="T117" s="79">
        <f t="shared" si="55"/>
        <v>0</v>
      </c>
      <c r="U117" s="79">
        <v>5</v>
      </c>
      <c r="V117" s="79">
        <f t="shared" si="53"/>
        <v>3756684.3418496968</v>
      </c>
      <c r="W117" s="79">
        <v>0</v>
      </c>
      <c r="X117" s="79">
        <v>0</v>
      </c>
      <c r="Y117" s="71">
        <v>0</v>
      </c>
      <c r="Z117" s="38">
        <f t="shared" si="70"/>
        <v>0</v>
      </c>
      <c r="AA117" s="80">
        <v>0</v>
      </c>
      <c r="AB117" s="81">
        <f>+'Fluxo Consolidado'!P112</f>
        <v>0</v>
      </c>
      <c r="AC117" s="208">
        <f>'Fluxo Consolidado'!Q112</f>
        <v>0</v>
      </c>
      <c r="AD117" s="81">
        <f>+'Fluxo Consolidado'!R112</f>
        <v>0</v>
      </c>
      <c r="AE117" s="81">
        <f>+'Fluxo Consolidado'!S112</f>
        <v>0</v>
      </c>
      <c r="AF117" s="208">
        <f>'Fluxo Consolidado'!T112</f>
        <v>0</v>
      </c>
      <c r="AG117" s="81">
        <f>+'Fluxo Consolidado'!U112</f>
        <v>0</v>
      </c>
      <c r="AH117" s="246">
        <f>+'Fluxo Consolidado'!V112</f>
        <v>0</v>
      </c>
      <c r="AI117" s="125" t="e">
        <f>+'Fluxo Consolidado'!#REF!</f>
        <v>#REF!</v>
      </c>
      <c r="AJ117" s="82">
        <f>+'Fluxo Consolidado'!X112</f>
        <v>0</v>
      </c>
      <c r="AK117" s="85">
        <v>0</v>
      </c>
      <c r="AL117" s="85">
        <f>+'Fluxo Consolidado'!Y112+'Fluxo Consolidado'!Z112+'Fluxo Consolidado'!AA112</f>
        <v>0</v>
      </c>
      <c r="AM117" s="85">
        <f>+'Fluxo Consolidado'!AB112+'Fluxo Consolidado'!AC112</f>
        <v>-68392.216383928579</v>
      </c>
      <c r="AN117" s="103">
        <f>+'Fluxo Consolidado'!AD112</f>
        <v>0</v>
      </c>
      <c r="AO117" s="85">
        <f>+'Fluxo Consolidado'!AF112+'Fluxo Consolidado'!AF112</f>
        <v>0</v>
      </c>
      <c r="AP117" s="83">
        <f>+'Fluxo Consolidado'!AG112</f>
        <v>0</v>
      </c>
      <c r="AQ117" s="119">
        <f>+'Fluxo Consolidado'!AH112</f>
        <v>-226475.15507713804</v>
      </c>
      <c r="AR117" s="85">
        <f>+'Fluxo Consolidado'!AI112</f>
        <v>-9209.81</v>
      </c>
      <c r="AS117" s="85">
        <f>+'Fluxo Consolidado'!AJ112</f>
        <v>-7969</v>
      </c>
      <c r="AT117" s="85">
        <v>0</v>
      </c>
      <c r="AU117" s="85">
        <f>+'Fluxo Consolidado'!AK112</f>
        <v>-15382.073917473608</v>
      </c>
      <c r="AV117" s="84">
        <f>+'Fluxo Consolidado'!AL112</f>
        <v>0</v>
      </c>
      <c r="AW117" s="82">
        <f t="shared" si="62"/>
        <v>-45295.031015427616</v>
      </c>
      <c r="AX117" s="82">
        <v>0</v>
      </c>
      <c r="AY117" s="82">
        <f>(-V116*$AY$1)+'Fluxo Consolidado'!AO112</f>
        <v>-150983.43671809204</v>
      </c>
      <c r="AZ117" s="84">
        <v>0</v>
      </c>
      <c r="BA117" s="122">
        <v>0</v>
      </c>
      <c r="BB117" s="81">
        <v>0</v>
      </c>
      <c r="BC117" s="81">
        <f>+'Fluxo Consolidado'!AP112</f>
        <v>0</v>
      </c>
      <c r="BD117" s="125">
        <f>+'Fluxo Consolidado'!AQ112</f>
        <v>0</v>
      </c>
      <c r="BE117" s="133"/>
      <c r="BF117" s="78">
        <f t="shared" si="65"/>
        <v>3756684.3418496968</v>
      </c>
      <c r="BG117" s="70" t="e">
        <f t="shared" si="66"/>
        <v>#REF!</v>
      </c>
      <c r="BH117" s="70" t="e">
        <f t="shared" si="43"/>
        <v>#REF!</v>
      </c>
      <c r="BI117" s="71" t="e">
        <f t="shared" si="42"/>
        <v>#REF!</v>
      </c>
      <c r="BJ117" s="201" t="e">
        <f t="shared" si="61"/>
        <v>#REF!</v>
      </c>
      <c r="BQ117" s="82">
        <v>0</v>
      </c>
      <c r="BR117" s="223">
        <v>-784273.38012361759</v>
      </c>
      <c r="BS117" s="223">
        <v>-38419.484912165768</v>
      </c>
      <c r="BT117" s="223">
        <v>0</v>
      </c>
      <c r="BU117" s="223">
        <v>-3729689.0746286949</v>
      </c>
      <c r="BV117" s="223">
        <v>3749327.7685782998</v>
      </c>
      <c r="BW117" s="223">
        <f t="shared" si="63"/>
        <v>-822692.86503578338</v>
      </c>
      <c r="BX117" s="83">
        <f t="shared" si="54"/>
        <v>-822692.86503578338</v>
      </c>
      <c r="BY117" s="78">
        <f t="shared" si="64"/>
        <v>2953630.1707635182</v>
      </c>
      <c r="BZ117" s="70" t="e">
        <f t="shared" si="49"/>
        <v>#REF!</v>
      </c>
      <c r="CA117" s="70" t="e">
        <f t="shared" si="50"/>
        <v>#REF!</v>
      </c>
      <c r="CB117" s="71" t="e">
        <f t="shared" si="51"/>
        <v>#REF!</v>
      </c>
      <c r="CC117" s="270" t="e">
        <f t="shared" si="52"/>
        <v>#REF!</v>
      </c>
      <c r="CD117" s="201"/>
      <c r="CE117" s="69" t="e">
        <f t="shared" si="67"/>
        <v>#REF!</v>
      </c>
      <c r="CF117" s="71" t="e">
        <f t="shared" si="68"/>
        <v>#REF!</v>
      </c>
    </row>
    <row r="118" spans="1:84" ht="15" customHeight="1">
      <c r="A118" s="35">
        <f t="shared" si="69"/>
        <v>56</v>
      </c>
      <c r="B118" s="87"/>
      <c r="C118" s="36">
        <v>44958</v>
      </c>
      <c r="D118" s="75">
        <v>0</v>
      </c>
      <c r="E118" s="110">
        <v>0</v>
      </c>
      <c r="F118" s="110">
        <v>0</v>
      </c>
      <c r="G118" s="110">
        <v>0</v>
      </c>
      <c r="H118" s="76">
        <v>0</v>
      </c>
      <c r="I118" s="76">
        <v>0</v>
      </c>
      <c r="J118" s="77">
        <v>0</v>
      </c>
      <c r="K118" s="69">
        <f>+'Fluxo Consolidado'!D113</f>
        <v>1268342.8638095239</v>
      </c>
      <c r="L118" s="78">
        <f>+'Fluxo Consolidado'!E113</f>
        <v>1834331.08</v>
      </c>
      <c r="M118" s="78">
        <f>+'Fluxo Consolidado'!F113</f>
        <v>0</v>
      </c>
      <c r="N118" s="70">
        <v>0</v>
      </c>
      <c r="O118" s="242">
        <f t="shared" si="71"/>
        <v>0.05</v>
      </c>
      <c r="P118" s="70">
        <f>+'Fluxo Consolidado'!H113</f>
        <v>-91716.554000000004</v>
      </c>
      <c r="Q118" s="70">
        <f>+'Fluxo Consolidado'!I113</f>
        <v>96637.918000000005</v>
      </c>
      <c r="R118" s="79">
        <f>'Fluxo Consolidado'!J113</f>
        <v>628800.08704155358</v>
      </c>
      <c r="S118" s="79">
        <f>'Fluxo Consolidado'!K113</f>
        <v>37</v>
      </c>
      <c r="T118" s="79">
        <f t="shared" si="55"/>
        <v>0</v>
      </c>
      <c r="U118" s="79">
        <v>5</v>
      </c>
      <c r="V118" s="79">
        <f t="shared" si="53"/>
        <v>3736395.3948510773</v>
      </c>
      <c r="W118" s="79">
        <v>0</v>
      </c>
      <c r="X118" s="79">
        <v>0</v>
      </c>
      <c r="Y118" s="71">
        <v>0</v>
      </c>
      <c r="Z118" s="38">
        <f t="shared" si="70"/>
        <v>0</v>
      </c>
      <c r="AA118" s="80">
        <v>0</v>
      </c>
      <c r="AB118" s="81">
        <f>+'Fluxo Consolidado'!P113</f>
        <v>0</v>
      </c>
      <c r="AC118" s="208">
        <f>'Fluxo Consolidado'!Q113</f>
        <v>0</v>
      </c>
      <c r="AD118" s="81">
        <f>+'Fluxo Consolidado'!R113</f>
        <v>0</v>
      </c>
      <c r="AE118" s="81">
        <f>+'Fluxo Consolidado'!S113</f>
        <v>0</v>
      </c>
      <c r="AF118" s="208">
        <f>'Fluxo Consolidado'!T113</f>
        <v>0</v>
      </c>
      <c r="AG118" s="81">
        <f>+'Fluxo Consolidado'!U113</f>
        <v>0</v>
      </c>
      <c r="AH118" s="246">
        <f>+'Fluxo Consolidado'!V113</f>
        <v>0</v>
      </c>
      <c r="AI118" s="125" t="e">
        <f>+'Fluxo Consolidado'!#REF!</f>
        <v>#REF!</v>
      </c>
      <c r="AJ118" s="82">
        <f>+'Fluxo Consolidado'!X113</f>
        <v>0</v>
      </c>
      <c r="AK118" s="85">
        <v>0</v>
      </c>
      <c r="AL118" s="85">
        <f>+'Fluxo Consolidado'!Y113+'Fluxo Consolidado'!Z113+'Fluxo Consolidado'!AA113</f>
        <v>0</v>
      </c>
      <c r="AM118" s="85">
        <f>+'Fluxo Consolidado'!AB113+'Fluxo Consolidado'!AC113</f>
        <v>-67701.456383928569</v>
      </c>
      <c r="AN118" s="103">
        <f>+'Fluxo Consolidado'!AD113</f>
        <v>0</v>
      </c>
      <c r="AO118" s="85">
        <f>+'Fluxo Consolidado'!AF113+'Fluxo Consolidado'!AF113</f>
        <v>0</v>
      </c>
      <c r="AP118" s="83">
        <f>+'Fluxo Consolidado'!AG113</f>
        <v>0</v>
      </c>
      <c r="AQ118" s="119">
        <f>+'Fluxo Consolidado'!AH113</f>
        <v>-225401.0605109818</v>
      </c>
      <c r="AR118" s="85">
        <f>+'Fluxo Consolidado'!AI113</f>
        <v>-9209.81</v>
      </c>
      <c r="AS118" s="85">
        <f>+'Fluxo Consolidado'!AJ113</f>
        <v>-7969</v>
      </c>
      <c r="AT118" s="85">
        <v>0</v>
      </c>
      <c r="AU118" s="85">
        <f>+'Fluxo Consolidado'!AK113</f>
        <v>-15197.482584215521</v>
      </c>
      <c r="AV118" s="84">
        <f>+'Fluxo Consolidado'!AL113</f>
        <v>0</v>
      </c>
      <c r="AW118" s="82">
        <f t="shared" si="62"/>
        <v>-45080.212102196361</v>
      </c>
      <c r="AX118" s="82">
        <v>0</v>
      </c>
      <c r="AY118" s="82">
        <f>(-V117*$AY$1)+'Fluxo Consolidado'!AO113</f>
        <v>-150267.37367398787</v>
      </c>
      <c r="AZ118" s="84">
        <v>0</v>
      </c>
      <c r="BA118" s="122">
        <v>0</v>
      </c>
      <c r="BB118" s="81">
        <v>0</v>
      </c>
      <c r="BC118" s="81">
        <f>+'Fluxo Consolidado'!AP113</f>
        <v>0</v>
      </c>
      <c r="BD118" s="125">
        <f>+'Fluxo Consolidado'!AQ113</f>
        <v>0</v>
      </c>
      <c r="BE118" s="133"/>
      <c r="BF118" s="78">
        <f t="shared" si="65"/>
        <v>3736395.3948510773</v>
      </c>
      <c r="BG118" s="70" t="e">
        <f t="shared" si="66"/>
        <v>#REF!</v>
      </c>
      <c r="BH118" s="70" t="e">
        <f t="shared" si="43"/>
        <v>#REF!</v>
      </c>
      <c r="BI118" s="71" t="e">
        <f t="shared" si="42"/>
        <v>#REF!</v>
      </c>
      <c r="BJ118" s="201" t="e">
        <f t="shared" si="61"/>
        <v>#REF!</v>
      </c>
      <c r="BQ118" s="82">
        <v>0</v>
      </c>
      <c r="BR118" s="223">
        <v>-779173.77159238793</v>
      </c>
      <c r="BS118" s="223">
        <v>-37649.283095314946</v>
      </c>
      <c r="BT118" s="223">
        <v>0</v>
      </c>
      <c r="BU118" s="223">
        <v>-3709444.8196370932</v>
      </c>
      <c r="BV118" s="223">
        <v>3729689.0746286949</v>
      </c>
      <c r="BW118" s="223">
        <f t="shared" si="63"/>
        <v>-816823.05468770291</v>
      </c>
      <c r="BX118" s="83">
        <f t="shared" si="54"/>
        <v>-816823.05468770291</v>
      </c>
      <c r="BY118" s="78">
        <f t="shared" si="64"/>
        <v>2939816.595154976</v>
      </c>
      <c r="BZ118" s="70" t="e">
        <f t="shared" si="49"/>
        <v>#REF!</v>
      </c>
      <c r="CA118" s="70" t="e">
        <f t="shared" si="50"/>
        <v>#REF!</v>
      </c>
      <c r="CB118" s="71" t="e">
        <f t="shared" si="51"/>
        <v>#REF!</v>
      </c>
      <c r="CC118" s="270" t="e">
        <f t="shared" si="52"/>
        <v>#REF!</v>
      </c>
      <c r="CD118" s="201"/>
      <c r="CE118" s="69" t="e">
        <f t="shared" si="67"/>
        <v>#REF!</v>
      </c>
      <c r="CF118" s="71" t="e">
        <f t="shared" si="68"/>
        <v>#REF!</v>
      </c>
    </row>
    <row r="119" spans="1:84" ht="15" customHeight="1">
      <c r="A119" s="35">
        <f t="shared" si="69"/>
        <v>57</v>
      </c>
      <c r="B119" s="87"/>
      <c r="C119" s="36">
        <v>44986</v>
      </c>
      <c r="D119" s="75">
        <v>0</v>
      </c>
      <c r="E119" s="110">
        <v>0</v>
      </c>
      <c r="F119" s="110">
        <v>0</v>
      </c>
      <c r="G119" s="110">
        <v>0</v>
      </c>
      <c r="H119" s="76">
        <v>0</v>
      </c>
      <c r="I119" s="76">
        <v>0</v>
      </c>
      <c r="J119" s="77">
        <v>0</v>
      </c>
      <c r="K119" s="69">
        <f>+'Fluxo Consolidado'!D114</f>
        <v>1268342.8638095239</v>
      </c>
      <c r="L119" s="78">
        <f>+'Fluxo Consolidado'!E114</f>
        <v>1795762.68</v>
      </c>
      <c r="M119" s="78">
        <f>+'Fluxo Consolidado'!F114</f>
        <v>0</v>
      </c>
      <c r="N119" s="70">
        <v>0</v>
      </c>
      <c r="O119" s="242">
        <f t="shared" si="71"/>
        <v>0.05</v>
      </c>
      <c r="P119" s="70">
        <f>+'Fluxo Consolidado'!H114</f>
        <v>-89788.134000000005</v>
      </c>
      <c r="Q119" s="70">
        <f>+'Fluxo Consolidado'!I114</f>
        <v>94841.743500000011</v>
      </c>
      <c r="R119" s="79">
        <f>'Fluxo Consolidado'!J114</f>
        <v>639409.10965934442</v>
      </c>
      <c r="S119" s="79">
        <f>'Fluxo Consolidado'!K114</f>
        <v>38</v>
      </c>
      <c r="T119" s="79">
        <f t="shared" si="55"/>
        <v>0</v>
      </c>
      <c r="U119" s="79">
        <v>5</v>
      </c>
      <c r="V119" s="79">
        <f t="shared" si="53"/>
        <v>3708568.262968868</v>
      </c>
      <c r="W119" s="79">
        <v>0</v>
      </c>
      <c r="X119" s="79">
        <v>0</v>
      </c>
      <c r="Y119" s="71">
        <v>0</v>
      </c>
      <c r="Z119" s="38">
        <f t="shared" si="70"/>
        <v>0</v>
      </c>
      <c r="AA119" s="80">
        <v>0</v>
      </c>
      <c r="AB119" s="81">
        <f>+'Fluxo Consolidado'!P114</f>
        <v>0</v>
      </c>
      <c r="AC119" s="208">
        <f>'Fluxo Consolidado'!Q114</f>
        <v>0</v>
      </c>
      <c r="AD119" s="81">
        <f>+'Fluxo Consolidado'!R114</f>
        <v>0</v>
      </c>
      <c r="AE119" s="81">
        <f>+'Fluxo Consolidado'!S114</f>
        <v>0</v>
      </c>
      <c r="AF119" s="208">
        <f>'Fluxo Consolidado'!T114</f>
        <v>0</v>
      </c>
      <c r="AG119" s="81">
        <f>+'Fluxo Consolidado'!U114</f>
        <v>0</v>
      </c>
      <c r="AH119" s="246">
        <f>+'Fluxo Consolidado'!V114</f>
        <v>0</v>
      </c>
      <c r="AI119" s="125" t="e">
        <f>+'Fluxo Consolidado'!#REF!</f>
        <v>#REF!</v>
      </c>
      <c r="AJ119" s="82">
        <f>+'Fluxo Consolidado'!X114</f>
        <v>0</v>
      </c>
      <c r="AK119" s="85">
        <v>0</v>
      </c>
      <c r="AL119" s="85">
        <f>+'Fluxo Consolidado'!Y114+'Fluxo Consolidado'!Z114+'Fluxo Consolidado'!AA114</f>
        <v>0</v>
      </c>
      <c r="AM119" s="85">
        <f>+'Fluxo Consolidado'!AB114+'Fluxo Consolidado'!AC114</f>
        <v>-66867.67638392857</v>
      </c>
      <c r="AN119" s="103">
        <f>+'Fluxo Consolidado'!AD114</f>
        <v>0</v>
      </c>
      <c r="AO119" s="85">
        <f>+'Fluxo Consolidado'!AF114+'Fluxo Consolidado'!AF114</f>
        <v>0</v>
      </c>
      <c r="AP119" s="83">
        <f>+'Fluxo Consolidado'!AG114</f>
        <v>0</v>
      </c>
      <c r="AQ119" s="119">
        <f>+'Fluxo Consolidado'!AH114</f>
        <v>-224183.72369106463</v>
      </c>
      <c r="AR119" s="85">
        <f>+'Fluxo Consolidado'!AI114</f>
        <v>-9209.81</v>
      </c>
      <c r="AS119" s="85">
        <f>+'Fluxo Consolidado'!AJ114</f>
        <v>-7969</v>
      </c>
      <c r="AT119" s="85">
        <v>0</v>
      </c>
      <c r="AU119" s="85">
        <f>+'Fluxo Consolidado'!AK114</f>
        <v>-15017.796339751856</v>
      </c>
      <c r="AV119" s="84">
        <f>+'Fluxo Consolidado'!AL114</f>
        <v>0</v>
      </c>
      <c r="AW119" s="82">
        <f t="shared" si="62"/>
        <v>-44836.744738212932</v>
      </c>
      <c r="AX119" s="82">
        <v>0</v>
      </c>
      <c r="AY119" s="82">
        <f>(-V118*$AY$1)+'Fluxo Consolidado'!AO114</f>
        <v>-149455.8157940431</v>
      </c>
      <c r="AZ119" s="84">
        <v>0</v>
      </c>
      <c r="BA119" s="122">
        <v>0</v>
      </c>
      <c r="BB119" s="81">
        <v>0</v>
      </c>
      <c r="BC119" s="81">
        <f>+'Fluxo Consolidado'!AP114</f>
        <v>0</v>
      </c>
      <c r="BD119" s="125">
        <f>+'Fluxo Consolidado'!AQ114</f>
        <v>0</v>
      </c>
      <c r="BE119" s="133"/>
      <c r="BF119" s="78">
        <f t="shared" si="65"/>
        <v>3708568.262968868</v>
      </c>
      <c r="BG119" s="70" t="e">
        <f t="shared" si="66"/>
        <v>#REF!</v>
      </c>
      <c r="BH119" s="70" t="e">
        <f t="shared" si="43"/>
        <v>#REF!</v>
      </c>
      <c r="BI119" s="71" t="e">
        <f t="shared" si="42"/>
        <v>#REF!</v>
      </c>
      <c r="BJ119" s="201" t="e">
        <f t="shared" si="61"/>
        <v>#REF!</v>
      </c>
      <c r="BQ119" s="82">
        <v>0</v>
      </c>
      <c r="BR119" s="223">
        <v>-774074.16306115815</v>
      </c>
      <c r="BS119" s="223">
        <v>-36900.918952970896</v>
      </c>
      <c r="BT119" s="223">
        <v>0</v>
      </c>
      <c r="BU119" s="223">
        <v>-3682245.777860831</v>
      </c>
      <c r="BV119" s="223">
        <v>3709444.8196370932</v>
      </c>
      <c r="BW119" s="223">
        <f t="shared" si="63"/>
        <v>-810975.08201412903</v>
      </c>
      <c r="BX119" s="83">
        <f t="shared" si="54"/>
        <v>-810975.08201412903</v>
      </c>
      <c r="BY119" s="78">
        <f t="shared" si="64"/>
        <v>2924792.2227310012</v>
      </c>
      <c r="BZ119" s="70" t="e">
        <f t="shared" si="49"/>
        <v>#REF!</v>
      </c>
      <c r="CA119" s="70" t="e">
        <f t="shared" si="50"/>
        <v>#REF!</v>
      </c>
      <c r="CB119" s="71" t="e">
        <f t="shared" si="51"/>
        <v>#REF!</v>
      </c>
      <c r="CC119" s="270" t="e">
        <f t="shared" si="52"/>
        <v>#REF!</v>
      </c>
      <c r="CD119" s="201"/>
      <c r="CE119" s="69" t="e">
        <f t="shared" si="67"/>
        <v>#REF!</v>
      </c>
      <c r="CF119" s="71" t="e">
        <f t="shared" si="68"/>
        <v>#REF!</v>
      </c>
    </row>
    <row r="120" spans="1:84" ht="15" customHeight="1">
      <c r="A120" s="35">
        <f t="shared" si="69"/>
        <v>58</v>
      </c>
      <c r="B120" s="87"/>
      <c r="C120" s="36">
        <v>45017</v>
      </c>
      <c r="D120" s="75">
        <v>0</v>
      </c>
      <c r="E120" s="110">
        <v>0</v>
      </c>
      <c r="F120" s="110">
        <v>0</v>
      </c>
      <c r="G120" s="110">
        <v>0</v>
      </c>
      <c r="H120" s="76">
        <v>0</v>
      </c>
      <c r="I120" s="76">
        <v>0</v>
      </c>
      <c r="J120" s="77">
        <v>0</v>
      </c>
      <c r="K120" s="69">
        <f>+'Fluxo Consolidado'!D115</f>
        <v>1268342.8638095239</v>
      </c>
      <c r="L120" s="78">
        <f>+'Fluxo Consolidado'!E115</f>
        <v>1765367.16</v>
      </c>
      <c r="M120" s="78">
        <f>+'Fluxo Consolidado'!F115</f>
        <v>0</v>
      </c>
      <c r="N120" s="70">
        <v>0</v>
      </c>
      <c r="O120" s="242">
        <f t="shared" si="71"/>
        <v>0.05</v>
      </c>
      <c r="P120" s="70">
        <f>+'Fluxo Consolidado'!H115</f>
        <v>-88268.358000000007</v>
      </c>
      <c r="Q120" s="70">
        <f>+'Fluxo Consolidado'!I115</f>
        <v>93349.464000000007</v>
      </c>
      <c r="R120" s="79">
        <f>'Fluxo Consolidado'!J115</f>
        <v>651400.13762219204</v>
      </c>
      <c r="S120" s="79">
        <f>'Fluxo Consolidado'!K115</f>
        <v>39</v>
      </c>
      <c r="T120" s="79">
        <f t="shared" si="55"/>
        <v>0</v>
      </c>
      <c r="U120" s="79">
        <v>5</v>
      </c>
      <c r="V120" s="79">
        <f t="shared" si="53"/>
        <v>3690191.2674317155</v>
      </c>
      <c r="W120" s="79">
        <v>0</v>
      </c>
      <c r="X120" s="79">
        <v>0</v>
      </c>
      <c r="Y120" s="71">
        <v>0</v>
      </c>
      <c r="Z120" s="38">
        <f t="shared" si="70"/>
        <v>0</v>
      </c>
      <c r="AA120" s="80">
        <v>0</v>
      </c>
      <c r="AB120" s="81">
        <f>+'Fluxo Consolidado'!P115</f>
        <v>0</v>
      </c>
      <c r="AC120" s="208">
        <f>'Fluxo Consolidado'!Q115</f>
        <v>0</v>
      </c>
      <c r="AD120" s="81">
        <f>+'Fluxo Consolidado'!R115</f>
        <v>0</v>
      </c>
      <c r="AE120" s="81">
        <f>+'Fluxo Consolidado'!S115</f>
        <v>0</v>
      </c>
      <c r="AF120" s="208">
        <f>'Fluxo Consolidado'!T115</f>
        <v>0</v>
      </c>
      <c r="AG120" s="81">
        <f>+'Fluxo Consolidado'!U115</f>
        <v>0</v>
      </c>
      <c r="AH120" s="246">
        <f>+'Fluxo Consolidado'!V115</f>
        <v>0</v>
      </c>
      <c r="AI120" s="125" t="e">
        <f>+'Fluxo Consolidado'!#REF!</f>
        <v>#REF!</v>
      </c>
      <c r="AJ120" s="82">
        <f>+'Fluxo Consolidado'!X115</f>
        <v>0</v>
      </c>
      <c r="AK120" s="85">
        <v>0</v>
      </c>
      <c r="AL120" s="85">
        <f>+'Fluxo Consolidado'!Y115+'Fluxo Consolidado'!Z115+'Fluxo Consolidado'!AA115</f>
        <v>0</v>
      </c>
      <c r="AM120" s="85">
        <f>+'Fluxo Consolidado'!AB115+'Fluxo Consolidado'!AC115</f>
        <v>-66315.596383928569</v>
      </c>
      <c r="AN120" s="103">
        <f>+'Fluxo Consolidado'!AD115</f>
        <v>0</v>
      </c>
      <c r="AO120" s="85">
        <f>+'Fluxo Consolidado'!AF115+'Fluxo Consolidado'!AF115</f>
        <v>0</v>
      </c>
      <c r="AP120" s="83">
        <f>+'Fluxo Consolidado'!AG115</f>
        <v>0</v>
      </c>
      <c r="AQ120" s="119">
        <f>+'Fluxo Consolidado'!AH115</f>
        <v>-222514.09577813206</v>
      </c>
      <c r="AR120" s="85">
        <f>+'Fluxo Consolidado'!AI115</f>
        <v>-9209.81</v>
      </c>
      <c r="AS120" s="85">
        <f>+'Fluxo Consolidado'!AJ115</f>
        <v>-23969</v>
      </c>
      <c r="AT120" s="85">
        <v>0</v>
      </c>
      <c r="AU120" s="85">
        <f>+'Fluxo Consolidado'!AK115</f>
        <v>-14812.577257454705</v>
      </c>
      <c r="AV120" s="84">
        <f>+'Fluxo Consolidado'!AL115</f>
        <v>0</v>
      </c>
      <c r="AW120" s="82">
        <f t="shared" si="62"/>
        <v>-44502.819155626414</v>
      </c>
      <c r="AX120" s="82">
        <v>0</v>
      </c>
      <c r="AY120" s="82">
        <f>(-V119*$AY$1)+'Fluxo Consolidado'!AO115</f>
        <v>-148342.73051875472</v>
      </c>
      <c r="AZ120" s="84">
        <v>0</v>
      </c>
      <c r="BA120" s="122">
        <v>0</v>
      </c>
      <c r="BB120" s="81">
        <v>0</v>
      </c>
      <c r="BC120" s="81">
        <f>+'Fluxo Consolidado'!AP115</f>
        <v>0</v>
      </c>
      <c r="BD120" s="125">
        <f>+'Fluxo Consolidado'!AQ115</f>
        <v>0</v>
      </c>
      <c r="BE120" s="133"/>
      <c r="BF120" s="78">
        <f t="shared" si="65"/>
        <v>3690191.2674317155</v>
      </c>
      <c r="BG120" s="70" t="e">
        <f t="shared" si="66"/>
        <v>#REF!</v>
      </c>
      <c r="BH120" s="70" t="e">
        <f t="shared" si="43"/>
        <v>#REF!</v>
      </c>
      <c r="BI120" s="71" t="e">
        <f t="shared" si="42"/>
        <v>#REF!</v>
      </c>
      <c r="BJ120" s="201" t="e">
        <f t="shared" si="61"/>
        <v>#REF!</v>
      </c>
      <c r="BQ120" s="82">
        <v>0</v>
      </c>
      <c r="BR120" s="223">
        <v>-768974.5545299286</v>
      </c>
      <c r="BS120" s="223">
        <v>-36173.773317511019</v>
      </c>
      <c r="BT120" s="223">
        <v>0</v>
      </c>
      <c r="BU120" s="223">
        <v>-3663027.78809423</v>
      </c>
      <c r="BV120" s="223">
        <v>3682245.777860831</v>
      </c>
      <c r="BW120" s="223">
        <f t="shared" si="63"/>
        <v>-805148.32784743956</v>
      </c>
      <c r="BX120" s="83">
        <f t="shared" si="54"/>
        <v>-805148.32784743956</v>
      </c>
      <c r="BY120" s="78">
        <f t="shared" si="64"/>
        <v>2904260.9293508767</v>
      </c>
      <c r="BZ120" s="70" t="e">
        <f t="shared" si="49"/>
        <v>#REF!</v>
      </c>
      <c r="CA120" s="70" t="e">
        <f t="shared" si="50"/>
        <v>#REF!</v>
      </c>
      <c r="CB120" s="71" t="e">
        <f t="shared" si="51"/>
        <v>#REF!</v>
      </c>
      <c r="CC120" s="270" t="e">
        <f t="shared" si="52"/>
        <v>#REF!</v>
      </c>
      <c r="CD120" s="201"/>
      <c r="CE120" s="69" t="e">
        <f t="shared" si="67"/>
        <v>#REF!</v>
      </c>
      <c r="CF120" s="71" t="e">
        <f t="shared" si="68"/>
        <v>#REF!</v>
      </c>
    </row>
    <row r="121" spans="1:84" ht="15" customHeight="1">
      <c r="A121" s="35">
        <f t="shared" si="69"/>
        <v>59</v>
      </c>
      <c r="B121" s="87"/>
      <c r="C121" s="36">
        <v>45047</v>
      </c>
      <c r="D121" s="75">
        <v>0</v>
      </c>
      <c r="E121" s="110">
        <v>0</v>
      </c>
      <c r="F121" s="110">
        <v>0</v>
      </c>
      <c r="G121" s="110">
        <v>0</v>
      </c>
      <c r="H121" s="76">
        <v>0</v>
      </c>
      <c r="I121" s="76">
        <v>0</v>
      </c>
      <c r="J121" s="77">
        <v>0</v>
      </c>
      <c r="K121" s="69">
        <f>+'Fluxo Consolidado'!D116</f>
        <v>1268342.8638095239</v>
      </c>
      <c r="L121" s="78">
        <f>+'Fluxo Consolidado'!E116</f>
        <v>1752148.13</v>
      </c>
      <c r="M121" s="78">
        <f>+'Fluxo Consolidado'!F116</f>
        <v>0</v>
      </c>
      <c r="N121" s="70">
        <v>0</v>
      </c>
      <c r="O121" s="242">
        <f t="shared" si="71"/>
        <v>0.05</v>
      </c>
      <c r="P121" s="70">
        <f>+'Fluxo Consolidado'!H116</f>
        <v>-87607.406499999997</v>
      </c>
      <c r="Q121" s="70">
        <f>+'Fluxo Consolidado'!I116</f>
        <v>91716.554000000004</v>
      </c>
      <c r="R121" s="79">
        <f>'Fluxo Consolidado'!J116</f>
        <v>666907.00279340427</v>
      </c>
      <c r="S121" s="79">
        <f>'Fluxo Consolidado'!K116</f>
        <v>40</v>
      </c>
      <c r="T121" s="79">
        <f t="shared" si="55"/>
        <v>0</v>
      </c>
      <c r="U121" s="79">
        <v>5</v>
      </c>
      <c r="V121" s="79">
        <f t="shared" si="53"/>
        <v>3691507.1441029282</v>
      </c>
      <c r="W121" s="79">
        <v>0</v>
      </c>
      <c r="X121" s="79">
        <v>0</v>
      </c>
      <c r="Y121" s="71">
        <v>0</v>
      </c>
      <c r="Z121" s="38">
        <f t="shared" si="70"/>
        <v>0</v>
      </c>
      <c r="AA121" s="80">
        <v>0</v>
      </c>
      <c r="AB121" s="81">
        <f>+'Fluxo Consolidado'!P116</f>
        <v>0</v>
      </c>
      <c r="AC121" s="208">
        <f>'Fluxo Consolidado'!Q116</f>
        <v>0</v>
      </c>
      <c r="AD121" s="81">
        <f>+'Fluxo Consolidado'!R116</f>
        <v>0</v>
      </c>
      <c r="AE121" s="81">
        <f>+'Fluxo Consolidado'!S116</f>
        <v>0</v>
      </c>
      <c r="AF121" s="208">
        <f>'Fluxo Consolidado'!T116</f>
        <v>0</v>
      </c>
      <c r="AG121" s="81">
        <f>+'Fluxo Consolidado'!U116</f>
        <v>0</v>
      </c>
      <c r="AH121" s="246">
        <f>+'Fluxo Consolidado'!V116</f>
        <v>0</v>
      </c>
      <c r="AI121" s="125" t="e">
        <f>+'Fluxo Consolidado'!#REF!</f>
        <v>#REF!</v>
      </c>
      <c r="AJ121" s="82">
        <f>+'Fluxo Consolidado'!X116</f>
        <v>0</v>
      </c>
      <c r="AK121" s="85">
        <v>0</v>
      </c>
      <c r="AL121" s="85">
        <f>+'Fluxo Consolidado'!Y116+'Fluxo Consolidado'!Z116+'Fluxo Consolidado'!AA116</f>
        <v>0</v>
      </c>
      <c r="AM121" s="85">
        <f>+'Fluxo Consolidado'!AB116+'Fluxo Consolidado'!AC116</f>
        <v>-66041.506383928572</v>
      </c>
      <c r="AN121" s="103">
        <f>+'Fluxo Consolidado'!AD116</f>
        <v>0</v>
      </c>
      <c r="AO121" s="85">
        <f>+'Fluxo Consolidado'!AF116+'Fluxo Consolidado'!AF116</f>
        <v>0</v>
      </c>
      <c r="AP121" s="83">
        <f>+'Fluxo Consolidado'!AG116</f>
        <v>0</v>
      </c>
      <c r="AQ121" s="119">
        <f>+'Fluxo Consolidado'!AH116</f>
        <v>-221411.47604590293</v>
      </c>
      <c r="AR121" s="85">
        <f>+'Fluxo Consolidado'!AI116</f>
        <v>-9209.81</v>
      </c>
      <c r="AS121" s="85">
        <f>+'Fluxo Consolidado'!AJ116</f>
        <v>-23969</v>
      </c>
      <c r="AT121" s="85">
        <v>0</v>
      </c>
      <c r="AU121" s="85">
        <f>+'Fluxo Consolidado'!AK116</f>
        <v>-14649.083132426706</v>
      </c>
      <c r="AV121" s="84">
        <f>+'Fluxo Consolidado'!AL116</f>
        <v>0</v>
      </c>
      <c r="AW121" s="82">
        <f t="shared" si="62"/>
        <v>-44282.295209180586</v>
      </c>
      <c r="AX121" s="82">
        <v>0</v>
      </c>
      <c r="AY121" s="82">
        <f>(-V120*$AY$1)+'Fluxo Consolidado'!AO116</f>
        <v>-147607.65069726863</v>
      </c>
      <c r="AZ121" s="84">
        <v>0</v>
      </c>
      <c r="BA121" s="122">
        <v>0</v>
      </c>
      <c r="BB121" s="81">
        <v>0</v>
      </c>
      <c r="BC121" s="81">
        <f>+'Fluxo Consolidado'!AP116</f>
        <v>0</v>
      </c>
      <c r="BD121" s="125">
        <f>+'Fluxo Consolidado'!AQ116</f>
        <v>0</v>
      </c>
      <c r="BE121" s="133"/>
      <c r="BF121" s="78">
        <f t="shared" si="65"/>
        <v>3691507.1441029282</v>
      </c>
      <c r="BG121" s="70" t="e">
        <f t="shared" si="66"/>
        <v>#REF!</v>
      </c>
      <c r="BH121" s="70" t="e">
        <f t="shared" si="43"/>
        <v>#REF!</v>
      </c>
      <c r="BI121" s="71" t="e">
        <f t="shared" si="42"/>
        <v>#REF!</v>
      </c>
      <c r="BJ121" s="201" t="e">
        <f t="shared" si="61"/>
        <v>#REF!</v>
      </c>
      <c r="BQ121" s="82">
        <v>0</v>
      </c>
      <c r="BR121" s="223">
        <v>-763874.94599869894</v>
      </c>
      <c r="BS121" s="223">
        <v>-35467.24457668679</v>
      </c>
      <c r="BT121" s="223">
        <v>0</v>
      </c>
      <c r="BU121" s="223">
        <v>-3664017.3809020533</v>
      </c>
      <c r="BV121" s="223">
        <v>3663027.78809423</v>
      </c>
      <c r="BW121" s="223">
        <f t="shared" si="63"/>
        <v>-799342.1905753857</v>
      </c>
      <c r="BX121" s="83">
        <f t="shared" si="54"/>
        <v>-799342.1905753857</v>
      </c>
      <c r="BY121" s="78">
        <f t="shared" si="64"/>
        <v>2891175.360719719</v>
      </c>
      <c r="BZ121" s="70" t="e">
        <f t="shared" si="49"/>
        <v>#REF!</v>
      </c>
      <c r="CA121" s="70" t="e">
        <f t="shared" si="50"/>
        <v>#REF!</v>
      </c>
      <c r="CB121" s="71" t="e">
        <f t="shared" si="51"/>
        <v>#REF!</v>
      </c>
      <c r="CC121" s="270" t="e">
        <f t="shared" si="52"/>
        <v>#REF!</v>
      </c>
      <c r="CD121" s="201"/>
      <c r="CE121" s="69" t="e">
        <f t="shared" si="67"/>
        <v>#REF!</v>
      </c>
      <c r="CF121" s="71" t="e">
        <f t="shared" si="68"/>
        <v>#REF!</v>
      </c>
    </row>
    <row r="122" spans="1:84" ht="15" customHeight="1">
      <c r="A122" s="35">
        <f t="shared" si="69"/>
        <v>60</v>
      </c>
      <c r="B122" s="87"/>
      <c r="C122" s="36">
        <v>45078</v>
      </c>
      <c r="D122" s="75">
        <v>0</v>
      </c>
      <c r="E122" s="110">
        <v>0</v>
      </c>
      <c r="F122" s="110">
        <v>0</v>
      </c>
      <c r="G122" s="110">
        <v>0</v>
      </c>
      <c r="H122" s="76">
        <v>0</v>
      </c>
      <c r="I122" s="76">
        <v>0</v>
      </c>
      <c r="J122" s="77">
        <v>0</v>
      </c>
      <c r="K122" s="69">
        <f>+'Fluxo Consolidado'!D117</f>
        <v>1268342.8638095239</v>
      </c>
      <c r="L122" s="78">
        <f>+'Fluxo Consolidado'!E117</f>
        <v>1741125.84</v>
      </c>
      <c r="M122" s="78">
        <f>+'Fluxo Consolidado'!F117</f>
        <v>0</v>
      </c>
      <c r="N122" s="70">
        <v>0</v>
      </c>
      <c r="O122" s="242">
        <f t="shared" si="71"/>
        <v>0.05</v>
      </c>
      <c r="P122" s="70">
        <f>+'Fluxo Consolidado'!H117</f>
        <v>-87056.292000000016</v>
      </c>
      <c r="Q122" s="70">
        <f>+'Fluxo Consolidado'!I117</f>
        <v>89788.134000000005</v>
      </c>
      <c r="R122" s="79">
        <f>'Fluxo Consolidado'!J117</f>
        <v>682843.05493100779</v>
      </c>
      <c r="S122" s="79">
        <f>'Fluxo Consolidado'!K117</f>
        <v>41</v>
      </c>
      <c r="T122" s="79">
        <f t="shared" si="55"/>
        <v>0</v>
      </c>
      <c r="U122" s="79">
        <v>5</v>
      </c>
      <c r="V122" s="79">
        <f t="shared" si="53"/>
        <v>3695043.6007405315</v>
      </c>
      <c r="W122" s="79">
        <v>0</v>
      </c>
      <c r="X122" s="79">
        <v>0</v>
      </c>
      <c r="Y122" s="71">
        <v>0</v>
      </c>
      <c r="Z122" s="38">
        <f t="shared" si="70"/>
        <v>0</v>
      </c>
      <c r="AA122" s="80">
        <v>0</v>
      </c>
      <c r="AB122" s="81">
        <f>+'Fluxo Consolidado'!P117</f>
        <v>0</v>
      </c>
      <c r="AC122" s="208">
        <f>'Fluxo Consolidado'!Q117</f>
        <v>0</v>
      </c>
      <c r="AD122" s="81">
        <f>+'Fluxo Consolidado'!R117</f>
        <v>0</v>
      </c>
      <c r="AE122" s="81">
        <f>+'Fluxo Consolidado'!S117</f>
        <v>0</v>
      </c>
      <c r="AF122" s="208">
        <f>'Fluxo Consolidado'!T117</f>
        <v>0</v>
      </c>
      <c r="AG122" s="81">
        <f>+'Fluxo Consolidado'!U117</f>
        <v>0</v>
      </c>
      <c r="AH122" s="246">
        <f>+'Fluxo Consolidado'!V117</f>
        <v>0</v>
      </c>
      <c r="AI122" s="125" t="e">
        <f>+'Fluxo Consolidado'!#REF!</f>
        <v>#REF!</v>
      </c>
      <c r="AJ122" s="82">
        <f>+'Fluxo Consolidado'!X117</f>
        <v>0</v>
      </c>
      <c r="AK122" s="85">
        <v>0</v>
      </c>
      <c r="AL122" s="85">
        <f>+'Fluxo Consolidado'!Y117+'Fluxo Consolidado'!Z117+'Fluxo Consolidado'!AA117</f>
        <v>0</v>
      </c>
      <c r="AM122" s="85">
        <f>+'Fluxo Consolidado'!AB117+'Fluxo Consolidado'!AC117</f>
        <v>-65777.446383928575</v>
      </c>
      <c r="AN122" s="103">
        <f>+'Fluxo Consolidado'!AD117</f>
        <v>0</v>
      </c>
      <c r="AO122" s="85">
        <f>+'Fluxo Consolidado'!AF117+'Fluxo Consolidado'!AF117</f>
        <v>0</v>
      </c>
      <c r="AP122" s="83">
        <f>+'Fluxo Consolidado'!AG117</f>
        <v>0</v>
      </c>
      <c r="AQ122" s="119">
        <f>+'Fluxo Consolidado'!AH117</f>
        <v>-221490.42864617569</v>
      </c>
      <c r="AR122" s="85">
        <f>+'Fluxo Consolidado'!AI117</f>
        <v>-9209.81</v>
      </c>
      <c r="AS122" s="85">
        <f>+'Fluxo Consolidado'!AJ117</f>
        <v>-7969</v>
      </c>
      <c r="AT122" s="85">
        <v>0</v>
      </c>
      <c r="AU122" s="85">
        <f>+'Fluxo Consolidado'!AK117</f>
        <v>-14570.323179551922</v>
      </c>
      <c r="AV122" s="84">
        <f>+'Fluxo Consolidado'!AL117</f>
        <v>0</v>
      </c>
      <c r="AW122" s="82">
        <f t="shared" si="62"/>
        <v>-44298.085729235143</v>
      </c>
      <c r="AX122" s="82">
        <v>0</v>
      </c>
      <c r="AY122" s="82">
        <f>(-V121*$AY$1)+'Fluxo Consolidado'!AO117</f>
        <v>-147660.28576411714</v>
      </c>
      <c r="AZ122" s="84">
        <v>0</v>
      </c>
      <c r="BA122" s="122">
        <v>0</v>
      </c>
      <c r="BB122" s="81">
        <v>0</v>
      </c>
      <c r="BC122" s="81">
        <f>+'Fluxo Consolidado'!AP117</f>
        <v>0</v>
      </c>
      <c r="BD122" s="125">
        <f>+'Fluxo Consolidado'!AQ117</f>
        <v>0</v>
      </c>
      <c r="BE122" s="133"/>
      <c r="BF122" s="78">
        <f t="shared" si="65"/>
        <v>3695043.6007405315</v>
      </c>
      <c r="BG122" s="70" t="e">
        <f t="shared" si="66"/>
        <v>#REF!</v>
      </c>
      <c r="BH122" s="70" t="e">
        <f t="shared" ref="BH122:BH185" si="72">SUM(BF122:BG122)</f>
        <v>#REF!</v>
      </c>
      <c r="BI122" s="71" t="e">
        <f t="shared" ref="BI122:BI185" si="73">BH122+BI121</f>
        <v>#REF!</v>
      </c>
      <c r="BJ122" s="201" t="e">
        <f t="shared" si="61"/>
        <v>#REF!</v>
      </c>
      <c r="BQ122" s="82">
        <v>0</v>
      </c>
      <c r="BR122" s="223">
        <v>-758775.33746746916</v>
      </c>
      <c r="BS122" s="223">
        <v>-34780.748175872985</v>
      </c>
      <c r="BT122" s="223">
        <v>0</v>
      </c>
      <c r="BU122" s="223">
        <v>-3667540.7368819872</v>
      </c>
      <c r="BV122" s="223">
        <v>3664017.3809020533</v>
      </c>
      <c r="BW122" s="223">
        <f t="shared" si="63"/>
        <v>-793556.08564334211</v>
      </c>
      <c r="BX122" s="83">
        <f t="shared" si="54"/>
        <v>-793556.08564334211</v>
      </c>
      <c r="BY122" s="78">
        <f t="shared" si="64"/>
        <v>2897964.1591172554</v>
      </c>
      <c r="BZ122" s="70" t="e">
        <f t="shared" si="49"/>
        <v>#REF!</v>
      </c>
      <c r="CA122" s="70" t="e">
        <f t="shared" si="50"/>
        <v>#REF!</v>
      </c>
      <c r="CB122" s="71" t="e">
        <f t="shared" si="51"/>
        <v>#REF!</v>
      </c>
      <c r="CC122" s="270" t="e">
        <f t="shared" si="52"/>
        <v>#REF!</v>
      </c>
      <c r="CD122" s="201"/>
      <c r="CE122" s="69" t="e">
        <f t="shared" si="67"/>
        <v>#REF!</v>
      </c>
      <c r="CF122" s="71" t="e">
        <f t="shared" si="68"/>
        <v>#REF!</v>
      </c>
    </row>
    <row r="123" spans="1:84" ht="15" customHeight="1">
      <c r="A123" s="35">
        <f t="shared" si="69"/>
        <v>61</v>
      </c>
      <c r="B123" s="87"/>
      <c r="C123" s="36">
        <v>45108</v>
      </c>
      <c r="D123" s="75">
        <v>0</v>
      </c>
      <c r="E123" s="110">
        <v>0</v>
      </c>
      <c r="F123" s="110">
        <v>0</v>
      </c>
      <c r="G123" s="110">
        <v>0</v>
      </c>
      <c r="H123" s="76">
        <v>0</v>
      </c>
      <c r="I123" s="76">
        <v>0</v>
      </c>
      <c r="J123" s="77">
        <v>0</v>
      </c>
      <c r="K123" s="69">
        <f>+'Fluxo Consolidado'!D118</f>
        <v>1268342.8638095239</v>
      </c>
      <c r="L123" s="78">
        <f>+'Fluxo Consolidado'!E118</f>
        <v>1733098.04</v>
      </c>
      <c r="M123" s="78">
        <f>+'Fluxo Consolidado'!F118</f>
        <v>0</v>
      </c>
      <c r="N123" s="70">
        <v>0</v>
      </c>
      <c r="O123" s="242">
        <f t="shared" si="71"/>
        <v>0.05</v>
      </c>
      <c r="P123" s="70">
        <f>+'Fluxo Consolidado'!H118</f>
        <v>-86654.902000000002</v>
      </c>
      <c r="Q123" s="70">
        <f>+'Fluxo Consolidado'!I118</f>
        <v>88268.358000000007</v>
      </c>
      <c r="R123" s="79">
        <f>'Fluxo Consolidado'!J118</f>
        <v>699433.87382602505</v>
      </c>
      <c r="S123" s="79">
        <f>'Fluxo Consolidado'!K118</f>
        <v>42</v>
      </c>
      <c r="T123" s="79">
        <f t="shared" si="55"/>
        <v>0</v>
      </c>
      <c r="U123" s="79">
        <v>5</v>
      </c>
      <c r="V123" s="79">
        <f t="shared" si="53"/>
        <v>3702488.233635549</v>
      </c>
      <c r="W123" s="79">
        <v>0</v>
      </c>
      <c r="X123" s="79">
        <v>0</v>
      </c>
      <c r="Y123" s="71">
        <v>0</v>
      </c>
      <c r="Z123" s="38">
        <f t="shared" si="70"/>
        <v>0</v>
      </c>
      <c r="AA123" s="80">
        <v>0</v>
      </c>
      <c r="AB123" s="81">
        <f>+'Fluxo Consolidado'!P118</f>
        <v>0</v>
      </c>
      <c r="AC123" s="208">
        <f>'Fluxo Consolidado'!Q118</f>
        <v>0</v>
      </c>
      <c r="AD123" s="81">
        <f>+'Fluxo Consolidado'!R118</f>
        <v>0</v>
      </c>
      <c r="AE123" s="81">
        <f>+'Fluxo Consolidado'!S118</f>
        <v>0</v>
      </c>
      <c r="AF123" s="208">
        <f>'Fluxo Consolidado'!T118</f>
        <v>0</v>
      </c>
      <c r="AG123" s="81">
        <f>+'Fluxo Consolidado'!U118</f>
        <v>0</v>
      </c>
      <c r="AH123" s="246">
        <f>+'Fluxo Consolidado'!V118</f>
        <v>0</v>
      </c>
      <c r="AI123" s="125" t="e">
        <f>+'Fluxo Consolidado'!#REF!</f>
        <v>#REF!</v>
      </c>
      <c r="AJ123" s="82">
        <f>+'Fluxo Consolidado'!X118</f>
        <v>0</v>
      </c>
      <c r="AK123" s="85">
        <v>0</v>
      </c>
      <c r="AL123" s="85">
        <f>+'Fluxo Consolidado'!Y118+'Fluxo Consolidado'!Z118+'Fluxo Consolidado'!AA118</f>
        <v>0</v>
      </c>
      <c r="AM123" s="85">
        <f>+'Fluxo Consolidado'!AB118+'Fluxo Consolidado'!AC118</f>
        <v>-65588.106383928578</v>
      </c>
      <c r="AN123" s="103">
        <f>+'Fluxo Consolidado'!AD118</f>
        <v>0</v>
      </c>
      <c r="AO123" s="85">
        <f>+'Fluxo Consolidado'!AF118+'Fluxo Consolidado'!AF118</f>
        <v>0</v>
      </c>
      <c r="AP123" s="83">
        <f>+'Fluxo Consolidado'!AG118</f>
        <v>0</v>
      </c>
      <c r="AQ123" s="119">
        <f>+'Fluxo Consolidado'!AH118</f>
        <v>-221702.61604443187</v>
      </c>
      <c r="AR123" s="85">
        <f>+'Fluxo Consolidado'!AI118</f>
        <v>-9209.81</v>
      </c>
      <c r="AS123" s="85">
        <f>+'Fluxo Consolidado'!AJ118</f>
        <v>-7969</v>
      </c>
      <c r="AT123" s="85">
        <v>0</v>
      </c>
      <c r="AU123" s="85">
        <f>+'Fluxo Consolidado'!AK118</f>
        <v>-14493.09687090089</v>
      </c>
      <c r="AV123" s="84">
        <f>+'Fluxo Consolidado'!AL118</f>
        <v>0</v>
      </c>
      <c r="AW123" s="82">
        <f t="shared" si="62"/>
        <v>-44340.523208886378</v>
      </c>
      <c r="AX123" s="82">
        <v>0</v>
      </c>
      <c r="AY123" s="82">
        <f>(-V122*$AY$1)+'Fluxo Consolidado'!AO118</f>
        <v>-147801.74402962127</v>
      </c>
      <c r="AZ123" s="84">
        <v>0</v>
      </c>
      <c r="BA123" s="122">
        <v>0</v>
      </c>
      <c r="BB123" s="81">
        <v>0</v>
      </c>
      <c r="BC123" s="81">
        <f>+'Fluxo Consolidado'!AP118</f>
        <v>0</v>
      </c>
      <c r="BD123" s="125">
        <f>+'Fluxo Consolidado'!AQ118</f>
        <v>0</v>
      </c>
      <c r="BE123" s="133"/>
      <c r="BF123" s="78">
        <f t="shared" si="65"/>
        <v>3702488.233635549</v>
      </c>
      <c r="BG123" s="70" t="e">
        <f t="shared" si="66"/>
        <v>#REF!</v>
      </c>
      <c r="BH123" s="70" t="e">
        <f t="shared" si="72"/>
        <v>#REF!</v>
      </c>
      <c r="BI123" s="71" t="e">
        <f t="shared" si="73"/>
        <v>#REF!</v>
      </c>
      <c r="BJ123" s="201" t="e">
        <f t="shared" si="61"/>
        <v>#REF!</v>
      </c>
      <c r="BQ123" s="82">
        <v>0</v>
      </c>
      <c r="BR123" s="223">
        <v>-753675.72893623961</v>
      </c>
      <c r="BS123" s="223">
        <v>-34113.716134429742</v>
      </c>
      <c r="BT123" s="223">
        <v>0</v>
      </c>
      <c r="BU123" s="223">
        <v>-3674224.9359714929</v>
      </c>
      <c r="BV123" s="223">
        <v>3667540.7368819872</v>
      </c>
      <c r="BW123" s="223">
        <f t="shared" si="63"/>
        <v>-787789.4450706694</v>
      </c>
      <c r="BX123" s="83">
        <f t="shared" si="54"/>
        <v>-787789.4450706694</v>
      </c>
      <c r="BY123" s="78">
        <f t="shared" si="64"/>
        <v>2908014.5894753737</v>
      </c>
      <c r="BZ123" s="70" t="e">
        <f t="shared" si="49"/>
        <v>#REF!</v>
      </c>
      <c r="CA123" s="70" t="e">
        <f t="shared" si="50"/>
        <v>#REF!</v>
      </c>
      <c r="CB123" s="71" t="e">
        <f t="shared" si="51"/>
        <v>#REF!</v>
      </c>
      <c r="CC123" s="270" t="e">
        <f t="shared" si="52"/>
        <v>#REF!</v>
      </c>
      <c r="CD123" s="201"/>
      <c r="CE123" s="69" t="e">
        <f t="shared" si="67"/>
        <v>#REF!</v>
      </c>
      <c r="CF123" s="71" t="e">
        <f t="shared" si="68"/>
        <v>#REF!</v>
      </c>
    </row>
    <row r="124" spans="1:84" ht="15" customHeight="1">
      <c r="A124" s="35">
        <f t="shared" si="69"/>
        <v>62</v>
      </c>
      <c r="B124" s="87"/>
      <c r="C124" s="36">
        <v>45139</v>
      </c>
      <c r="D124" s="75">
        <v>0</v>
      </c>
      <c r="E124" s="110">
        <v>0</v>
      </c>
      <c r="F124" s="110">
        <v>0</v>
      </c>
      <c r="G124" s="110">
        <v>0</v>
      </c>
      <c r="H124" s="76">
        <v>0</v>
      </c>
      <c r="I124" s="76">
        <v>0</v>
      </c>
      <c r="J124" s="77">
        <v>0</v>
      </c>
      <c r="K124" s="69">
        <f>+'Fluxo Consolidado'!D119</f>
        <v>1268342.8638095239</v>
      </c>
      <c r="L124" s="78">
        <f>+'Fluxo Consolidado'!E119</f>
        <v>1716612.49</v>
      </c>
      <c r="M124" s="78">
        <f>+'Fluxo Consolidado'!F119</f>
        <v>0</v>
      </c>
      <c r="N124" s="70">
        <v>0</v>
      </c>
      <c r="O124" s="242">
        <f t="shared" si="71"/>
        <v>0.05</v>
      </c>
      <c r="P124" s="70">
        <f>+'Fluxo Consolidado'!H119</f>
        <v>-85830.624500000005</v>
      </c>
      <c r="Q124" s="70">
        <f>+'Fluxo Consolidado'!I119</f>
        <v>87607.406499999997</v>
      </c>
      <c r="R124" s="79">
        <f>'Fluxo Consolidado'!J119</f>
        <v>713994.93939699326</v>
      </c>
      <c r="S124" s="79">
        <f>'Fluxo Consolidado'!K119</f>
        <v>43</v>
      </c>
      <c r="T124" s="79">
        <f t="shared" si="55"/>
        <v>0</v>
      </c>
      <c r="U124" s="79">
        <v>5</v>
      </c>
      <c r="V124" s="79">
        <f t="shared" si="53"/>
        <v>3700727.0752065172</v>
      </c>
      <c r="W124" s="79">
        <v>0</v>
      </c>
      <c r="X124" s="79">
        <v>0</v>
      </c>
      <c r="Y124" s="71">
        <v>0</v>
      </c>
      <c r="Z124" s="38">
        <f t="shared" si="70"/>
        <v>0</v>
      </c>
      <c r="AA124" s="80">
        <v>0</v>
      </c>
      <c r="AB124" s="81">
        <f>+'Fluxo Consolidado'!P119</f>
        <v>0</v>
      </c>
      <c r="AC124" s="208">
        <f>'Fluxo Consolidado'!Q119</f>
        <v>0</v>
      </c>
      <c r="AD124" s="81">
        <f>+'Fluxo Consolidado'!R119</f>
        <v>0</v>
      </c>
      <c r="AE124" s="81">
        <f>+'Fluxo Consolidado'!S119</f>
        <v>0</v>
      </c>
      <c r="AF124" s="208">
        <f>'Fluxo Consolidado'!T119</f>
        <v>0</v>
      </c>
      <c r="AG124" s="81">
        <f>+'Fluxo Consolidado'!U119</f>
        <v>0</v>
      </c>
      <c r="AH124" s="246">
        <f>+'Fluxo Consolidado'!V119</f>
        <v>0</v>
      </c>
      <c r="AI124" s="125" t="e">
        <f>+'Fluxo Consolidado'!#REF!</f>
        <v>#REF!</v>
      </c>
      <c r="AJ124" s="82">
        <f>+'Fluxo Consolidado'!X119</f>
        <v>0</v>
      </c>
      <c r="AK124" s="85">
        <v>0</v>
      </c>
      <c r="AL124" s="85">
        <f>+'Fluxo Consolidado'!Y119+'Fluxo Consolidado'!Z119+'Fluxo Consolidado'!AA119</f>
        <v>0</v>
      </c>
      <c r="AM124" s="85">
        <f>+'Fluxo Consolidado'!AB119+'Fluxo Consolidado'!AC119</f>
        <v>-65264.506383928572</v>
      </c>
      <c r="AN124" s="103">
        <f>+'Fluxo Consolidado'!AD119</f>
        <v>0</v>
      </c>
      <c r="AO124" s="85">
        <f>+'Fluxo Consolidado'!AF119+'Fluxo Consolidado'!AF119</f>
        <v>0</v>
      </c>
      <c r="AP124" s="83">
        <f>+'Fluxo Consolidado'!AG119</f>
        <v>0</v>
      </c>
      <c r="AQ124" s="119">
        <f>+'Fluxo Consolidado'!AH119</f>
        <v>-222149.29401813293</v>
      </c>
      <c r="AR124" s="85">
        <f>+'Fluxo Consolidado'!AI119</f>
        <v>-9209.81</v>
      </c>
      <c r="AS124" s="85">
        <f>+'Fluxo Consolidado'!AJ119</f>
        <v>-7969</v>
      </c>
      <c r="AT124" s="85">
        <v>0</v>
      </c>
      <c r="AU124" s="85">
        <f>+'Fluxo Consolidado'!AK119</f>
        <v>-14430.710823555723</v>
      </c>
      <c r="AV124" s="84">
        <f>+'Fluxo Consolidado'!AL119</f>
        <v>0</v>
      </c>
      <c r="AW124" s="82">
        <f t="shared" si="62"/>
        <v>-44429.858803626586</v>
      </c>
      <c r="AX124" s="82">
        <v>0</v>
      </c>
      <c r="AY124" s="82">
        <f>(-V123*$AY$1)+'Fluxo Consolidado'!AO119</f>
        <v>-148099.52934542196</v>
      </c>
      <c r="AZ124" s="84">
        <v>0</v>
      </c>
      <c r="BA124" s="122">
        <v>0</v>
      </c>
      <c r="BB124" s="81">
        <v>0</v>
      </c>
      <c r="BC124" s="81">
        <f>+'Fluxo Consolidado'!AP119</f>
        <v>0</v>
      </c>
      <c r="BD124" s="125">
        <f>+'Fluxo Consolidado'!AQ119</f>
        <v>0</v>
      </c>
      <c r="BE124" s="133"/>
      <c r="BF124" s="78">
        <f t="shared" si="65"/>
        <v>3700727.0752065172</v>
      </c>
      <c r="BG124" s="70" t="e">
        <f t="shared" si="66"/>
        <v>#REF!</v>
      </c>
      <c r="BH124" s="70" t="e">
        <f t="shared" si="72"/>
        <v>#REF!</v>
      </c>
      <c r="BI124" s="71" t="e">
        <f t="shared" si="73"/>
        <v>#REF!</v>
      </c>
      <c r="BJ124" s="201" t="e">
        <f t="shared" si="61"/>
        <v>#REF!</v>
      </c>
      <c r="BQ124" s="82">
        <v>0</v>
      </c>
      <c r="BR124" s="223">
        <v>-748576.12040500995</v>
      </c>
      <c r="BS124" s="223">
        <v>-49027.34956382509</v>
      </c>
      <c r="BT124" s="223">
        <v>0</v>
      </c>
      <c r="BU124" s="223">
        <v>-3675016.7425464904</v>
      </c>
      <c r="BV124" s="223">
        <v>3674224.9359714929</v>
      </c>
      <c r="BW124" s="223">
        <f t="shared" si="63"/>
        <v>-797603.46996883501</v>
      </c>
      <c r="BX124" s="83">
        <f t="shared" si="54"/>
        <v>-797603.46996883501</v>
      </c>
      <c r="BY124" s="78">
        <f t="shared" si="64"/>
        <v>2902331.7986626849</v>
      </c>
      <c r="BZ124" s="70" t="e">
        <f t="shared" si="49"/>
        <v>#REF!</v>
      </c>
      <c r="CA124" s="70" t="e">
        <f t="shared" si="50"/>
        <v>#REF!</v>
      </c>
      <c r="CB124" s="71" t="e">
        <f t="shared" si="51"/>
        <v>#REF!</v>
      </c>
      <c r="CC124" s="270" t="e">
        <f t="shared" si="52"/>
        <v>#REF!</v>
      </c>
      <c r="CD124" s="201"/>
      <c r="CE124" s="69" t="e">
        <f t="shared" si="67"/>
        <v>#REF!</v>
      </c>
      <c r="CF124" s="71" t="e">
        <f t="shared" si="68"/>
        <v>#REF!</v>
      </c>
    </row>
    <row r="125" spans="1:84" ht="15" customHeight="1">
      <c r="A125" s="35">
        <f t="shared" si="69"/>
        <v>63</v>
      </c>
      <c r="B125" s="87"/>
      <c r="C125" s="36">
        <v>45170</v>
      </c>
      <c r="D125" s="75">
        <v>0</v>
      </c>
      <c r="E125" s="110">
        <v>0</v>
      </c>
      <c r="F125" s="110">
        <v>0</v>
      </c>
      <c r="G125" s="110">
        <v>0</v>
      </c>
      <c r="H125" s="76">
        <v>0</v>
      </c>
      <c r="I125" s="76">
        <v>0</v>
      </c>
      <c r="J125" s="77">
        <v>0</v>
      </c>
      <c r="K125" s="69">
        <f>+'Fluxo Consolidado'!D120</f>
        <v>1268342.8638095239</v>
      </c>
      <c r="L125" s="78">
        <f>+'Fluxo Consolidado'!E120</f>
        <v>1697519.66</v>
      </c>
      <c r="M125" s="78">
        <f>+'Fluxo Consolidado'!F120</f>
        <v>0</v>
      </c>
      <c r="N125" s="70">
        <v>0</v>
      </c>
      <c r="O125" s="242">
        <f t="shared" si="71"/>
        <v>0.05</v>
      </c>
      <c r="P125" s="70">
        <f>+'Fluxo Consolidado'!H120</f>
        <v>-84875.983000000007</v>
      </c>
      <c r="Q125" s="70">
        <f>+'Fluxo Consolidado'!I120</f>
        <v>87056.292000000016</v>
      </c>
      <c r="R125" s="79">
        <f>'Fluxo Consolidado'!J120</f>
        <v>727804.42777305888</v>
      </c>
      <c r="S125" s="79">
        <f>'Fluxo Consolidado'!K120</f>
        <v>44</v>
      </c>
      <c r="T125" s="79">
        <f t="shared" si="55"/>
        <v>0</v>
      </c>
      <c r="U125" s="79">
        <v>5</v>
      </c>
      <c r="V125" s="79">
        <f t="shared" si="53"/>
        <v>3695847.260582583</v>
      </c>
      <c r="W125" s="79">
        <v>0</v>
      </c>
      <c r="X125" s="79">
        <v>0</v>
      </c>
      <c r="Y125" s="71">
        <v>0</v>
      </c>
      <c r="Z125" s="38">
        <f t="shared" si="70"/>
        <v>0</v>
      </c>
      <c r="AA125" s="80">
        <v>0</v>
      </c>
      <c r="AB125" s="81">
        <f>+'Fluxo Consolidado'!P120</f>
        <v>0</v>
      </c>
      <c r="AC125" s="208">
        <f>'Fluxo Consolidado'!Q120</f>
        <v>0</v>
      </c>
      <c r="AD125" s="81">
        <f>+'Fluxo Consolidado'!R120</f>
        <v>0</v>
      </c>
      <c r="AE125" s="81">
        <f>+'Fluxo Consolidado'!S120</f>
        <v>0</v>
      </c>
      <c r="AF125" s="208">
        <f>'Fluxo Consolidado'!T120</f>
        <v>0</v>
      </c>
      <c r="AG125" s="81">
        <f>+'Fluxo Consolidado'!U120</f>
        <v>0</v>
      </c>
      <c r="AH125" s="246">
        <f>+'Fluxo Consolidado'!V120</f>
        <v>0</v>
      </c>
      <c r="AI125" s="125" t="e">
        <f>+'Fluxo Consolidado'!#REF!</f>
        <v>#REF!</v>
      </c>
      <c r="AJ125" s="82">
        <f>+'Fluxo Consolidado'!X120</f>
        <v>0</v>
      </c>
      <c r="AK125" s="85">
        <v>0</v>
      </c>
      <c r="AL125" s="85">
        <f>+'Fluxo Consolidado'!Y120+'Fluxo Consolidado'!Z120+'Fluxo Consolidado'!AA120</f>
        <v>0</v>
      </c>
      <c r="AM125" s="85">
        <f>+'Fluxo Consolidado'!AB120+'Fluxo Consolidado'!AC120</f>
        <v>-64841.696383928575</v>
      </c>
      <c r="AN125" s="103">
        <f>+'Fluxo Consolidado'!AD120</f>
        <v>0</v>
      </c>
      <c r="AO125" s="85">
        <f>+'Fluxo Consolidado'!AF120+'Fluxo Consolidado'!AF120</f>
        <v>0</v>
      </c>
      <c r="AP125" s="83">
        <f>+'Fluxo Consolidado'!AG120</f>
        <v>0</v>
      </c>
      <c r="AQ125" s="119">
        <f>+'Fluxo Consolidado'!AH120</f>
        <v>-222043.62451239102</v>
      </c>
      <c r="AR125" s="85">
        <f>+'Fluxo Consolidado'!AI120</f>
        <v>-9209.81</v>
      </c>
      <c r="AS125" s="85">
        <f>+'Fluxo Consolidado'!AJ120</f>
        <v>-7969</v>
      </c>
      <c r="AT125" s="85">
        <v>0</v>
      </c>
      <c r="AU125" s="85">
        <f>+'Fluxo Consolidado'!AK120</f>
        <v>-14352.446290773925</v>
      </c>
      <c r="AV125" s="84">
        <f>+'Fluxo Consolidado'!AL120</f>
        <v>0</v>
      </c>
      <c r="AW125" s="82">
        <f t="shared" si="62"/>
        <v>-44408.724902478207</v>
      </c>
      <c r="AX125" s="82">
        <v>0</v>
      </c>
      <c r="AY125" s="82">
        <f>(-V124*$AY$1)+'Fluxo Consolidado'!AO120</f>
        <v>-148029.0830082607</v>
      </c>
      <c r="AZ125" s="84">
        <v>0</v>
      </c>
      <c r="BA125" s="122">
        <v>0</v>
      </c>
      <c r="BB125" s="81">
        <v>0</v>
      </c>
      <c r="BC125" s="81">
        <f>+'Fluxo Consolidado'!AP120</f>
        <v>0</v>
      </c>
      <c r="BD125" s="125">
        <f>+'Fluxo Consolidado'!AQ120</f>
        <v>0</v>
      </c>
      <c r="BE125" s="133"/>
      <c r="BF125" s="78">
        <f t="shared" si="65"/>
        <v>3695847.260582583</v>
      </c>
      <c r="BG125" s="70" t="e">
        <f t="shared" si="66"/>
        <v>#REF!</v>
      </c>
      <c r="BH125" s="70" t="e">
        <f t="shared" si="72"/>
        <v>#REF!</v>
      </c>
      <c r="BI125" s="71" t="e">
        <f t="shared" si="73"/>
        <v>#REF!</v>
      </c>
      <c r="BJ125" s="201" t="e">
        <f t="shared" si="61"/>
        <v>#REF!</v>
      </c>
      <c r="BQ125" s="82">
        <v>0</v>
      </c>
      <c r="BR125" s="223">
        <v>-743476.51187378017</v>
      </c>
      <c r="BS125" s="223">
        <v>-32835.853270794549</v>
      </c>
      <c r="BT125" s="223">
        <v>0</v>
      </c>
      <c r="BU125" s="223">
        <v>-3670115.0665975176</v>
      </c>
      <c r="BV125" s="223">
        <v>3675016.7425464904</v>
      </c>
      <c r="BW125" s="223">
        <f t="shared" si="63"/>
        <v>-776312.36514457467</v>
      </c>
      <c r="BX125" s="83">
        <f t="shared" si="54"/>
        <v>-776312.36514457467</v>
      </c>
      <c r="BY125" s="78">
        <f t="shared" si="64"/>
        <v>2924436.5713869808</v>
      </c>
      <c r="BZ125" s="70" t="e">
        <f t="shared" si="49"/>
        <v>#REF!</v>
      </c>
      <c r="CA125" s="70" t="e">
        <f t="shared" si="50"/>
        <v>#REF!</v>
      </c>
      <c r="CB125" s="71" t="e">
        <f t="shared" si="51"/>
        <v>#REF!</v>
      </c>
      <c r="CC125" s="270" t="e">
        <f t="shared" si="52"/>
        <v>#REF!</v>
      </c>
      <c r="CD125" s="201"/>
      <c r="CE125" s="69" t="e">
        <f t="shared" si="67"/>
        <v>#REF!</v>
      </c>
      <c r="CF125" s="71" t="e">
        <f t="shared" si="68"/>
        <v>#REF!</v>
      </c>
    </row>
    <row r="126" spans="1:84" ht="15" customHeight="1">
      <c r="A126" s="35">
        <f t="shared" si="69"/>
        <v>64</v>
      </c>
      <c r="B126" s="87"/>
      <c r="C126" s="36">
        <v>45200</v>
      </c>
      <c r="D126" s="75">
        <v>0</v>
      </c>
      <c r="E126" s="110">
        <v>0</v>
      </c>
      <c r="F126" s="110">
        <v>0</v>
      </c>
      <c r="G126" s="110">
        <v>0</v>
      </c>
      <c r="H126" s="76">
        <v>0</v>
      </c>
      <c r="I126" s="76">
        <v>0</v>
      </c>
      <c r="J126" s="77">
        <v>0</v>
      </c>
      <c r="K126" s="69">
        <f>+'Fluxo Consolidado'!D121</f>
        <v>1268342.8638095239</v>
      </c>
      <c r="L126" s="78">
        <f>+'Fluxo Consolidado'!E121</f>
        <v>1664717.3</v>
      </c>
      <c r="M126" s="78">
        <f>+'Fluxo Consolidado'!F121</f>
        <v>0</v>
      </c>
      <c r="N126" s="70">
        <v>0</v>
      </c>
      <c r="O126" s="242">
        <f t="shared" si="71"/>
        <v>0.05</v>
      </c>
      <c r="P126" s="70">
        <f>+'Fluxo Consolidado'!H121</f>
        <v>-83235.865000000005</v>
      </c>
      <c r="Q126" s="70">
        <f>+'Fluxo Consolidado'!I121</f>
        <v>86654.902000000002</v>
      </c>
      <c r="R126" s="79">
        <f>'Fluxo Consolidado'!J121</f>
        <v>738019.00578458887</v>
      </c>
      <c r="S126" s="79">
        <f>'Fluxo Consolidado'!K121</f>
        <v>45</v>
      </c>
      <c r="T126" s="79">
        <f t="shared" si="55"/>
        <v>0</v>
      </c>
      <c r="U126" s="79">
        <v>5</v>
      </c>
      <c r="V126" s="79">
        <f t="shared" si="53"/>
        <v>3674498.2065941128</v>
      </c>
      <c r="W126" s="79">
        <v>0</v>
      </c>
      <c r="X126" s="79">
        <v>0</v>
      </c>
      <c r="Y126" s="71">
        <v>0</v>
      </c>
      <c r="Z126" s="38">
        <f t="shared" si="70"/>
        <v>0</v>
      </c>
      <c r="AA126" s="80">
        <v>0</v>
      </c>
      <c r="AB126" s="81">
        <f>+'Fluxo Consolidado'!P121</f>
        <v>0</v>
      </c>
      <c r="AC126" s="208">
        <f>'Fluxo Consolidado'!Q121</f>
        <v>0</v>
      </c>
      <c r="AD126" s="81">
        <f>+'Fluxo Consolidado'!R121</f>
        <v>0</v>
      </c>
      <c r="AE126" s="81">
        <f>+'Fluxo Consolidado'!S121</f>
        <v>0</v>
      </c>
      <c r="AF126" s="208">
        <f>'Fluxo Consolidado'!T121</f>
        <v>0</v>
      </c>
      <c r="AG126" s="81">
        <f>+'Fluxo Consolidado'!U121</f>
        <v>0</v>
      </c>
      <c r="AH126" s="246">
        <f>+'Fluxo Consolidado'!V121</f>
        <v>0</v>
      </c>
      <c r="AI126" s="125" t="e">
        <f>+'Fluxo Consolidado'!#REF!</f>
        <v>#REF!</v>
      </c>
      <c r="AJ126" s="82">
        <f>+'Fluxo Consolidado'!X121</f>
        <v>0</v>
      </c>
      <c r="AK126" s="85">
        <v>0</v>
      </c>
      <c r="AL126" s="85">
        <f>+'Fluxo Consolidado'!Y121+'Fluxo Consolidado'!Z121+'Fluxo Consolidado'!AA121</f>
        <v>0</v>
      </c>
      <c r="AM126" s="85">
        <f>+'Fluxo Consolidado'!AB121+'Fluxo Consolidado'!AC121</f>
        <v>-64249.146383928572</v>
      </c>
      <c r="AN126" s="103">
        <f>+'Fluxo Consolidado'!AD121</f>
        <v>0</v>
      </c>
      <c r="AO126" s="85">
        <f>+'Fluxo Consolidado'!AF121+'Fluxo Consolidado'!AF121</f>
        <v>0</v>
      </c>
      <c r="AP126" s="83">
        <f>+'Fluxo Consolidado'!AG121</f>
        <v>0</v>
      </c>
      <c r="AQ126" s="119">
        <f>+'Fluxo Consolidado'!AH121</f>
        <v>-221750.83563495497</v>
      </c>
      <c r="AR126" s="85">
        <f>+'Fluxo Consolidado'!AI121</f>
        <v>-9209.81</v>
      </c>
      <c r="AS126" s="85">
        <f>+'Fluxo Consolidado'!AJ121</f>
        <v>-7969</v>
      </c>
      <c r="AT126" s="85">
        <v>0</v>
      </c>
      <c r="AU126" s="85">
        <f>+'Fluxo Consolidado'!AK121</f>
        <v>-14251.555052108984</v>
      </c>
      <c r="AV126" s="84">
        <f>+'Fluxo Consolidado'!AL121</f>
        <v>0</v>
      </c>
      <c r="AW126" s="82">
        <f t="shared" si="62"/>
        <v>-44350.167126991</v>
      </c>
      <c r="AX126" s="82">
        <v>0</v>
      </c>
      <c r="AY126" s="82">
        <f>(-V125*$AY$1)+'Fluxo Consolidado'!AO121</f>
        <v>-147833.89042330332</v>
      </c>
      <c r="AZ126" s="84">
        <v>0</v>
      </c>
      <c r="BA126" s="122">
        <v>0</v>
      </c>
      <c r="BB126" s="81">
        <v>0</v>
      </c>
      <c r="BC126" s="81">
        <f>+'Fluxo Consolidado'!AP121</f>
        <v>0</v>
      </c>
      <c r="BD126" s="125">
        <f>+'Fluxo Consolidado'!AQ121</f>
        <v>0</v>
      </c>
      <c r="BE126" s="133"/>
      <c r="BF126" s="78">
        <f t="shared" si="65"/>
        <v>3674498.2065941128</v>
      </c>
      <c r="BG126" s="70" t="e">
        <f t="shared" si="66"/>
        <v>#REF!</v>
      </c>
      <c r="BH126" s="70" t="e">
        <f t="shared" si="72"/>
        <v>#REF!</v>
      </c>
      <c r="BI126" s="71" t="e">
        <f t="shared" si="73"/>
        <v>#REF!</v>
      </c>
      <c r="BJ126" s="201" t="e">
        <f t="shared" si="61"/>
        <v>#REF!</v>
      </c>
      <c r="BQ126" s="82">
        <v>0</v>
      </c>
      <c r="BR126" s="223">
        <v>-738376.90334255062</v>
      </c>
      <c r="BS126" s="223">
        <v>-32223.965194163859</v>
      </c>
      <c r="BT126" s="223">
        <v>0</v>
      </c>
      <c r="BU126" s="223">
        <v>-3649673.9574197326</v>
      </c>
      <c r="BV126" s="223">
        <v>3670115.0665975176</v>
      </c>
      <c r="BW126" s="223">
        <f t="shared" si="63"/>
        <v>-770600.86853671446</v>
      </c>
      <c r="BX126" s="83">
        <f t="shared" si="54"/>
        <v>-770600.86853671446</v>
      </c>
      <c r="BY126" s="78">
        <f t="shared" si="64"/>
        <v>2924338.4472351833</v>
      </c>
      <c r="BZ126" s="70" t="e">
        <f t="shared" si="49"/>
        <v>#REF!</v>
      </c>
      <c r="CA126" s="70" t="e">
        <f t="shared" si="50"/>
        <v>#REF!</v>
      </c>
      <c r="CB126" s="71" t="e">
        <f t="shared" si="51"/>
        <v>#REF!</v>
      </c>
      <c r="CC126" s="270" t="e">
        <f t="shared" si="52"/>
        <v>#REF!</v>
      </c>
      <c r="CD126" s="201"/>
      <c r="CE126" s="69" t="e">
        <f t="shared" si="67"/>
        <v>#REF!</v>
      </c>
      <c r="CF126" s="71" t="e">
        <f t="shared" si="68"/>
        <v>#REF!</v>
      </c>
    </row>
    <row r="127" spans="1:84" ht="15" customHeight="1">
      <c r="A127" s="35">
        <f t="shared" si="69"/>
        <v>65</v>
      </c>
      <c r="B127" s="87"/>
      <c r="C127" s="36">
        <v>45231</v>
      </c>
      <c r="D127" s="75">
        <v>0</v>
      </c>
      <c r="E127" s="110">
        <v>0</v>
      </c>
      <c r="F127" s="110">
        <v>0</v>
      </c>
      <c r="G127" s="110">
        <v>0</v>
      </c>
      <c r="H127" s="76">
        <v>0</v>
      </c>
      <c r="I127" s="76">
        <v>0</v>
      </c>
      <c r="J127" s="77">
        <v>0</v>
      </c>
      <c r="K127" s="69">
        <f>+'Fluxo Consolidado'!D122</f>
        <v>1268342.8638095239</v>
      </c>
      <c r="L127" s="78">
        <f>+'Fluxo Consolidado'!E122</f>
        <v>1653917.44</v>
      </c>
      <c r="M127" s="78">
        <f>+'Fluxo Consolidado'!F122</f>
        <v>0</v>
      </c>
      <c r="N127" s="70">
        <v>0</v>
      </c>
      <c r="O127" s="242">
        <f t="shared" si="71"/>
        <v>0.05</v>
      </c>
      <c r="P127" s="70">
        <f>+'Fluxo Consolidado'!H122</f>
        <v>-82695.872000000003</v>
      </c>
      <c r="Q127" s="70">
        <f>+'Fluxo Consolidado'!I122</f>
        <v>85830.624500000005</v>
      </c>
      <c r="R127" s="79">
        <f>'Fluxo Consolidado'!J122</f>
        <v>753589.34534697421</v>
      </c>
      <c r="S127" s="79">
        <f>'Fluxo Consolidado'!K122</f>
        <v>46</v>
      </c>
      <c r="T127" s="79">
        <f t="shared" si="55"/>
        <v>0</v>
      </c>
      <c r="U127" s="79">
        <v>5</v>
      </c>
      <c r="V127" s="79">
        <f t="shared" si="53"/>
        <v>3678984.4016564982</v>
      </c>
      <c r="W127" s="79">
        <v>0</v>
      </c>
      <c r="X127" s="79">
        <v>0</v>
      </c>
      <c r="Y127" s="71">
        <v>0</v>
      </c>
      <c r="Z127" s="38">
        <f t="shared" si="70"/>
        <v>0</v>
      </c>
      <c r="AA127" s="80">
        <v>0</v>
      </c>
      <c r="AB127" s="81">
        <f>+'Fluxo Consolidado'!P122</f>
        <v>0</v>
      </c>
      <c r="AC127" s="208">
        <f>'Fluxo Consolidado'!Q122</f>
        <v>0</v>
      </c>
      <c r="AD127" s="81">
        <f>+'Fluxo Consolidado'!R122</f>
        <v>0</v>
      </c>
      <c r="AE127" s="81">
        <f>+'Fluxo Consolidado'!S122</f>
        <v>0</v>
      </c>
      <c r="AF127" s="208">
        <f>'Fluxo Consolidado'!T122</f>
        <v>0</v>
      </c>
      <c r="AG127" s="81">
        <f>+'Fluxo Consolidado'!U122</f>
        <v>0</v>
      </c>
      <c r="AH127" s="246">
        <f>+'Fluxo Consolidado'!V122</f>
        <v>0</v>
      </c>
      <c r="AI127" s="125" t="e">
        <f>+'Fluxo Consolidado'!#REF!</f>
        <v>#REF!</v>
      </c>
      <c r="AJ127" s="82">
        <f>+'Fluxo Consolidado'!X122</f>
        <v>0</v>
      </c>
      <c r="AK127" s="85">
        <v>0</v>
      </c>
      <c r="AL127" s="85">
        <f>+'Fluxo Consolidado'!Y122+'Fluxo Consolidado'!Z122+'Fluxo Consolidado'!AA122</f>
        <v>0</v>
      </c>
      <c r="AM127" s="85">
        <f>+'Fluxo Consolidado'!AB122+'Fluxo Consolidado'!AC122</f>
        <v>-64037.126383928568</v>
      </c>
      <c r="AN127" s="103">
        <f>+'Fluxo Consolidado'!AD122</f>
        <v>0</v>
      </c>
      <c r="AO127" s="85">
        <f>+'Fluxo Consolidado'!AF122+'Fluxo Consolidado'!AF122</f>
        <v>0</v>
      </c>
      <c r="AP127" s="83">
        <f>+'Fluxo Consolidado'!AG122</f>
        <v>0</v>
      </c>
      <c r="AQ127" s="119">
        <f>+'Fluxo Consolidado'!AH122</f>
        <v>-220469.89239564675</v>
      </c>
      <c r="AR127" s="85">
        <f>+'Fluxo Consolidado'!AI122</f>
        <v>-9209.81</v>
      </c>
      <c r="AS127" s="85">
        <f>+'Fluxo Consolidado'!AJ122</f>
        <v>-7969</v>
      </c>
      <c r="AT127" s="85">
        <v>0</v>
      </c>
      <c r="AU127" s="85">
        <f>+'Fluxo Consolidado'!AK122</f>
        <v>-14091.823334031285</v>
      </c>
      <c r="AV127" s="84">
        <f>+'Fluxo Consolidado'!AL122</f>
        <v>0</v>
      </c>
      <c r="AW127" s="82">
        <f t="shared" ref="AW127:AW158" si="74">-V126*$AW$2</f>
        <v>-44093.978479129357</v>
      </c>
      <c r="AX127" s="82">
        <v>0</v>
      </c>
      <c r="AY127" s="82">
        <f>(-V126*$AY$1)+'Fluxo Consolidado'!AO122</f>
        <v>-146979.92826376451</v>
      </c>
      <c r="AZ127" s="84">
        <v>0</v>
      </c>
      <c r="BA127" s="122">
        <v>0</v>
      </c>
      <c r="BB127" s="81">
        <v>0</v>
      </c>
      <c r="BC127" s="81">
        <f>+'Fluxo Consolidado'!AP122</f>
        <v>0</v>
      </c>
      <c r="BD127" s="125">
        <f>+'Fluxo Consolidado'!AQ122</f>
        <v>0</v>
      </c>
      <c r="BE127" s="133"/>
      <c r="BF127" s="78">
        <f t="shared" si="65"/>
        <v>3678984.4016564982</v>
      </c>
      <c r="BG127" s="70" t="e">
        <f t="shared" si="66"/>
        <v>#REF!</v>
      </c>
      <c r="BH127" s="70" t="e">
        <f t="shared" si="72"/>
        <v>#REF!</v>
      </c>
      <c r="BI127" s="71" t="e">
        <f t="shared" si="73"/>
        <v>#REF!</v>
      </c>
      <c r="BJ127" s="201" t="e">
        <f t="shared" si="61"/>
        <v>#REF!</v>
      </c>
      <c r="BQ127" s="82">
        <v>0</v>
      </c>
      <c r="BR127" s="223">
        <v>-733277.29481132084</v>
      </c>
      <c r="BS127" s="223">
        <v>-31629.426093294707</v>
      </c>
      <c r="BT127" s="223">
        <v>0</v>
      </c>
      <c r="BU127" s="223">
        <v>-3654465.5021078289</v>
      </c>
      <c r="BV127" s="223">
        <v>3649673.9574197326</v>
      </c>
      <c r="BW127" s="223">
        <f t="shared" ref="BW127:BW158" si="75">SUM(BQ127:BT127)</f>
        <v>-764906.72090461559</v>
      </c>
      <c r="BX127" s="83">
        <f t="shared" si="54"/>
        <v>-764906.72090461559</v>
      </c>
      <c r="BY127" s="78">
        <f t="shared" si="64"/>
        <v>2909286.1360637862</v>
      </c>
      <c r="BZ127" s="70" t="e">
        <f t="shared" si="49"/>
        <v>#REF!</v>
      </c>
      <c r="CA127" s="70" t="e">
        <f t="shared" si="50"/>
        <v>#REF!</v>
      </c>
      <c r="CB127" s="71" t="e">
        <f t="shared" si="51"/>
        <v>#REF!</v>
      </c>
      <c r="CC127" s="270" t="e">
        <f t="shared" si="52"/>
        <v>#REF!</v>
      </c>
      <c r="CD127" s="201"/>
      <c r="CE127" s="69" t="e">
        <f t="shared" si="67"/>
        <v>#REF!</v>
      </c>
      <c r="CF127" s="71" t="e">
        <f t="shared" si="68"/>
        <v>#REF!</v>
      </c>
    </row>
    <row r="128" spans="1:84" ht="15" customHeight="1">
      <c r="A128" s="35">
        <f t="shared" si="69"/>
        <v>66</v>
      </c>
      <c r="B128" s="87"/>
      <c r="C128" s="36">
        <v>45261</v>
      </c>
      <c r="D128" s="75">
        <v>0</v>
      </c>
      <c r="E128" s="110">
        <v>0</v>
      </c>
      <c r="F128" s="110">
        <v>0</v>
      </c>
      <c r="G128" s="110">
        <v>0</v>
      </c>
      <c r="H128" s="76">
        <v>0</v>
      </c>
      <c r="I128" s="76">
        <v>0</v>
      </c>
      <c r="J128" s="77">
        <v>0</v>
      </c>
      <c r="K128" s="69">
        <f>+'Fluxo Consolidado'!D123</f>
        <v>1268342.8638095239</v>
      </c>
      <c r="L128" s="78">
        <f>+'Fluxo Consolidado'!E123</f>
        <v>1642668.83</v>
      </c>
      <c r="M128" s="78">
        <f>+'Fluxo Consolidado'!F123</f>
        <v>0</v>
      </c>
      <c r="N128" s="70">
        <v>0</v>
      </c>
      <c r="O128" s="242">
        <f t="shared" si="71"/>
        <v>0.05</v>
      </c>
      <c r="P128" s="70">
        <f>+'Fluxo Consolidado'!H123</f>
        <v>-82133.441500000015</v>
      </c>
      <c r="Q128" s="70">
        <f>+'Fluxo Consolidado'!I123</f>
        <v>84875.983000000007</v>
      </c>
      <c r="R128" s="79">
        <f>'Fluxo Consolidado'!J123</f>
        <v>768997.06719236868</v>
      </c>
      <c r="S128" s="79">
        <f>'Fluxo Consolidado'!K123</f>
        <v>47</v>
      </c>
      <c r="T128" s="79">
        <f t="shared" si="55"/>
        <v>0</v>
      </c>
      <c r="U128" s="79">
        <v>6</v>
      </c>
      <c r="V128" s="79">
        <f t="shared" si="53"/>
        <v>3682751.3025018927</v>
      </c>
      <c r="W128" s="79">
        <v>0</v>
      </c>
      <c r="X128" s="79">
        <v>0</v>
      </c>
      <c r="Y128" s="71">
        <v>0</v>
      </c>
      <c r="Z128" s="38">
        <f t="shared" si="70"/>
        <v>0</v>
      </c>
      <c r="AA128" s="80">
        <v>0</v>
      </c>
      <c r="AB128" s="81">
        <f>+'Fluxo Consolidado'!P123</f>
        <v>0</v>
      </c>
      <c r="AC128" s="208">
        <f>'Fluxo Consolidado'!Q123</f>
        <v>0</v>
      </c>
      <c r="AD128" s="81">
        <f>+'Fluxo Consolidado'!R123</f>
        <v>0</v>
      </c>
      <c r="AE128" s="81">
        <f>+'Fluxo Consolidado'!S123</f>
        <v>0</v>
      </c>
      <c r="AF128" s="208">
        <f>'Fluxo Consolidado'!T123</f>
        <v>0</v>
      </c>
      <c r="AG128" s="81">
        <f>+'Fluxo Consolidado'!U123</f>
        <v>0</v>
      </c>
      <c r="AH128" s="246">
        <f>+'Fluxo Consolidado'!V123</f>
        <v>0</v>
      </c>
      <c r="AI128" s="125" t="e">
        <f>+'Fluxo Consolidado'!#REF!</f>
        <v>#REF!</v>
      </c>
      <c r="AJ128" s="82">
        <f>+'Fluxo Consolidado'!X123</f>
        <v>0</v>
      </c>
      <c r="AK128" s="85">
        <v>0</v>
      </c>
      <c r="AL128" s="85">
        <f>+'Fluxo Consolidado'!Y123+'Fluxo Consolidado'!Z123+'Fluxo Consolidado'!AA123</f>
        <v>0</v>
      </c>
      <c r="AM128" s="85">
        <f>+'Fluxo Consolidado'!AB123+'Fluxo Consolidado'!AC123</f>
        <v>-63818.196383928575</v>
      </c>
      <c r="AN128" s="103">
        <f>+'Fluxo Consolidado'!AD123</f>
        <v>0</v>
      </c>
      <c r="AO128" s="85">
        <f>+'Fluxo Consolidado'!AF123+'Fluxo Consolidado'!AF123</f>
        <v>0</v>
      </c>
      <c r="AP128" s="83">
        <f>+'Fluxo Consolidado'!AG123</f>
        <v>0</v>
      </c>
      <c r="AQ128" s="119">
        <f>+'Fluxo Consolidado'!AH123</f>
        <v>-220739.06409938989</v>
      </c>
      <c r="AR128" s="85">
        <f>+'Fluxo Consolidado'!AI123</f>
        <v>-9209.81</v>
      </c>
      <c r="AS128" s="85">
        <f>+'Fluxo Consolidado'!AJ123</f>
        <v>-7969</v>
      </c>
      <c r="AT128" s="85">
        <v>0</v>
      </c>
      <c r="AU128" s="85">
        <f>+'Fluxo Consolidado'!AK123</f>
        <v>-14033.644126670109</v>
      </c>
      <c r="AV128" s="84">
        <f>+'Fluxo Consolidado'!AL123</f>
        <v>0</v>
      </c>
      <c r="AW128" s="82">
        <f t="shared" si="74"/>
        <v>-44147.812819877981</v>
      </c>
      <c r="AX128" s="82">
        <v>0</v>
      </c>
      <c r="AY128" s="82">
        <f>(-V127*$AY$1)+'Fluxo Consolidado'!AO123</f>
        <v>-147159.37606625992</v>
      </c>
      <c r="AZ128" s="84">
        <v>0</v>
      </c>
      <c r="BA128" s="122">
        <v>0</v>
      </c>
      <c r="BB128" s="81">
        <v>0</v>
      </c>
      <c r="BC128" s="81">
        <f>+'Fluxo Consolidado'!AP123</f>
        <v>0</v>
      </c>
      <c r="BD128" s="125">
        <f>+'Fluxo Consolidado'!AQ123</f>
        <v>0</v>
      </c>
      <c r="BE128" s="133"/>
      <c r="BF128" s="78">
        <f t="shared" si="65"/>
        <v>3682751.3025018927</v>
      </c>
      <c r="BG128" s="70" t="e">
        <f t="shared" si="66"/>
        <v>#REF!</v>
      </c>
      <c r="BH128" s="70" t="e">
        <f t="shared" si="72"/>
        <v>#REF!</v>
      </c>
      <c r="BI128" s="71" t="e">
        <f t="shared" si="73"/>
        <v>#REF!</v>
      </c>
      <c r="BJ128" s="201" t="e">
        <f t="shared" si="61"/>
        <v>#REF!</v>
      </c>
      <c r="BQ128" s="82">
        <v>0</v>
      </c>
      <c r="BR128" s="223">
        <v>-728177.68628009118</v>
      </c>
      <c r="BS128" s="223">
        <v>-31051.744069469874</v>
      </c>
      <c r="BT128" s="223">
        <v>0</v>
      </c>
      <c r="BU128" s="223">
        <v>-3658603.2918388369</v>
      </c>
      <c r="BV128" s="223">
        <v>3654465.5021078289</v>
      </c>
      <c r="BW128" s="223">
        <f t="shared" si="75"/>
        <v>-759229.43034956104</v>
      </c>
      <c r="BX128" s="83">
        <f t="shared" si="54"/>
        <v>-759229.43034956104</v>
      </c>
      <c r="BY128" s="78">
        <f t="shared" ref="BY128:BY159" si="76">V128+BQ128+BR128+BS128+BT128+BU128+BV128</f>
        <v>2919384.0824213233</v>
      </c>
      <c r="BZ128" s="70" t="e">
        <f t="shared" ref="BZ128:BZ190" si="77">BG128</f>
        <v>#REF!</v>
      </c>
      <c r="CA128" s="70" t="e">
        <f t="shared" ref="CA128:CA190" si="78">SUM(BY128:BZ128)</f>
        <v>#REF!</v>
      </c>
      <c r="CB128" s="71" t="e">
        <f t="shared" ref="CB128:CB184" si="79">CA128+CB127</f>
        <v>#REF!</v>
      </c>
      <c r="CC128" s="270" t="e">
        <f t="shared" ref="CC128:CC190" si="80">CB128-$AX$8</f>
        <v>#REF!</v>
      </c>
      <c r="CD128" s="201"/>
      <c r="CE128" s="69" t="e">
        <f t="shared" si="67"/>
        <v>#REF!</v>
      </c>
      <c r="CF128" s="71" t="e">
        <f t="shared" si="68"/>
        <v>#REF!</v>
      </c>
    </row>
    <row r="129" spans="1:84" ht="15" customHeight="1">
      <c r="A129" s="35">
        <f t="shared" si="69"/>
        <v>67</v>
      </c>
      <c r="B129" s="87"/>
      <c r="C129" s="36">
        <v>45292</v>
      </c>
      <c r="D129" s="75">
        <v>0</v>
      </c>
      <c r="E129" s="110">
        <v>0</v>
      </c>
      <c r="F129" s="110">
        <v>0</v>
      </c>
      <c r="G129" s="110">
        <v>0</v>
      </c>
      <c r="H129" s="76">
        <v>0</v>
      </c>
      <c r="I129" s="76">
        <v>0</v>
      </c>
      <c r="J129" s="77">
        <v>0</v>
      </c>
      <c r="K129" s="69">
        <f>+'Fluxo Consolidado'!D124</f>
        <v>1268342.8638095239</v>
      </c>
      <c r="L129" s="78">
        <f>+'Fluxo Consolidado'!E124</f>
        <v>1612768.42</v>
      </c>
      <c r="M129" s="78">
        <f>+'Fluxo Consolidado'!F124</f>
        <v>0</v>
      </c>
      <c r="N129" s="70">
        <v>0</v>
      </c>
      <c r="O129" s="242">
        <f t="shared" si="71"/>
        <v>0.05</v>
      </c>
      <c r="P129" s="70">
        <f>+'Fluxo Consolidado'!H124</f>
        <v>-80638.421000000002</v>
      </c>
      <c r="Q129" s="70">
        <f>+'Fluxo Consolidado'!I124</f>
        <v>83235.865000000005</v>
      </c>
      <c r="R129" s="79">
        <f>'Fluxo Consolidado'!J124</f>
        <v>779309.37418006966</v>
      </c>
      <c r="S129" s="79">
        <f>'Fluxo Consolidado'!K124</f>
        <v>48</v>
      </c>
      <c r="T129" s="79">
        <f t="shared" si="55"/>
        <v>0</v>
      </c>
      <c r="U129" s="79">
        <v>6</v>
      </c>
      <c r="V129" s="79">
        <f t="shared" ref="V129:V189" si="81">SUM(P129:R129,K129:N129)+T129</f>
        <v>3663018.1019895934</v>
      </c>
      <c r="W129" s="79">
        <v>0</v>
      </c>
      <c r="X129" s="79">
        <v>0</v>
      </c>
      <c r="Y129" s="71">
        <v>0</v>
      </c>
      <c r="Z129" s="38">
        <f t="shared" si="70"/>
        <v>0</v>
      </c>
      <c r="AA129" s="80">
        <v>0</v>
      </c>
      <c r="AB129" s="81">
        <f>+'Fluxo Consolidado'!P124</f>
        <v>0</v>
      </c>
      <c r="AC129" s="208">
        <f>'Fluxo Consolidado'!Q124</f>
        <v>0</v>
      </c>
      <c r="AD129" s="81">
        <f>+'Fluxo Consolidado'!R124</f>
        <v>0</v>
      </c>
      <c r="AE129" s="81">
        <f>+'Fluxo Consolidado'!S124</f>
        <v>0</v>
      </c>
      <c r="AF129" s="208">
        <f>'Fluxo Consolidado'!T124</f>
        <v>0</v>
      </c>
      <c r="AG129" s="81">
        <f>+'Fluxo Consolidado'!U124</f>
        <v>0</v>
      </c>
      <c r="AH129" s="246">
        <f>+'Fluxo Consolidado'!V124</f>
        <v>0</v>
      </c>
      <c r="AI129" s="125" t="e">
        <f>+'Fluxo Consolidado'!#REF!</f>
        <v>#REF!</v>
      </c>
      <c r="AJ129" s="82">
        <f>+'Fluxo Consolidado'!X124</f>
        <v>0</v>
      </c>
      <c r="AK129" s="85">
        <v>0</v>
      </c>
      <c r="AL129" s="85">
        <f>+'Fluxo Consolidado'!Y124+'Fluxo Consolidado'!Z124+'Fluxo Consolidado'!AA124</f>
        <v>0</v>
      </c>
      <c r="AM129" s="85">
        <f>+'Fluxo Consolidado'!AB124+'Fluxo Consolidado'!AC124</f>
        <v>-63267.206383928569</v>
      </c>
      <c r="AN129" s="103">
        <f>+'Fluxo Consolidado'!AD124</f>
        <v>0</v>
      </c>
      <c r="AO129" s="85">
        <f>+'Fluxo Consolidado'!AF124+'Fluxo Consolidado'!AF124</f>
        <v>0</v>
      </c>
      <c r="AP129" s="83">
        <f>+'Fluxo Consolidado'!AG124</f>
        <v>0</v>
      </c>
      <c r="AQ129" s="119">
        <f>+'Fluxo Consolidado'!AH124</f>
        <v>-220965.07815011355</v>
      </c>
      <c r="AR129" s="85">
        <f>+'Fluxo Consolidado'!AI124</f>
        <v>-9209.81</v>
      </c>
      <c r="AS129" s="85">
        <f>+'Fluxo Consolidado'!AJ124</f>
        <v>-7969</v>
      </c>
      <c r="AT129" s="85">
        <v>0</v>
      </c>
      <c r="AU129" s="85">
        <f>+'Fluxo Consolidado'!AK124</f>
        <v>-13969.828566740827</v>
      </c>
      <c r="AV129" s="84">
        <f>+'Fluxo Consolidado'!AL124</f>
        <v>0</v>
      </c>
      <c r="AW129" s="82">
        <f t="shared" si="74"/>
        <v>-44193.01563002271</v>
      </c>
      <c r="AX129" s="82">
        <v>0</v>
      </c>
      <c r="AY129" s="82">
        <f>(-V128*$AY$1)+'Fluxo Consolidado'!AO124</f>
        <v>-147310.0521000757</v>
      </c>
      <c r="AZ129" s="84">
        <v>0</v>
      </c>
      <c r="BA129" s="122">
        <v>0</v>
      </c>
      <c r="BB129" s="81">
        <v>0</v>
      </c>
      <c r="BC129" s="81">
        <f>+'Fluxo Consolidado'!AP124</f>
        <v>0</v>
      </c>
      <c r="BD129" s="125">
        <f>+'Fluxo Consolidado'!AQ124</f>
        <v>0</v>
      </c>
      <c r="BE129" s="133"/>
      <c r="BF129" s="78">
        <f t="shared" si="65"/>
        <v>3663018.1019895934</v>
      </c>
      <c r="BG129" s="70" t="e">
        <f t="shared" si="66"/>
        <v>#REF!</v>
      </c>
      <c r="BH129" s="70" t="e">
        <f t="shared" si="72"/>
        <v>#REF!</v>
      </c>
      <c r="BI129" s="71" t="e">
        <f t="shared" si="73"/>
        <v>#REF!</v>
      </c>
      <c r="BJ129" s="201" t="e">
        <f t="shared" si="61"/>
        <v>#REF!</v>
      </c>
      <c r="BQ129" s="82">
        <v>0</v>
      </c>
      <c r="BR129" s="223">
        <v>-723078.07774886163</v>
      </c>
      <c r="BS129" s="223">
        <v>-30490.441170867423</v>
      </c>
      <c r="BT129" s="223">
        <v>0</v>
      </c>
      <c r="BU129" s="223">
        <v>-3637479.2504044957</v>
      </c>
      <c r="BV129" s="223">
        <v>3658603.2918388369</v>
      </c>
      <c r="BW129" s="223">
        <f t="shared" si="75"/>
        <v>-753568.51891972905</v>
      </c>
      <c r="BX129" s="83">
        <f t="shared" ref="BX129:BX190" si="82">SUM(BR129:BT129)</f>
        <v>-753568.51891972905</v>
      </c>
      <c r="BY129" s="78">
        <f t="shared" si="76"/>
        <v>2930573.6245042053</v>
      </c>
      <c r="BZ129" s="70" t="e">
        <f t="shared" si="77"/>
        <v>#REF!</v>
      </c>
      <c r="CA129" s="70" t="e">
        <f t="shared" si="78"/>
        <v>#REF!</v>
      </c>
      <c r="CB129" s="71" t="e">
        <f t="shared" si="79"/>
        <v>#REF!</v>
      </c>
      <c r="CC129" s="270" t="e">
        <f t="shared" si="80"/>
        <v>#REF!</v>
      </c>
      <c r="CD129" s="201"/>
      <c r="CE129" s="69" t="e">
        <f t="shared" si="67"/>
        <v>#REF!</v>
      </c>
      <c r="CF129" s="71" t="e">
        <f t="shared" si="68"/>
        <v>#REF!</v>
      </c>
    </row>
    <row r="130" spans="1:84" ht="15" customHeight="1">
      <c r="A130" s="35">
        <f t="shared" si="69"/>
        <v>68</v>
      </c>
      <c r="B130" s="87"/>
      <c r="C130" s="36">
        <v>45323</v>
      </c>
      <c r="D130" s="75">
        <v>0</v>
      </c>
      <c r="E130" s="110">
        <v>0</v>
      </c>
      <c r="F130" s="110">
        <v>0</v>
      </c>
      <c r="G130" s="110">
        <v>0</v>
      </c>
      <c r="H130" s="76">
        <v>0</v>
      </c>
      <c r="I130" s="76">
        <v>0</v>
      </c>
      <c r="J130" s="77">
        <v>0</v>
      </c>
      <c r="K130" s="69">
        <f>+'Fluxo Consolidado'!D125</f>
        <v>1268342.8638095239</v>
      </c>
      <c r="L130" s="78">
        <f>+'Fluxo Consolidado'!E125</f>
        <v>1579437.38</v>
      </c>
      <c r="M130" s="78">
        <f>+'Fluxo Consolidado'!F125</f>
        <v>0</v>
      </c>
      <c r="N130" s="70">
        <v>0</v>
      </c>
      <c r="O130" s="242">
        <f t="shared" si="71"/>
        <v>0.05</v>
      </c>
      <c r="P130" s="70">
        <f>+'Fluxo Consolidado'!H125</f>
        <v>-78971.869000000006</v>
      </c>
      <c r="Q130" s="70">
        <f>+'Fluxo Consolidado'!I125</f>
        <v>82695.872000000003</v>
      </c>
      <c r="R130" s="79">
        <f>'Fluxo Consolidado'!J125</f>
        <v>788384.05879674107</v>
      </c>
      <c r="S130" s="79">
        <f>'Fluxo Consolidado'!K125</f>
        <v>49</v>
      </c>
      <c r="T130" s="79">
        <f t="shared" ref="T130:T180" si="83">((1+$T$4)^U130-1)*(SUM(K130:L130)*$T$1)</f>
        <v>0</v>
      </c>
      <c r="U130" s="79">
        <v>6</v>
      </c>
      <c r="V130" s="79">
        <f t="shared" si="81"/>
        <v>3639888.3056062646</v>
      </c>
      <c r="W130" s="79">
        <v>0</v>
      </c>
      <c r="X130" s="79">
        <v>0</v>
      </c>
      <c r="Y130" s="71">
        <v>0</v>
      </c>
      <c r="Z130" s="38">
        <f t="shared" si="70"/>
        <v>0</v>
      </c>
      <c r="AA130" s="80">
        <v>0</v>
      </c>
      <c r="AB130" s="81">
        <f>+'Fluxo Consolidado'!P125</f>
        <v>0</v>
      </c>
      <c r="AC130" s="208">
        <f>'Fluxo Consolidado'!Q125</f>
        <v>0</v>
      </c>
      <c r="AD130" s="81">
        <f>+'Fluxo Consolidado'!R125</f>
        <v>0</v>
      </c>
      <c r="AE130" s="81">
        <f>+'Fluxo Consolidado'!S125</f>
        <v>0</v>
      </c>
      <c r="AF130" s="208">
        <f>'Fluxo Consolidado'!T125</f>
        <v>0</v>
      </c>
      <c r="AG130" s="81">
        <f>+'Fluxo Consolidado'!U125</f>
        <v>0</v>
      </c>
      <c r="AH130" s="246">
        <f>+'Fluxo Consolidado'!V125</f>
        <v>0</v>
      </c>
      <c r="AI130" s="125" t="e">
        <f>+'Fluxo Consolidado'!#REF!</f>
        <v>#REF!</v>
      </c>
      <c r="AJ130" s="82">
        <f>+'Fluxo Consolidado'!X125</f>
        <v>0</v>
      </c>
      <c r="AK130" s="85">
        <v>0</v>
      </c>
      <c r="AL130" s="85">
        <f>+'Fluxo Consolidado'!Y125+'Fluxo Consolidado'!Z125+'Fluxo Consolidado'!AA125</f>
        <v>0</v>
      </c>
      <c r="AM130" s="85">
        <f>+'Fluxo Consolidado'!AB125+'Fluxo Consolidado'!AC125</f>
        <v>-62629.156383928566</v>
      </c>
      <c r="AN130" s="103">
        <f>+'Fluxo Consolidado'!AD125</f>
        <v>0</v>
      </c>
      <c r="AO130" s="85">
        <f>+'Fluxo Consolidado'!AF125+'Fluxo Consolidado'!AF125</f>
        <v>0</v>
      </c>
      <c r="AP130" s="83">
        <f>+'Fluxo Consolidado'!AG125</f>
        <v>0</v>
      </c>
      <c r="AQ130" s="119">
        <f>+'Fluxo Consolidado'!AH125</f>
        <v>-219781.0861193756</v>
      </c>
      <c r="AR130" s="85">
        <f>+'Fluxo Consolidado'!AI125</f>
        <v>-9209.81</v>
      </c>
      <c r="AS130" s="85">
        <f>+'Fluxo Consolidado'!AJ125</f>
        <v>-7969</v>
      </c>
      <c r="AT130" s="85">
        <v>0</v>
      </c>
      <c r="AU130" s="85">
        <f>+'Fluxo Consolidado'!AK125</f>
        <v>-13802.123993179768</v>
      </c>
      <c r="AV130" s="84">
        <f>+'Fluxo Consolidado'!AL125</f>
        <v>0</v>
      </c>
      <c r="AW130" s="82">
        <f t="shared" si="74"/>
        <v>-43956.217223875123</v>
      </c>
      <c r="AX130" s="82">
        <v>0</v>
      </c>
      <c r="AY130" s="82">
        <f>(-V129*$AY$1)+'Fluxo Consolidado'!AO125</f>
        <v>-146520.72407958374</v>
      </c>
      <c r="AZ130" s="84">
        <v>0</v>
      </c>
      <c r="BA130" s="122">
        <v>0</v>
      </c>
      <c r="BB130" s="81">
        <v>0</v>
      </c>
      <c r="BC130" s="81">
        <f>+'Fluxo Consolidado'!AP125</f>
        <v>0</v>
      </c>
      <c r="BD130" s="125">
        <f>+'Fluxo Consolidado'!AQ125</f>
        <v>0</v>
      </c>
      <c r="BE130" s="133"/>
      <c r="BF130" s="78">
        <f t="shared" si="65"/>
        <v>3639888.3056062646</v>
      </c>
      <c r="BG130" s="70" t="e">
        <f t="shared" si="66"/>
        <v>#REF!</v>
      </c>
      <c r="BH130" s="70" t="e">
        <f t="shared" si="72"/>
        <v>#REF!</v>
      </c>
      <c r="BI130" s="71" t="e">
        <f t="shared" si="73"/>
        <v>#REF!</v>
      </c>
      <c r="BJ130" s="201" t="e">
        <f t="shared" si="61"/>
        <v>#REF!</v>
      </c>
      <c r="BQ130" s="82">
        <v>0</v>
      </c>
      <c r="BR130" s="223">
        <v>-717978.46921763185</v>
      </c>
      <c r="BS130" s="223">
        <v>-29945.052997121769</v>
      </c>
      <c r="BT130" s="223">
        <v>0</v>
      </c>
      <c r="BU130" s="223">
        <v>-3614223.9240198741</v>
      </c>
      <c r="BV130" s="223">
        <v>3637479.2504044957</v>
      </c>
      <c r="BW130" s="223">
        <f t="shared" si="75"/>
        <v>-747923.52221475367</v>
      </c>
      <c r="BX130" s="83">
        <f t="shared" si="82"/>
        <v>-747923.52221475367</v>
      </c>
      <c r="BY130" s="78">
        <f t="shared" si="76"/>
        <v>2915220.1097761327</v>
      </c>
      <c r="BZ130" s="70" t="e">
        <f t="shared" si="77"/>
        <v>#REF!</v>
      </c>
      <c r="CA130" s="70" t="e">
        <f t="shared" si="78"/>
        <v>#REF!</v>
      </c>
      <c r="CB130" s="71" t="e">
        <f t="shared" si="79"/>
        <v>#REF!</v>
      </c>
      <c r="CC130" s="270" t="e">
        <f t="shared" si="80"/>
        <v>#REF!</v>
      </c>
      <c r="CD130" s="201"/>
      <c r="CE130" s="69" t="e">
        <f t="shared" si="67"/>
        <v>#REF!</v>
      </c>
      <c r="CF130" s="71" t="e">
        <f t="shared" si="68"/>
        <v>#REF!</v>
      </c>
    </row>
    <row r="131" spans="1:84" ht="15" customHeight="1">
      <c r="A131" s="35">
        <f t="shared" si="69"/>
        <v>69</v>
      </c>
      <c r="B131" s="87"/>
      <c r="C131" s="36">
        <v>45352</v>
      </c>
      <c r="D131" s="75">
        <v>0</v>
      </c>
      <c r="E131" s="110">
        <v>0</v>
      </c>
      <c r="F131" s="110">
        <v>0</v>
      </c>
      <c r="G131" s="110">
        <v>0</v>
      </c>
      <c r="H131" s="76">
        <v>0</v>
      </c>
      <c r="I131" s="76">
        <v>0</v>
      </c>
      <c r="J131" s="77">
        <v>0</v>
      </c>
      <c r="K131" s="69">
        <f>+'Fluxo Consolidado'!D126</f>
        <v>1268342.8638095239</v>
      </c>
      <c r="L131" s="78">
        <f>+'Fluxo Consolidado'!E126</f>
        <v>1545628.39</v>
      </c>
      <c r="M131" s="78">
        <f>+'Fluxo Consolidado'!F126</f>
        <v>0</v>
      </c>
      <c r="N131" s="70">
        <v>0</v>
      </c>
      <c r="O131" s="242">
        <f t="shared" si="71"/>
        <v>0.05</v>
      </c>
      <c r="P131" s="70">
        <f>+'Fluxo Consolidado'!H126</f>
        <v>-77281.419500000004</v>
      </c>
      <c r="Q131" s="70">
        <f>+'Fluxo Consolidado'!I126</f>
        <v>82133.441500000015</v>
      </c>
      <c r="R131" s="79">
        <f>'Fluxo Consolidado'!J126</f>
        <v>796989.30156487972</v>
      </c>
      <c r="S131" s="79">
        <f>'Fluxo Consolidado'!K126</f>
        <v>50</v>
      </c>
      <c r="T131" s="79">
        <f t="shared" si="83"/>
        <v>0</v>
      </c>
      <c r="U131" s="79">
        <v>6</v>
      </c>
      <c r="V131" s="79">
        <f t="shared" si="81"/>
        <v>3615812.5773744034</v>
      </c>
      <c r="W131" s="79">
        <v>0</v>
      </c>
      <c r="X131" s="79">
        <v>0</v>
      </c>
      <c r="Y131" s="71">
        <v>0</v>
      </c>
      <c r="Z131" s="38">
        <f t="shared" si="70"/>
        <v>0</v>
      </c>
      <c r="AA131" s="80">
        <v>0</v>
      </c>
      <c r="AB131" s="81">
        <f>+'Fluxo Consolidado'!P126</f>
        <v>0</v>
      </c>
      <c r="AC131" s="208">
        <f>'Fluxo Consolidado'!Q126</f>
        <v>0</v>
      </c>
      <c r="AD131" s="81">
        <f>+'Fluxo Consolidado'!R126</f>
        <v>0</v>
      </c>
      <c r="AE131" s="81">
        <f>+'Fluxo Consolidado'!S126</f>
        <v>0</v>
      </c>
      <c r="AF131" s="208">
        <f>'Fluxo Consolidado'!T126</f>
        <v>0</v>
      </c>
      <c r="AG131" s="81">
        <f>+'Fluxo Consolidado'!U126</f>
        <v>0</v>
      </c>
      <c r="AH131" s="246">
        <f>+'Fluxo Consolidado'!V126</f>
        <v>0</v>
      </c>
      <c r="AI131" s="125" t="e">
        <f>+'Fluxo Consolidado'!#REF!</f>
        <v>#REF!</v>
      </c>
      <c r="AJ131" s="82">
        <f>+'Fluxo Consolidado'!X126</f>
        <v>0</v>
      </c>
      <c r="AK131" s="85">
        <v>0</v>
      </c>
      <c r="AL131" s="85">
        <f>+'Fluxo Consolidado'!Y126+'Fluxo Consolidado'!Z126+'Fluxo Consolidado'!AA126</f>
        <v>0</v>
      </c>
      <c r="AM131" s="85">
        <f>+'Fluxo Consolidado'!AB126+'Fluxo Consolidado'!AC126</f>
        <v>-61984.096383928569</v>
      </c>
      <c r="AN131" s="103">
        <f>+'Fluxo Consolidado'!AD126</f>
        <v>0</v>
      </c>
      <c r="AO131" s="85">
        <f>+'Fluxo Consolidado'!AF126+'Fluxo Consolidado'!AF126</f>
        <v>0</v>
      </c>
      <c r="AP131" s="83">
        <f>+'Fluxo Consolidado'!AG126</f>
        <v>0</v>
      </c>
      <c r="AQ131" s="119">
        <f>+'Fluxo Consolidado'!AH126</f>
        <v>-218393.29833637588</v>
      </c>
      <c r="AR131" s="85">
        <f>+'Fluxo Consolidado'!AI126</f>
        <v>-9209.81</v>
      </c>
      <c r="AS131" s="85">
        <f>+'Fluxo Consolidado'!AJ126</f>
        <v>-7969</v>
      </c>
      <c r="AT131" s="85">
        <v>0</v>
      </c>
      <c r="AU131" s="85">
        <f>+'Fluxo Consolidado'!AK126</f>
        <v>-13630.328868389215</v>
      </c>
      <c r="AV131" s="84">
        <f>+'Fluxo Consolidado'!AL126</f>
        <v>0</v>
      </c>
      <c r="AW131" s="82">
        <f t="shared" si="74"/>
        <v>-43678.659667275177</v>
      </c>
      <c r="AX131" s="82">
        <v>0</v>
      </c>
      <c r="AY131" s="82">
        <f>(-V130*$AY$1)+'Fluxo Consolidado'!AO126</f>
        <v>-145595.53222425058</v>
      </c>
      <c r="AZ131" s="84">
        <v>0</v>
      </c>
      <c r="BA131" s="122">
        <v>0</v>
      </c>
      <c r="BB131" s="81">
        <v>0</v>
      </c>
      <c r="BC131" s="81">
        <f>+'Fluxo Consolidado'!AP126</f>
        <v>0</v>
      </c>
      <c r="BD131" s="125">
        <f>+'Fluxo Consolidado'!AQ126</f>
        <v>0</v>
      </c>
      <c r="BE131" s="133"/>
      <c r="BF131" s="78">
        <f t="shared" si="65"/>
        <v>3615812.5773744034</v>
      </c>
      <c r="BG131" s="70" t="e">
        <f t="shared" si="66"/>
        <v>#REF!</v>
      </c>
      <c r="BH131" s="70" t="e">
        <f t="shared" si="72"/>
        <v>#REF!</v>
      </c>
      <c r="BI131" s="71" t="e">
        <f t="shared" si="73"/>
        <v>#REF!</v>
      </c>
      <c r="BJ131" s="201" t="e">
        <f t="shared" si="61"/>
        <v>#REF!</v>
      </c>
      <c r="BQ131" s="82">
        <v>0</v>
      </c>
      <c r="BR131" s="223">
        <v>-712878.86068640219</v>
      </c>
      <c r="BS131" s="223">
        <v>-29415.128315096772</v>
      </c>
      <c r="BT131" s="223">
        <v>0</v>
      </c>
      <c r="BU131" s="223">
        <v>-3589232.8056123122</v>
      </c>
      <c r="BV131" s="223">
        <v>3614223.9240198741</v>
      </c>
      <c r="BW131" s="223">
        <f t="shared" si="75"/>
        <v>-742293.98900149891</v>
      </c>
      <c r="BX131" s="83">
        <f t="shared" si="82"/>
        <v>-742293.98900149891</v>
      </c>
      <c r="BY131" s="78">
        <f t="shared" si="76"/>
        <v>2898509.7067804663</v>
      </c>
      <c r="BZ131" s="70" t="e">
        <f t="shared" si="77"/>
        <v>#REF!</v>
      </c>
      <c r="CA131" s="70" t="e">
        <f t="shared" si="78"/>
        <v>#REF!</v>
      </c>
      <c r="CB131" s="71" t="e">
        <f t="shared" si="79"/>
        <v>#REF!</v>
      </c>
      <c r="CC131" s="270" t="e">
        <f t="shared" si="80"/>
        <v>#REF!</v>
      </c>
      <c r="CD131" s="201"/>
      <c r="CE131" s="69" t="e">
        <f t="shared" si="67"/>
        <v>#REF!</v>
      </c>
      <c r="CF131" s="71" t="e">
        <f t="shared" si="68"/>
        <v>#REF!</v>
      </c>
    </row>
    <row r="132" spans="1:84" ht="15" customHeight="1">
      <c r="A132" s="35">
        <f t="shared" si="69"/>
        <v>70</v>
      </c>
      <c r="B132" s="87"/>
      <c r="C132" s="36">
        <v>45383</v>
      </c>
      <c r="D132" s="75">
        <v>0</v>
      </c>
      <c r="E132" s="110">
        <v>0</v>
      </c>
      <c r="F132" s="110">
        <v>0</v>
      </c>
      <c r="G132" s="110">
        <v>0</v>
      </c>
      <c r="H132" s="76">
        <v>0</v>
      </c>
      <c r="I132" s="76">
        <v>0</v>
      </c>
      <c r="J132" s="77">
        <v>0</v>
      </c>
      <c r="K132" s="69">
        <f>+'Fluxo Consolidado'!D127</f>
        <v>1268342.8638095239</v>
      </c>
      <c r="L132" s="78">
        <f>+'Fluxo Consolidado'!E127</f>
        <v>1502945.48</v>
      </c>
      <c r="M132" s="78">
        <f>+'Fluxo Consolidado'!F127</f>
        <v>0</v>
      </c>
      <c r="N132" s="70">
        <v>0</v>
      </c>
      <c r="O132" s="242">
        <f t="shared" si="71"/>
        <v>0.05</v>
      </c>
      <c r="P132" s="70">
        <f>+'Fluxo Consolidado'!H127</f>
        <v>-75147.274000000005</v>
      </c>
      <c r="Q132" s="70">
        <f>+'Fluxo Consolidado'!I127</f>
        <v>80638.421000000002</v>
      </c>
      <c r="R132" s="79">
        <f>'Fluxo Consolidado'!J127</f>
        <v>802681.34331334569</v>
      </c>
      <c r="S132" s="79">
        <f>'Fluxo Consolidado'!K127</f>
        <v>51</v>
      </c>
      <c r="T132" s="79">
        <f t="shared" si="83"/>
        <v>0</v>
      </c>
      <c r="U132" s="79">
        <v>6</v>
      </c>
      <c r="V132" s="79">
        <f t="shared" si="81"/>
        <v>3579460.8341228697</v>
      </c>
      <c r="W132" s="79">
        <v>0</v>
      </c>
      <c r="X132" s="79">
        <v>0</v>
      </c>
      <c r="Y132" s="71">
        <v>0</v>
      </c>
      <c r="Z132" s="38">
        <f t="shared" si="70"/>
        <v>0</v>
      </c>
      <c r="AA132" s="80">
        <v>0</v>
      </c>
      <c r="AB132" s="81">
        <f>+'Fluxo Consolidado'!P127</f>
        <v>0</v>
      </c>
      <c r="AC132" s="208">
        <f>'Fluxo Consolidado'!Q127</f>
        <v>0</v>
      </c>
      <c r="AD132" s="81">
        <f>+'Fluxo Consolidado'!R127</f>
        <v>0</v>
      </c>
      <c r="AE132" s="81">
        <f>+'Fluxo Consolidado'!S127</f>
        <v>0</v>
      </c>
      <c r="AF132" s="208">
        <f>'Fluxo Consolidado'!T127</f>
        <v>0</v>
      </c>
      <c r="AG132" s="81">
        <f>+'Fluxo Consolidado'!U127</f>
        <v>0</v>
      </c>
      <c r="AH132" s="246">
        <f>+'Fluxo Consolidado'!V127</f>
        <v>0</v>
      </c>
      <c r="AI132" s="125" t="e">
        <f>+'Fluxo Consolidado'!#REF!</f>
        <v>#REF!</v>
      </c>
      <c r="AJ132" s="82">
        <f>+'Fluxo Consolidado'!X127</f>
        <v>0</v>
      </c>
      <c r="AK132" s="85">
        <v>0</v>
      </c>
      <c r="AL132" s="85">
        <f>+'Fluxo Consolidado'!Y127+'Fluxo Consolidado'!Z127+'Fluxo Consolidado'!AA127</f>
        <v>0</v>
      </c>
      <c r="AM132" s="85">
        <f>+'Fluxo Consolidado'!AB127+'Fluxo Consolidado'!AC127</f>
        <v>-61011.976383928573</v>
      </c>
      <c r="AN132" s="103">
        <f>+'Fluxo Consolidado'!AD127</f>
        <v>0</v>
      </c>
      <c r="AO132" s="85">
        <f>+'Fluxo Consolidado'!AF127+'Fluxo Consolidado'!AF127</f>
        <v>0</v>
      </c>
      <c r="AP132" s="83">
        <f>+'Fluxo Consolidado'!AG127</f>
        <v>0</v>
      </c>
      <c r="AQ132" s="119">
        <f>+'Fluxo Consolidado'!AH127</f>
        <v>-216948.75464246419</v>
      </c>
      <c r="AR132" s="85">
        <f>+'Fluxo Consolidado'!AI127</f>
        <v>-9209.81</v>
      </c>
      <c r="AS132" s="85">
        <f>+'Fluxo Consolidado'!AJ127</f>
        <v>-23969</v>
      </c>
      <c r="AT132" s="85">
        <v>0</v>
      </c>
      <c r="AU132" s="85">
        <f>+'Fluxo Consolidado'!AK127</f>
        <v>-13452.858169797679</v>
      </c>
      <c r="AV132" s="84">
        <f>+'Fluxo Consolidado'!AL127</f>
        <v>0</v>
      </c>
      <c r="AW132" s="82">
        <f t="shared" si="74"/>
        <v>-43389.750928492838</v>
      </c>
      <c r="AX132" s="82">
        <v>0</v>
      </c>
      <c r="AY132" s="82">
        <f>(-V131*$AY$1)+'Fluxo Consolidado'!AO127</f>
        <v>-144632.50309497613</v>
      </c>
      <c r="AZ132" s="84">
        <v>0</v>
      </c>
      <c r="BA132" s="122">
        <v>0</v>
      </c>
      <c r="BB132" s="81">
        <v>0</v>
      </c>
      <c r="BC132" s="81">
        <f>+'Fluxo Consolidado'!AP127</f>
        <v>0</v>
      </c>
      <c r="BD132" s="125">
        <f>+'Fluxo Consolidado'!AQ127</f>
        <v>0</v>
      </c>
      <c r="BE132" s="133"/>
      <c r="BF132" s="78">
        <f t="shared" si="65"/>
        <v>3579460.8341228697</v>
      </c>
      <c r="BG132" s="70" t="e">
        <f t="shared" si="66"/>
        <v>#REF!</v>
      </c>
      <c r="BH132" s="70" t="e">
        <f t="shared" si="72"/>
        <v>#REF!</v>
      </c>
      <c r="BI132" s="71" t="e">
        <f t="shared" si="73"/>
        <v>#REF!</v>
      </c>
      <c r="BJ132" s="201" t="e">
        <f t="shared" si="61"/>
        <v>#REF!</v>
      </c>
      <c r="BQ132" s="82">
        <v>0</v>
      </c>
      <c r="BR132" s="223">
        <v>-707779.25215517241</v>
      </c>
      <c r="BS132" s="223">
        <v>-28900.2286855528</v>
      </c>
      <c r="BT132" s="223">
        <v>0</v>
      </c>
      <c r="BU132" s="223">
        <v>-3552478.8243109873</v>
      </c>
      <c r="BV132" s="223">
        <v>3589232.8056123122</v>
      </c>
      <c r="BW132" s="223">
        <f t="shared" si="75"/>
        <v>-736679.48084072524</v>
      </c>
      <c r="BX132" s="83">
        <f t="shared" si="82"/>
        <v>-736679.48084072524</v>
      </c>
      <c r="BY132" s="78">
        <f t="shared" si="76"/>
        <v>2879535.3345834697</v>
      </c>
      <c r="BZ132" s="70" t="e">
        <f t="shared" si="77"/>
        <v>#REF!</v>
      </c>
      <c r="CA132" s="70" t="e">
        <f t="shared" si="78"/>
        <v>#REF!</v>
      </c>
      <c r="CB132" s="71" t="e">
        <f t="shared" si="79"/>
        <v>#REF!</v>
      </c>
      <c r="CC132" s="270" t="e">
        <f t="shared" si="80"/>
        <v>#REF!</v>
      </c>
      <c r="CD132" s="201"/>
      <c r="CE132" s="69" t="e">
        <f t="shared" si="67"/>
        <v>#REF!</v>
      </c>
      <c r="CF132" s="71" t="e">
        <f t="shared" si="68"/>
        <v>#REF!</v>
      </c>
    </row>
    <row r="133" spans="1:84" ht="15" customHeight="1">
      <c r="A133" s="35">
        <f t="shared" si="69"/>
        <v>71</v>
      </c>
      <c r="B133" s="87"/>
      <c r="C133" s="36">
        <v>45413</v>
      </c>
      <c r="D133" s="75">
        <v>0</v>
      </c>
      <c r="E133" s="110">
        <v>0</v>
      </c>
      <c r="F133" s="110">
        <v>0</v>
      </c>
      <c r="G133" s="110">
        <v>0</v>
      </c>
      <c r="H133" s="76">
        <v>0</v>
      </c>
      <c r="I133" s="76">
        <v>0</v>
      </c>
      <c r="J133" s="77">
        <v>0</v>
      </c>
      <c r="K133" s="69">
        <f>+'Fluxo Consolidado'!D128</f>
        <v>1268342.8638095239</v>
      </c>
      <c r="L133" s="78">
        <f>+'Fluxo Consolidado'!E128</f>
        <v>1488511.76</v>
      </c>
      <c r="M133" s="78">
        <f>+'Fluxo Consolidado'!F128</f>
        <v>0</v>
      </c>
      <c r="N133" s="70">
        <v>0</v>
      </c>
      <c r="O133" s="242">
        <f t="shared" si="71"/>
        <v>0.05</v>
      </c>
      <c r="P133" s="70">
        <f>+'Fluxo Consolidado'!H128</f>
        <v>-74425.588000000003</v>
      </c>
      <c r="Q133" s="70">
        <f>+'Fluxo Consolidado'!I128</f>
        <v>78971.869000000006</v>
      </c>
      <c r="R133" s="79">
        <f>'Fluxo Consolidado'!J128</f>
        <v>816277.50937526254</v>
      </c>
      <c r="S133" s="79">
        <f>'Fluxo Consolidado'!K128</f>
        <v>52</v>
      </c>
      <c r="T133" s="79">
        <f t="shared" si="83"/>
        <v>0</v>
      </c>
      <c r="U133" s="79">
        <v>6</v>
      </c>
      <c r="V133" s="79">
        <f t="shared" si="81"/>
        <v>3577678.4141847864</v>
      </c>
      <c r="W133" s="79">
        <v>0</v>
      </c>
      <c r="X133" s="79">
        <v>0</v>
      </c>
      <c r="Y133" s="71">
        <v>0</v>
      </c>
      <c r="Z133" s="38">
        <f t="shared" si="70"/>
        <v>0</v>
      </c>
      <c r="AA133" s="80">
        <v>0</v>
      </c>
      <c r="AB133" s="81">
        <f>+'Fluxo Consolidado'!P128</f>
        <v>0</v>
      </c>
      <c r="AC133" s="208">
        <f>'Fluxo Consolidado'!Q128</f>
        <v>0</v>
      </c>
      <c r="AD133" s="81">
        <f>+'Fluxo Consolidado'!R128</f>
        <v>0</v>
      </c>
      <c r="AE133" s="81">
        <f>+'Fluxo Consolidado'!S128</f>
        <v>0</v>
      </c>
      <c r="AF133" s="208">
        <f>'Fluxo Consolidado'!T128</f>
        <v>0</v>
      </c>
      <c r="AG133" s="81">
        <f>+'Fluxo Consolidado'!U128</f>
        <v>0</v>
      </c>
      <c r="AH133" s="246">
        <f>+'Fluxo Consolidado'!V128</f>
        <v>0</v>
      </c>
      <c r="AI133" s="125" t="e">
        <f>+'Fluxo Consolidado'!#REF!</f>
        <v>#REF!</v>
      </c>
      <c r="AJ133" s="82">
        <f>+'Fluxo Consolidado'!X128</f>
        <v>0</v>
      </c>
      <c r="AK133" s="85">
        <v>0</v>
      </c>
      <c r="AL133" s="85">
        <f>+'Fluxo Consolidado'!Y128+'Fluxo Consolidado'!Z128+'Fluxo Consolidado'!AA128</f>
        <v>0</v>
      </c>
      <c r="AM133" s="85">
        <f>+'Fluxo Consolidado'!AB128+'Fluxo Consolidado'!AC128</f>
        <v>-60533.366383928573</v>
      </c>
      <c r="AN133" s="103">
        <f>+'Fluxo Consolidado'!AD128</f>
        <v>0</v>
      </c>
      <c r="AO133" s="85">
        <f>+'Fluxo Consolidado'!AF128+'Fluxo Consolidado'!AF128</f>
        <v>0</v>
      </c>
      <c r="AP133" s="83">
        <f>+'Fluxo Consolidado'!AG128</f>
        <v>0</v>
      </c>
      <c r="AQ133" s="119">
        <f>+'Fluxo Consolidado'!AH128</f>
        <v>-214767.65004737218</v>
      </c>
      <c r="AR133" s="85">
        <f>+'Fluxo Consolidado'!AI128</f>
        <v>-9209.81</v>
      </c>
      <c r="AS133" s="85">
        <f>+'Fluxo Consolidado'!AJ128</f>
        <v>-23969</v>
      </c>
      <c r="AT133" s="85">
        <v>0</v>
      </c>
      <c r="AU133" s="85">
        <f>+'Fluxo Consolidado'!AK128</f>
        <v>-13232.765262340678</v>
      </c>
      <c r="AV133" s="84">
        <f>+'Fluxo Consolidado'!AL128</f>
        <v>0</v>
      </c>
      <c r="AW133" s="82">
        <f t="shared" si="74"/>
        <v>-42953.530009474438</v>
      </c>
      <c r="AX133" s="82">
        <v>0</v>
      </c>
      <c r="AY133" s="82">
        <f>(-V132*$AY$1)+'Fluxo Consolidado'!AO128</f>
        <v>-143178.43336491479</v>
      </c>
      <c r="AZ133" s="84">
        <v>0</v>
      </c>
      <c r="BA133" s="122">
        <v>0</v>
      </c>
      <c r="BB133" s="81">
        <v>0</v>
      </c>
      <c r="BC133" s="81">
        <f>+'Fluxo Consolidado'!AP128</f>
        <v>0</v>
      </c>
      <c r="BD133" s="125">
        <f>+'Fluxo Consolidado'!AQ128</f>
        <v>0</v>
      </c>
      <c r="BE133" s="133"/>
      <c r="BF133" s="78">
        <f t="shared" si="65"/>
        <v>3577678.4141847864</v>
      </c>
      <c r="BG133" s="70" t="e">
        <f t="shared" si="66"/>
        <v>#REF!</v>
      </c>
      <c r="BH133" s="70" t="e">
        <f t="shared" si="72"/>
        <v>#REF!</v>
      </c>
      <c r="BI133" s="71" t="e">
        <f t="shared" si="73"/>
        <v>#REF!</v>
      </c>
      <c r="BJ133" s="201" t="e">
        <f t="shared" si="61"/>
        <v>#REF!</v>
      </c>
      <c r="BQ133" s="82">
        <v>0</v>
      </c>
      <c r="BR133" s="223">
        <v>-702679.64362394286</v>
      </c>
      <c r="BS133" s="223">
        <v>-28399.928100399055</v>
      </c>
      <c r="BT133" s="223">
        <v>0</v>
      </c>
      <c r="BU133" s="223">
        <v>-3550391.098000315</v>
      </c>
      <c r="BV133" s="223">
        <v>3552478.8243109873</v>
      </c>
      <c r="BW133" s="223">
        <f t="shared" si="75"/>
        <v>-731079.57172434195</v>
      </c>
      <c r="BX133" s="83">
        <f t="shared" si="82"/>
        <v>-731079.57172434195</v>
      </c>
      <c r="BY133" s="78">
        <f t="shared" si="76"/>
        <v>2848686.5687711164</v>
      </c>
      <c r="BZ133" s="70" t="e">
        <f t="shared" si="77"/>
        <v>#REF!</v>
      </c>
      <c r="CA133" s="70" t="e">
        <f t="shared" si="78"/>
        <v>#REF!</v>
      </c>
      <c r="CB133" s="71" t="e">
        <f t="shared" si="79"/>
        <v>#REF!</v>
      </c>
      <c r="CC133" s="270" t="e">
        <f t="shared" si="80"/>
        <v>#REF!</v>
      </c>
      <c r="CD133" s="201"/>
      <c r="CE133" s="69" t="e">
        <f t="shared" si="67"/>
        <v>#REF!</v>
      </c>
      <c r="CF133" s="71" t="e">
        <f t="shared" si="68"/>
        <v>#REF!</v>
      </c>
    </row>
    <row r="134" spans="1:84" ht="15" customHeight="1">
      <c r="A134" s="35">
        <f t="shared" si="69"/>
        <v>72</v>
      </c>
      <c r="B134" s="87"/>
      <c r="C134" s="36">
        <v>45444</v>
      </c>
      <c r="D134" s="75">
        <v>0</v>
      </c>
      <c r="E134" s="110">
        <v>0</v>
      </c>
      <c r="F134" s="110">
        <v>0</v>
      </c>
      <c r="G134" s="110">
        <v>0</v>
      </c>
      <c r="H134" s="76">
        <v>0</v>
      </c>
      <c r="I134" s="76">
        <v>0</v>
      </c>
      <c r="J134" s="77">
        <v>0</v>
      </c>
      <c r="K134" s="69">
        <f>+'Fluxo Consolidado'!D129</f>
        <v>1268342.8638095239</v>
      </c>
      <c r="L134" s="78">
        <f>+'Fluxo Consolidado'!E129</f>
        <v>1469713.09</v>
      </c>
      <c r="M134" s="78">
        <f>+'Fluxo Consolidado'!F129</f>
        <v>0</v>
      </c>
      <c r="N134" s="70">
        <v>0</v>
      </c>
      <c r="O134" s="242">
        <f t="shared" si="71"/>
        <v>0.05</v>
      </c>
      <c r="P134" s="70">
        <f>+'Fluxo Consolidado'!H129</f>
        <v>-73485.654500000004</v>
      </c>
      <c r="Q134" s="70">
        <f>+'Fluxo Consolidado'!I129</f>
        <v>77281.419500000004</v>
      </c>
      <c r="R134" s="79">
        <f>'Fluxo Consolidado'!J129</f>
        <v>828455.24509551376</v>
      </c>
      <c r="S134" s="79">
        <f>'Fluxo Consolidado'!K129</f>
        <v>53</v>
      </c>
      <c r="T134" s="79">
        <f t="shared" si="83"/>
        <v>0</v>
      </c>
      <c r="U134" s="79">
        <v>6</v>
      </c>
      <c r="V134" s="79">
        <f t="shared" si="81"/>
        <v>3570306.9639050374</v>
      </c>
      <c r="W134" s="79">
        <v>0</v>
      </c>
      <c r="X134" s="79">
        <v>0</v>
      </c>
      <c r="Y134" s="71">
        <v>0</v>
      </c>
      <c r="Z134" s="38">
        <f t="shared" si="70"/>
        <v>0</v>
      </c>
      <c r="AA134" s="80">
        <v>0</v>
      </c>
      <c r="AB134" s="81">
        <f>+'Fluxo Consolidado'!P129</f>
        <v>0</v>
      </c>
      <c r="AC134" s="208">
        <f>'Fluxo Consolidado'!Q129</f>
        <v>0</v>
      </c>
      <c r="AD134" s="81">
        <f>+'Fluxo Consolidado'!R129</f>
        <v>0</v>
      </c>
      <c r="AE134" s="81">
        <f>+'Fluxo Consolidado'!S129</f>
        <v>0</v>
      </c>
      <c r="AF134" s="208">
        <f>'Fluxo Consolidado'!T129</f>
        <v>0</v>
      </c>
      <c r="AG134" s="81">
        <f>+'Fluxo Consolidado'!U129</f>
        <v>0</v>
      </c>
      <c r="AH134" s="246">
        <f>+'Fluxo Consolidado'!V129</f>
        <v>0</v>
      </c>
      <c r="AI134" s="125" t="e">
        <f>+'Fluxo Consolidado'!#REF!</f>
        <v>#REF!</v>
      </c>
      <c r="AJ134" s="82">
        <f>+'Fluxo Consolidado'!X129</f>
        <v>0</v>
      </c>
      <c r="AK134" s="85">
        <v>0</v>
      </c>
      <c r="AL134" s="85">
        <f>+'Fluxo Consolidado'!Y129+'Fluxo Consolidado'!Z129+'Fluxo Consolidado'!AA129</f>
        <v>0</v>
      </c>
      <c r="AM134" s="85">
        <f>+'Fluxo Consolidado'!AB129+'Fluxo Consolidado'!AC129</f>
        <v>-60019.346383928569</v>
      </c>
      <c r="AN134" s="103">
        <f>+'Fluxo Consolidado'!AD129</f>
        <v>0</v>
      </c>
      <c r="AO134" s="85">
        <f>+'Fluxo Consolidado'!AF129+'Fluxo Consolidado'!AF129</f>
        <v>0</v>
      </c>
      <c r="AP134" s="83">
        <f>+'Fluxo Consolidado'!AG129</f>
        <v>0</v>
      </c>
      <c r="AQ134" s="119">
        <f>+'Fluxo Consolidado'!AH129</f>
        <v>-214660.70485108718</v>
      </c>
      <c r="AR134" s="85">
        <f>+'Fluxo Consolidado'!AI129</f>
        <v>-9209.81</v>
      </c>
      <c r="AS134" s="85">
        <f>+'Fluxo Consolidado'!AJ129</f>
        <v>-7969</v>
      </c>
      <c r="AT134" s="85">
        <v>0</v>
      </c>
      <c r="AU134" s="85">
        <f>+'Fluxo Consolidado'!AK129</f>
        <v>-13143.235382819434</v>
      </c>
      <c r="AV134" s="84">
        <f>+'Fluxo Consolidado'!AL129</f>
        <v>0</v>
      </c>
      <c r="AW134" s="82">
        <f t="shared" si="74"/>
        <v>-42932.140970217435</v>
      </c>
      <c r="AX134" s="82">
        <v>0</v>
      </c>
      <c r="AY134" s="82">
        <f>(-V133*$AY$1)+'Fluxo Consolidado'!AO129</f>
        <v>-143107.13656739146</v>
      </c>
      <c r="AZ134" s="84">
        <v>0</v>
      </c>
      <c r="BA134" s="122">
        <v>0</v>
      </c>
      <c r="BB134" s="81">
        <v>0</v>
      </c>
      <c r="BC134" s="81">
        <f>+'Fluxo Consolidado'!AP129</f>
        <v>0</v>
      </c>
      <c r="BD134" s="125">
        <f>+'Fluxo Consolidado'!AQ129</f>
        <v>0</v>
      </c>
      <c r="BE134" s="133"/>
      <c r="BF134" s="78">
        <f t="shared" si="65"/>
        <v>3570306.9639050374</v>
      </c>
      <c r="BG134" s="70" t="e">
        <f t="shared" si="66"/>
        <v>#REF!</v>
      </c>
      <c r="BH134" s="70" t="e">
        <f t="shared" si="72"/>
        <v>#REF!</v>
      </c>
      <c r="BI134" s="71" t="e">
        <f t="shared" si="73"/>
        <v>#REF!</v>
      </c>
      <c r="BJ134" s="201" t="e">
        <f t="shared" si="61"/>
        <v>#REF!</v>
      </c>
      <c r="BQ134" s="82">
        <v>0</v>
      </c>
      <c r="BR134" s="223">
        <v>-697580.03509271319</v>
      </c>
      <c r="BS134" s="223">
        <v>-27913.812630230896</v>
      </c>
      <c r="BT134" s="223">
        <v>0</v>
      </c>
      <c r="BU134" s="223">
        <v>-3542911.5402363231</v>
      </c>
      <c r="BV134" s="223">
        <v>3550391.098000315</v>
      </c>
      <c r="BW134" s="223">
        <f t="shared" si="75"/>
        <v>-725493.84772294411</v>
      </c>
      <c r="BX134" s="83">
        <f t="shared" si="82"/>
        <v>-725493.84772294411</v>
      </c>
      <c r="BY134" s="78">
        <f t="shared" si="76"/>
        <v>2852292.6739460849</v>
      </c>
      <c r="BZ134" s="70" t="e">
        <f t="shared" si="77"/>
        <v>#REF!</v>
      </c>
      <c r="CA134" s="70" t="e">
        <f t="shared" si="78"/>
        <v>#REF!</v>
      </c>
      <c r="CB134" s="71" t="e">
        <f t="shared" si="79"/>
        <v>#REF!</v>
      </c>
      <c r="CC134" s="270" t="e">
        <f t="shared" si="80"/>
        <v>#REF!</v>
      </c>
      <c r="CD134" s="201"/>
      <c r="CE134" s="69" t="e">
        <f t="shared" si="67"/>
        <v>#REF!</v>
      </c>
      <c r="CF134" s="71" t="e">
        <f t="shared" si="68"/>
        <v>#REF!</v>
      </c>
    </row>
    <row r="135" spans="1:84" ht="15" customHeight="1">
      <c r="A135" s="35">
        <f t="shared" si="69"/>
        <v>73</v>
      </c>
      <c r="B135" s="87"/>
      <c r="C135" s="36">
        <v>45474</v>
      </c>
      <c r="D135" s="75">
        <v>0</v>
      </c>
      <c r="E135" s="110">
        <v>0</v>
      </c>
      <c r="F135" s="110">
        <v>0</v>
      </c>
      <c r="G135" s="110">
        <v>0</v>
      </c>
      <c r="H135" s="76">
        <v>0</v>
      </c>
      <c r="I135" s="76">
        <v>0</v>
      </c>
      <c r="J135" s="77">
        <v>0</v>
      </c>
      <c r="K135" s="69">
        <f>+'Fluxo Consolidado'!D130</f>
        <v>1268342.8638095239</v>
      </c>
      <c r="L135" s="78">
        <f>+'Fluxo Consolidado'!E130</f>
        <v>1440998.3999999999</v>
      </c>
      <c r="M135" s="78">
        <f>+'Fluxo Consolidado'!F130</f>
        <v>0</v>
      </c>
      <c r="N135" s="70">
        <v>0</v>
      </c>
      <c r="O135" s="242">
        <f t="shared" si="71"/>
        <v>0.05</v>
      </c>
      <c r="P135" s="70">
        <f>+'Fluxo Consolidado'!H130</f>
        <v>-72049.919999999998</v>
      </c>
      <c r="Q135" s="70">
        <f>+'Fluxo Consolidado'!I130</f>
        <v>75147.274000000005</v>
      </c>
      <c r="R135" s="79">
        <f>'Fluxo Consolidado'!J130</f>
        <v>837412.5654231878</v>
      </c>
      <c r="S135" s="79">
        <f>'Fluxo Consolidado'!K130</f>
        <v>54</v>
      </c>
      <c r="T135" s="79">
        <f t="shared" si="83"/>
        <v>0</v>
      </c>
      <c r="U135" s="79">
        <v>6</v>
      </c>
      <c r="V135" s="79">
        <f t="shared" si="81"/>
        <v>3549851.1832327116</v>
      </c>
      <c r="W135" s="79">
        <v>0</v>
      </c>
      <c r="X135" s="79">
        <v>0</v>
      </c>
      <c r="Y135" s="71">
        <v>0</v>
      </c>
      <c r="Z135" s="38">
        <f t="shared" si="70"/>
        <v>0</v>
      </c>
      <c r="AA135" s="80">
        <v>0</v>
      </c>
      <c r="AB135" s="81">
        <f>+'Fluxo Consolidado'!P130</f>
        <v>0</v>
      </c>
      <c r="AC135" s="208">
        <f>'Fluxo Consolidado'!Q130</f>
        <v>0</v>
      </c>
      <c r="AD135" s="81">
        <f>+'Fluxo Consolidado'!R130</f>
        <v>0</v>
      </c>
      <c r="AE135" s="81">
        <f>+'Fluxo Consolidado'!S130</f>
        <v>0</v>
      </c>
      <c r="AF135" s="208">
        <f>'Fluxo Consolidado'!T130</f>
        <v>0</v>
      </c>
      <c r="AG135" s="81">
        <f>+'Fluxo Consolidado'!U130</f>
        <v>0</v>
      </c>
      <c r="AH135" s="246">
        <f>+'Fluxo Consolidado'!V130</f>
        <v>0</v>
      </c>
      <c r="AI135" s="125" t="e">
        <f>+'Fluxo Consolidado'!#REF!</f>
        <v>#REF!</v>
      </c>
      <c r="AJ135" s="82">
        <f>+'Fluxo Consolidado'!X130</f>
        <v>0</v>
      </c>
      <c r="AK135" s="85">
        <v>0</v>
      </c>
      <c r="AL135" s="85">
        <f>+'Fluxo Consolidado'!Y130+'Fluxo Consolidado'!Z130+'Fluxo Consolidado'!AA130</f>
        <v>0</v>
      </c>
      <c r="AM135" s="85">
        <f>+'Fluxo Consolidado'!AB130+'Fluxo Consolidado'!AC130</f>
        <v>-59374.616383928573</v>
      </c>
      <c r="AN135" s="103">
        <f>+'Fluxo Consolidado'!AD130</f>
        <v>0</v>
      </c>
      <c r="AO135" s="85">
        <f>+'Fluxo Consolidado'!AF130+'Fluxo Consolidado'!AF130</f>
        <v>0</v>
      </c>
      <c r="AP135" s="83">
        <f>+'Fluxo Consolidado'!AG130</f>
        <v>0</v>
      </c>
      <c r="AQ135" s="119">
        <f>+'Fluxo Consolidado'!AH130</f>
        <v>-214218.41783430224</v>
      </c>
      <c r="AR135" s="85">
        <f>+'Fluxo Consolidado'!AI130</f>
        <v>-9209.81</v>
      </c>
      <c r="AS135" s="85">
        <f>+'Fluxo Consolidado'!AJ130</f>
        <v>-1000</v>
      </c>
      <c r="AT135" s="85">
        <v>0</v>
      </c>
      <c r="AU135" s="85">
        <f>+'Fluxo Consolidado'!AK130</f>
        <v>-13016.683653897662</v>
      </c>
      <c r="AV135" s="84">
        <f>+'Fluxo Consolidado'!AL130</f>
        <v>0</v>
      </c>
      <c r="AW135" s="82">
        <f t="shared" si="74"/>
        <v>-42843.683566860447</v>
      </c>
      <c r="AX135" s="82">
        <v>0</v>
      </c>
      <c r="AY135" s="82">
        <f>(-V134*$AY$1)+'Fluxo Consolidado'!AO130</f>
        <v>-142812.27855620149</v>
      </c>
      <c r="AZ135" s="84">
        <v>0</v>
      </c>
      <c r="BA135" s="122">
        <v>0</v>
      </c>
      <c r="BB135" s="81">
        <v>0</v>
      </c>
      <c r="BC135" s="81">
        <f>+'Fluxo Consolidado'!AP130</f>
        <v>0</v>
      </c>
      <c r="BD135" s="125">
        <f>+'Fluxo Consolidado'!AQ130</f>
        <v>0</v>
      </c>
      <c r="BE135" s="133"/>
      <c r="BF135" s="78">
        <f t="shared" si="65"/>
        <v>3549851.1832327116</v>
      </c>
      <c r="BG135" s="70" t="e">
        <f t="shared" si="66"/>
        <v>#REF!</v>
      </c>
      <c r="BH135" s="70" t="e">
        <f t="shared" si="72"/>
        <v>#REF!</v>
      </c>
      <c r="BI135" s="71" t="e">
        <f t="shared" si="73"/>
        <v>#REF!</v>
      </c>
      <c r="BJ135" s="201" t="e">
        <f t="shared" si="61"/>
        <v>#REF!</v>
      </c>
      <c r="BQ135" s="82">
        <v>0</v>
      </c>
      <c r="BR135" s="223">
        <v>-692480.42656148341</v>
      </c>
      <c r="BS135" s="223">
        <v>-27441.48008186062</v>
      </c>
      <c r="BT135" s="223">
        <v>0</v>
      </c>
      <c r="BU135" s="223">
        <v>-3522406.2878041239</v>
      </c>
      <c r="BV135" s="223">
        <v>3542911.5402363231</v>
      </c>
      <c r="BW135" s="223">
        <f t="shared" si="75"/>
        <v>-719921.90664334409</v>
      </c>
      <c r="BX135" s="83">
        <f t="shared" si="82"/>
        <v>-719921.90664334409</v>
      </c>
      <c r="BY135" s="78">
        <f t="shared" si="76"/>
        <v>2850434.5290215672</v>
      </c>
      <c r="BZ135" s="70" t="e">
        <f t="shared" si="77"/>
        <v>#REF!</v>
      </c>
      <c r="CA135" s="70" t="e">
        <f t="shared" si="78"/>
        <v>#REF!</v>
      </c>
      <c r="CB135" s="71" t="e">
        <f t="shared" si="79"/>
        <v>#REF!</v>
      </c>
      <c r="CC135" s="270" t="e">
        <f t="shared" si="80"/>
        <v>#REF!</v>
      </c>
      <c r="CD135" s="201"/>
      <c r="CE135" s="69" t="e">
        <f t="shared" si="67"/>
        <v>#REF!</v>
      </c>
      <c r="CF135" s="71" t="e">
        <f t="shared" si="68"/>
        <v>#REF!</v>
      </c>
    </row>
    <row r="136" spans="1:84" ht="15" customHeight="1">
      <c r="A136" s="35">
        <f t="shared" si="69"/>
        <v>74</v>
      </c>
      <c r="B136" s="87"/>
      <c r="C136" s="36">
        <v>45505</v>
      </c>
      <c r="D136" s="75">
        <v>0</v>
      </c>
      <c r="E136" s="110">
        <v>0</v>
      </c>
      <c r="F136" s="110">
        <v>0</v>
      </c>
      <c r="G136" s="110">
        <v>0</v>
      </c>
      <c r="H136" s="76">
        <v>0</v>
      </c>
      <c r="I136" s="76">
        <v>0</v>
      </c>
      <c r="J136" s="77">
        <v>0</v>
      </c>
      <c r="K136" s="69">
        <f>+'Fluxo Consolidado'!D131</f>
        <v>1268342.8638095239</v>
      </c>
      <c r="L136" s="78">
        <f>+'Fluxo Consolidado'!E131</f>
        <v>1395045.23</v>
      </c>
      <c r="M136" s="78">
        <f>+'Fluxo Consolidado'!F131</f>
        <v>0</v>
      </c>
      <c r="N136" s="70">
        <v>0</v>
      </c>
      <c r="O136" s="242">
        <f t="shared" si="71"/>
        <v>0.05</v>
      </c>
      <c r="P136" s="70">
        <f>+'Fluxo Consolidado'!H131</f>
        <v>-69752.261500000008</v>
      </c>
      <c r="Q136" s="70">
        <f>+'Fluxo Consolidado'!I131</f>
        <v>74425.588000000003</v>
      </c>
      <c r="R136" s="79">
        <f>'Fluxo Consolidado'!J131</f>
        <v>840642.18722835183</v>
      </c>
      <c r="S136" s="79">
        <f>'Fluxo Consolidado'!K131</f>
        <v>55</v>
      </c>
      <c r="T136" s="79">
        <f t="shared" si="83"/>
        <v>0</v>
      </c>
      <c r="U136" s="79">
        <v>6</v>
      </c>
      <c r="V136" s="79">
        <f t="shared" si="81"/>
        <v>3508703.6075378754</v>
      </c>
      <c r="W136" s="79">
        <v>0</v>
      </c>
      <c r="X136" s="79">
        <v>0</v>
      </c>
      <c r="Y136" s="71">
        <v>0</v>
      </c>
      <c r="Z136" s="38">
        <f t="shared" si="70"/>
        <v>0</v>
      </c>
      <c r="AA136" s="80">
        <v>0</v>
      </c>
      <c r="AB136" s="81">
        <f>+'Fluxo Consolidado'!P131</f>
        <v>0</v>
      </c>
      <c r="AC136" s="208">
        <f>'Fluxo Consolidado'!Q131</f>
        <v>0</v>
      </c>
      <c r="AD136" s="81">
        <f>+'Fluxo Consolidado'!R131</f>
        <v>0</v>
      </c>
      <c r="AE136" s="81">
        <f>+'Fluxo Consolidado'!S131</f>
        <v>0</v>
      </c>
      <c r="AF136" s="208">
        <f>'Fluxo Consolidado'!T131</f>
        <v>0</v>
      </c>
      <c r="AG136" s="81">
        <f>+'Fluxo Consolidado'!U131</f>
        <v>0</v>
      </c>
      <c r="AH136" s="246">
        <f>+'Fluxo Consolidado'!V131</f>
        <v>0</v>
      </c>
      <c r="AI136" s="125" t="e">
        <f>+'Fluxo Consolidado'!#REF!</f>
        <v>#REF!</v>
      </c>
      <c r="AJ136" s="82">
        <f>+'Fluxo Consolidado'!X131</f>
        <v>0</v>
      </c>
      <c r="AK136" s="85">
        <v>0</v>
      </c>
      <c r="AL136" s="85">
        <f>+'Fluxo Consolidado'!Y131+'Fluxo Consolidado'!Z131+'Fluxo Consolidado'!AA131</f>
        <v>0</v>
      </c>
      <c r="AM136" s="85">
        <f>+'Fluxo Consolidado'!AB131+'Fluxo Consolidado'!AC131</f>
        <v>-58079.92638392857</v>
      </c>
      <c r="AN136" s="103">
        <f>+'Fluxo Consolidado'!AD131</f>
        <v>0</v>
      </c>
      <c r="AO136" s="85">
        <f>+'Fluxo Consolidado'!AF131+'Fluxo Consolidado'!AF131</f>
        <v>0</v>
      </c>
      <c r="AP136" s="83">
        <f>+'Fluxo Consolidado'!AG131</f>
        <v>0</v>
      </c>
      <c r="AQ136" s="119">
        <f>+'Fluxo Consolidado'!AH131</f>
        <v>-212991.0709939627</v>
      </c>
      <c r="AR136" s="85">
        <f>+'Fluxo Consolidado'!AI131</f>
        <v>-9209.81</v>
      </c>
      <c r="AS136" s="85">
        <f>+'Fluxo Consolidado'!AJ131</f>
        <v>-1000</v>
      </c>
      <c r="AT136" s="85">
        <v>0</v>
      </c>
      <c r="AU136" s="85">
        <f>+'Fluxo Consolidado'!AK131</f>
        <v>-12864.609005217795</v>
      </c>
      <c r="AV136" s="84">
        <f>+'Fluxo Consolidado'!AL131</f>
        <v>0</v>
      </c>
      <c r="AW136" s="82">
        <f t="shared" si="74"/>
        <v>-42598.214198792542</v>
      </c>
      <c r="AX136" s="82">
        <v>0</v>
      </c>
      <c r="AY136" s="82">
        <f>(-V135*$AY$1)+'Fluxo Consolidado'!AO131</f>
        <v>-141994.04732930847</v>
      </c>
      <c r="AZ136" s="84">
        <v>0</v>
      </c>
      <c r="BA136" s="122">
        <v>0</v>
      </c>
      <c r="BB136" s="81">
        <v>0</v>
      </c>
      <c r="BC136" s="81">
        <f>+'Fluxo Consolidado'!AP131</f>
        <v>0</v>
      </c>
      <c r="BD136" s="125">
        <f>+'Fluxo Consolidado'!AQ131</f>
        <v>0</v>
      </c>
      <c r="BE136" s="133"/>
      <c r="BF136" s="78">
        <f t="shared" si="65"/>
        <v>3508703.6075378754</v>
      </c>
      <c r="BG136" s="70" t="e">
        <f t="shared" si="66"/>
        <v>#REF!</v>
      </c>
      <c r="BH136" s="70" t="e">
        <f t="shared" si="72"/>
        <v>#REF!</v>
      </c>
      <c r="BI136" s="71" t="e">
        <f t="shared" si="73"/>
        <v>#REF!</v>
      </c>
      <c r="BJ136" s="201" t="e">
        <f t="shared" si="61"/>
        <v>#REF!</v>
      </c>
      <c r="BQ136" s="82">
        <v>0</v>
      </c>
      <c r="BR136" s="223">
        <v>-687380.81803025387</v>
      </c>
      <c r="BS136" s="223">
        <v>-42544.292653606135</v>
      </c>
      <c r="BT136" s="223">
        <v>0</v>
      </c>
      <c r="BU136" s="223">
        <v>-3479721.2397174248</v>
      </c>
      <c r="BV136" s="223">
        <v>3522406.2878041239</v>
      </c>
      <c r="BW136" s="223">
        <f t="shared" si="75"/>
        <v>-729925.11068386002</v>
      </c>
      <c r="BX136" s="83">
        <f t="shared" si="82"/>
        <v>-729925.11068386002</v>
      </c>
      <c r="BY136" s="78">
        <f t="shared" si="76"/>
        <v>2821463.5449407143</v>
      </c>
      <c r="BZ136" s="70" t="e">
        <f t="shared" si="77"/>
        <v>#REF!</v>
      </c>
      <c r="CA136" s="70" t="e">
        <f t="shared" si="78"/>
        <v>#REF!</v>
      </c>
      <c r="CB136" s="71" t="e">
        <f t="shared" si="79"/>
        <v>#REF!</v>
      </c>
      <c r="CC136" s="270" t="e">
        <f t="shared" si="80"/>
        <v>#REF!</v>
      </c>
      <c r="CD136" s="201"/>
      <c r="CE136" s="69" t="e">
        <f t="shared" si="67"/>
        <v>#REF!</v>
      </c>
      <c r="CF136" s="71" t="e">
        <f t="shared" si="68"/>
        <v>#REF!</v>
      </c>
    </row>
    <row r="137" spans="1:84" ht="15" customHeight="1">
      <c r="A137" s="35">
        <f t="shared" si="69"/>
        <v>75</v>
      </c>
      <c r="B137" s="87"/>
      <c r="C137" s="36">
        <v>45536</v>
      </c>
      <c r="D137" s="75">
        <v>0</v>
      </c>
      <c r="E137" s="110">
        <v>0</v>
      </c>
      <c r="F137" s="110">
        <v>0</v>
      </c>
      <c r="G137" s="110">
        <v>0</v>
      </c>
      <c r="H137" s="76">
        <v>0</v>
      </c>
      <c r="I137" s="76">
        <v>0</v>
      </c>
      <c r="J137" s="77">
        <v>0</v>
      </c>
      <c r="K137" s="69">
        <f>+'Fluxo Consolidado'!D132</f>
        <v>1268342.8638095239</v>
      </c>
      <c r="L137" s="78">
        <f>+'Fluxo Consolidado'!E132</f>
        <v>1354768.15</v>
      </c>
      <c r="M137" s="78">
        <f>+'Fluxo Consolidado'!F132</f>
        <v>0</v>
      </c>
      <c r="N137" s="70">
        <v>0</v>
      </c>
      <c r="O137" s="242">
        <f t="shared" si="71"/>
        <v>0.05</v>
      </c>
      <c r="P137" s="70">
        <f>+'Fluxo Consolidado'!H132</f>
        <v>-67738.407500000001</v>
      </c>
      <c r="Q137" s="70">
        <f>+'Fluxo Consolidado'!I132</f>
        <v>73485.654500000004</v>
      </c>
      <c r="R137" s="79">
        <f>'Fluxo Consolidado'!J132</f>
        <v>845184.78074535076</v>
      </c>
      <c r="S137" s="79">
        <f>'Fluxo Consolidado'!K132</f>
        <v>56</v>
      </c>
      <c r="T137" s="79">
        <f t="shared" si="83"/>
        <v>0</v>
      </c>
      <c r="U137" s="79">
        <v>6</v>
      </c>
      <c r="V137" s="79">
        <f t="shared" si="81"/>
        <v>3474043.0415548743</v>
      </c>
      <c r="W137" s="79">
        <v>0</v>
      </c>
      <c r="X137" s="79">
        <v>0</v>
      </c>
      <c r="Y137" s="71">
        <v>0</v>
      </c>
      <c r="Z137" s="38">
        <f t="shared" si="70"/>
        <v>0</v>
      </c>
      <c r="AA137" s="80">
        <v>0</v>
      </c>
      <c r="AB137" s="81">
        <f>+'Fluxo Consolidado'!P132</f>
        <v>0</v>
      </c>
      <c r="AC137" s="208">
        <f>'Fluxo Consolidado'!Q132</f>
        <v>0</v>
      </c>
      <c r="AD137" s="81">
        <f>+'Fluxo Consolidado'!R132</f>
        <v>0</v>
      </c>
      <c r="AE137" s="81">
        <f>+'Fluxo Consolidado'!S132</f>
        <v>0</v>
      </c>
      <c r="AF137" s="208">
        <f>'Fluxo Consolidado'!T132</f>
        <v>0</v>
      </c>
      <c r="AG137" s="81">
        <f>+'Fluxo Consolidado'!U132</f>
        <v>0</v>
      </c>
      <c r="AH137" s="246">
        <f>+'Fluxo Consolidado'!V132</f>
        <v>0</v>
      </c>
      <c r="AI137" s="125" t="e">
        <f>+'Fluxo Consolidado'!#REF!</f>
        <v>#REF!</v>
      </c>
      <c r="AJ137" s="82">
        <f>+'Fluxo Consolidado'!X132</f>
        <v>0</v>
      </c>
      <c r="AK137" s="85">
        <v>0</v>
      </c>
      <c r="AL137" s="85">
        <f>+'Fluxo Consolidado'!Y132+'Fluxo Consolidado'!Z132+'Fluxo Consolidado'!AA132</f>
        <v>0</v>
      </c>
      <c r="AM137" s="85">
        <f>+'Fluxo Consolidado'!AB132+'Fluxo Consolidado'!AC132</f>
        <v>-57045.596383928569</v>
      </c>
      <c r="AN137" s="103">
        <f>+'Fluxo Consolidado'!AD132</f>
        <v>0</v>
      </c>
      <c r="AO137" s="85">
        <f>+'Fluxo Consolidado'!AF132+'Fluxo Consolidado'!AF132</f>
        <v>0</v>
      </c>
      <c r="AP137" s="83">
        <f>+'Fluxo Consolidado'!AG132</f>
        <v>0</v>
      </c>
      <c r="AQ137" s="119">
        <f>+'Fluxo Consolidado'!AH132</f>
        <v>-210522.21645227252</v>
      </c>
      <c r="AR137" s="85">
        <f>+'Fluxo Consolidado'!AI132</f>
        <v>-9209.81</v>
      </c>
      <c r="AS137" s="85">
        <f>+'Fluxo Consolidado'!AJ132</f>
        <v>-1000</v>
      </c>
      <c r="AT137" s="85">
        <v>0</v>
      </c>
      <c r="AU137" s="85">
        <f>+'Fluxo Consolidado'!AK132</f>
        <v>-12613.872608830829</v>
      </c>
      <c r="AV137" s="84">
        <f>+'Fluxo Consolidado'!AL132</f>
        <v>0</v>
      </c>
      <c r="AW137" s="82">
        <f t="shared" si="74"/>
        <v>-42104.443290454503</v>
      </c>
      <c r="AX137" s="82">
        <v>0</v>
      </c>
      <c r="AY137" s="82">
        <f>(-V136*$AY$1)+'Fluxo Consolidado'!AO132</f>
        <v>-140348.14430151501</v>
      </c>
      <c r="AZ137" s="84">
        <v>0</v>
      </c>
      <c r="BA137" s="122">
        <v>0</v>
      </c>
      <c r="BB137" s="81">
        <v>0</v>
      </c>
      <c r="BC137" s="81">
        <f>+'Fluxo Consolidado'!AP132</f>
        <v>0</v>
      </c>
      <c r="BD137" s="125">
        <f>+'Fluxo Consolidado'!AQ132</f>
        <v>0</v>
      </c>
      <c r="BE137" s="133"/>
      <c r="BF137" s="78">
        <f t="shared" si="65"/>
        <v>3474043.0415548743</v>
      </c>
      <c r="BG137" s="70" t="e">
        <f t="shared" si="66"/>
        <v>#REF!</v>
      </c>
      <c r="BH137" s="70" t="e">
        <f t="shared" si="72"/>
        <v>#REF!</v>
      </c>
      <c r="BI137" s="71" t="e">
        <f t="shared" si="73"/>
        <v>#REF!</v>
      </c>
      <c r="BJ137" s="201" t="e">
        <f t="shared" si="61"/>
        <v>#REF!</v>
      </c>
      <c r="BQ137" s="82">
        <v>0</v>
      </c>
      <c r="BR137" s="223">
        <v>-682281.2094990242</v>
      </c>
      <c r="BS137" s="223">
        <v>-26536.611671727576</v>
      </c>
      <c r="BT137" s="223">
        <v>0</v>
      </c>
      <c r="BU137" s="223">
        <v>-3443562.1726449998</v>
      </c>
      <c r="BV137" s="223">
        <v>3479721.2397174248</v>
      </c>
      <c r="BW137" s="223">
        <f t="shared" si="75"/>
        <v>-708817.82117075182</v>
      </c>
      <c r="BX137" s="83">
        <f t="shared" si="82"/>
        <v>-708817.82117075182</v>
      </c>
      <c r="BY137" s="78">
        <f t="shared" si="76"/>
        <v>2801384.2874565474</v>
      </c>
      <c r="BZ137" s="70" t="e">
        <f t="shared" si="77"/>
        <v>#REF!</v>
      </c>
      <c r="CA137" s="70" t="e">
        <f t="shared" si="78"/>
        <v>#REF!</v>
      </c>
      <c r="CB137" s="71" t="e">
        <f t="shared" si="79"/>
        <v>#REF!</v>
      </c>
      <c r="CC137" s="270" t="e">
        <f t="shared" si="80"/>
        <v>#REF!</v>
      </c>
      <c r="CD137" s="201"/>
      <c r="CE137" s="69" t="e">
        <f t="shared" si="67"/>
        <v>#REF!</v>
      </c>
      <c r="CF137" s="71" t="e">
        <f t="shared" si="68"/>
        <v>#REF!</v>
      </c>
    </row>
    <row r="138" spans="1:84" ht="15" customHeight="1">
      <c r="A138" s="35">
        <f t="shared" si="69"/>
        <v>76</v>
      </c>
      <c r="B138" s="87"/>
      <c r="C138" s="36">
        <v>45566</v>
      </c>
      <c r="D138" s="75">
        <v>0</v>
      </c>
      <c r="E138" s="110">
        <v>0</v>
      </c>
      <c r="F138" s="110">
        <v>0</v>
      </c>
      <c r="G138" s="110">
        <v>0</v>
      </c>
      <c r="H138" s="76">
        <v>0</v>
      </c>
      <c r="I138" s="76">
        <v>0</v>
      </c>
      <c r="J138" s="77">
        <v>0</v>
      </c>
      <c r="K138" s="69">
        <f>+'Fluxo Consolidado'!D133</f>
        <v>1268342.8638095239</v>
      </c>
      <c r="L138" s="78">
        <f>+'Fluxo Consolidado'!E133</f>
        <v>1292418.1299999999</v>
      </c>
      <c r="M138" s="78">
        <f>+'Fluxo Consolidado'!F133</f>
        <v>0</v>
      </c>
      <c r="N138" s="70">
        <v>0</v>
      </c>
      <c r="O138" s="242">
        <f t="shared" si="71"/>
        <v>0.05</v>
      </c>
      <c r="P138" s="70">
        <f>+'Fluxo Consolidado'!H133</f>
        <v>-64620.906499999997</v>
      </c>
      <c r="Q138" s="70">
        <f>+'Fluxo Consolidado'!I133</f>
        <v>72049.919999999998</v>
      </c>
      <c r="R138" s="79">
        <f>'Fluxo Consolidado'!J133</f>
        <v>842024.44745748071</v>
      </c>
      <c r="S138" s="79">
        <f>'Fluxo Consolidado'!K133</f>
        <v>57</v>
      </c>
      <c r="T138" s="79">
        <f t="shared" si="83"/>
        <v>0</v>
      </c>
      <c r="U138" s="79">
        <v>6</v>
      </c>
      <c r="V138" s="79">
        <f t="shared" si="81"/>
        <v>3410214.4547670046</v>
      </c>
      <c r="W138" s="79">
        <v>0</v>
      </c>
      <c r="X138" s="79">
        <v>0</v>
      </c>
      <c r="Y138" s="71">
        <v>0</v>
      </c>
      <c r="Z138" s="38">
        <f t="shared" si="70"/>
        <v>0</v>
      </c>
      <c r="AA138" s="80">
        <v>0</v>
      </c>
      <c r="AB138" s="81">
        <f>+'Fluxo Consolidado'!P133</f>
        <v>0</v>
      </c>
      <c r="AC138" s="208">
        <f>'Fluxo Consolidado'!Q133</f>
        <v>0</v>
      </c>
      <c r="AD138" s="81">
        <f>+'Fluxo Consolidado'!R133</f>
        <v>0</v>
      </c>
      <c r="AE138" s="81">
        <f>+'Fluxo Consolidado'!S133</f>
        <v>0</v>
      </c>
      <c r="AF138" s="208">
        <f>'Fluxo Consolidado'!T133</f>
        <v>0</v>
      </c>
      <c r="AG138" s="81">
        <f>+'Fluxo Consolidado'!U133</f>
        <v>0</v>
      </c>
      <c r="AH138" s="246">
        <f>+'Fluxo Consolidado'!V133</f>
        <v>0</v>
      </c>
      <c r="AI138" s="125" t="e">
        <f>+'Fluxo Consolidado'!#REF!</f>
        <v>#REF!</v>
      </c>
      <c r="AJ138" s="82">
        <f>+'Fluxo Consolidado'!X133</f>
        <v>0</v>
      </c>
      <c r="AK138" s="85">
        <v>0</v>
      </c>
      <c r="AL138" s="85">
        <f>+'Fluxo Consolidado'!Y133+'Fluxo Consolidado'!Z133+'Fluxo Consolidado'!AA133</f>
        <v>0</v>
      </c>
      <c r="AM138" s="85">
        <f>+'Fluxo Consolidado'!AB133+'Fluxo Consolidado'!AC133</f>
        <v>-55432.246383928577</v>
      </c>
      <c r="AN138" s="103">
        <f>+'Fluxo Consolidado'!AD133</f>
        <v>0</v>
      </c>
      <c r="AO138" s="85">
        <f>+'Fluxo Consolidado'!AF133+'Fluxo Consolidado'!AF133</f>
        <v>0</v>
      </c>
      <c r="AP138" s="83">
        <f>+'Fluxo Consolidado'!AG133</f>
        <v>0</v>
      </c>
      <c r="AQ138" s="119">
        <f>+'Fluxo Consolidado'!AH133</f>
        <v>-208442.58249329246</v>
      </c>
      <c r="AR138" s="85">
        <f>+'Fluxo Consolidado'!AI133</f>
        <v>-9209.81</v>
      </c>
      <c r="AS138" s="85">
        <f>+'Fluxo Consolidado'!AJ133</f>
        <v>-1000</v>
      </c>
      <c r="AT138" s="85">
        <v>0</v>
      </c>
      <c r="AU138" s="85">
        <f>+'Fluxo Consolidado'!AK133</f>
        <v>-12393.07720817058</v>
      </c>
      <c r="AV138" s="84">
        <f>+'Fluxo Consolidado'!AL133</f>
        <v>0</v>
      </c>
      <c r="AW138" s="82">
        <f t="shared" si="74"/>
        <v>-41688.516498658493</v>
      </c>
      <c r="AX138" s="82">
        <v>0</v>
      </c>
      <c r="AY138" s="82">
        <f>(-V137*$AY$1)+'Fluxo Consolidado'!AO133</f>
        <v>-138961.72166219496</v>
      </c>
      <c r="AZ138" s="84">
        <v>0</v>
      </c>
      <c r="BA138" s="122">
        <v>0</v>
      </c>
      <c r="BB138" s="81">
        <v>0</v>
      </c>
      <c r="BC138" s="81">
        <f>+'Fluxo Consolidado'!AP133</f>
        <v>0</v>
      </c>
      <c r="BD138" s="125">
        <f>+'Fluxo Consolidado'!AQ133</f>
        <v>0</v>
      </c>
      <c r="BE138" s="133"/>
      <c r="BF138" s="78">
        <f t="shared" ref="BF138:BF169" si="84">V138+Y138+W138+X138</f>
        <v>3410214.4547670046</v>
      </c>
      <c r="BG138" s="70" t="e">
        <f t="shared" ref="BG138:BG169" si="85">+SUM(AA138:BD138)</f>
        <v>#REF!</v>
      </c>
      <c r="BH138" s="70" t="e">
        <f t="shared" si="72"/>
        <v>#REF!</v>
      </c>
      <c r="BI138" s="71" t="e">
        <f t="shared" si="73"/>
        <v>#REF!</v>
      </c>
      <c r="BJ138" s="201" t="e">
        <f t="shared" si="61"/>
        <v>#REF!</v>
      </c>
      <c r="BQ138" s="82">
        <v>0</v>
      </c>
      <c r="BR138" s="223">
        <v>-677181.60096779442</v>
      </c>
      <c r="BS138" s="223">
        <v>-26103.327156748317</v>
      </c>
      <c r="BT138" s="223">
        <v>0</v>
      </c>
      <c r="BU138" s="223">
        <v>-3376221.6051020846</v>
      </c>
      <c r="BV138" s="223">
        <v>3443562.1726449998</v>
      </c>
      <c r="BW138" s="223">
        <f t="shared" si="75"/>
        <v>-703284.9281245427</v>
      </c>
      <c r="BX138" s="83">
        <f t="shared" si="82"/>
        <v>-703284.9281245427</v>
      </c>
      <c r="BY138" s="78">
        <f t="shared" si="76"/>
        <v>2774270.094185377</v>
      </c>
      <c r="BZ138" s="70" t="e">
        <f t="shared" si="77"/>
        <v>#REF!</v>
      </c>
      <c r="CA138" s="70" t="e">
        <f t="shared" si="78"/>
        <v>#REF!</v>
      </c>
      <c r="CB138" s="71" t="e">
        <f t="shared" si="79"/>
        <v>#REF!</v>
      </c>
      <c r="CC138" s="270" t="e">
        <f t="shared" si="80"/>
        <v>#REF!</v>
      </c>
      <c r="CD138" s="201"/>
      <c r="CE138" s="69" t="e">
        <f t="shared" ref="CE138:CE169" si="86">PV($CE$5,A138,,-BH138)</f>
        <v>#REF!</v>
      </c>
      <c r="CF138" s="71" t="e">
        <f t="shared" ref="CF138:CF169" si="87">PV($CE$5,A138,,-CA138)</f>
        <v>#REF!</v>
      </c>
    </row>
    <row r="139" spans="1:84" ht="15" customHeight="1">
      <c r="A139" s="35">
        <f t="shared" si="69"/>
        <v>77</v>
      </c>
      <c r="B139" s="87"/>
      <c r="C139" s="36">
        <v>45597</v>
      </c>
      <c r="D139" s="75">
        <v>0</v>
      </c>
      <c r="E139" s="110">
        <v>0</v>
      </c>
      <c r="F139" s="110">
        <v>0</v>
      </c>
      <c r="G139" s="110">
        <v>0</v>
      </c>
      <c r="H139" s="76">
        <v>0</v>
      </c>
      <c r="I139" s="76">
        <v>0</v>
      </c>
      <c r="J139" s="77">
        <v>0</v>
      </c>
      <c r="K139" s="69">
        <f>+'Fluxo Consolidado'!D134</f>
        <v>1268342.8638095239</v>
      </c>
      <c r="L139" s="78">
        <f>+'Fluxo Consolidado'!E134</f>
        <v>1256410.57</v>
      </c>
      <c r="M139" s="78">
        <f>+'Fluxo Consolidado'!F134</f>
        <v>0</v>
      </c>
      <c r="N139" s="70">
        <v>0</v>
      </c>
      <c r="O139" s="242">
        <f t="shared" si="71"/>
        <v>0.05</v>
      </c>
      <c r="P139" s="70">
        <f>+'Fluxo Consolidado'!H134</f>
        <v>-62820.528500000008</v>
      </c>
      <c r="Q139" s="70">
        <f>+'Fluxo Consolidado'!I134</f>
        <v>69752.261500000008</v>
      </c>
      <c r="R139" s="79">
        <f>'Fluxo Consolidado'!J134</f>
        <v>846959.20136619546</v>
      </c>
      <c r="S139" s="79">
        <f>'Fluxo Consolidado'!K134</f>
        <v>58</v>
      </c>
      <c r="T139" s="79">
        <f t="shared" si="83"/>
        <v>0</v>
      </c>
      <c r="U139" s="79">
        <v>6</v>
      </c>
      <c r="V139" s="79">
        <f t="shared" si="81"/>
        <v>3378644.3681757199</v>
      </c>
      <c r="W139" s="79">
        <v>0</v>
      </c>
      <c r="X139" s="79">
        <v>0</v>
      </c>
      <c r="Y139" s="71">
        <v>0</v>
      </c>
      <c r="Z139" s="38">
        <f t="shared" si="70"/>
        <v>0</v>
      </c>
      <c r="AA139" s="80">
        <v>0</v>
      </c>
      <c r="AB139" s="81">
        <f>+'Fluxo Consolidado'!P134</f>
        <v>0</v>
      </c>
      <c r="AC139" s="208">
        <f>'Fluxo Consolidado'!Q134</f>
        <v>0</v>
      </c>
      <c r="AD139" s="81">
        <f>+'Fluxo Consolidado'!R134</f>
        <v>0</v>
      </c>
      <c r="AE139" s="81">
        <f>+'Fluxo Consolidado'!S134</f>
        <v>0</v>
      </c>
      <c r="AF139" s="208">
        <f>'Fluxo Consolidado'!T134</f>
        <v>0</v>
      </c>
      <c r="AG139" s="81">
        <f>+'Fluxo Consolidado'!U134</f>
        <v>0</v>
      </c>
      <c r="AH139" s="246">
        <f>+'Fluxo Consolidado'!V134</f>
        <v>0</v>
      </c>
      <c r="AI139" s="125" t="e">
        <f>+'Fluxo Consolidado'!#REF!</f>
        <v>#REF!</v>
      </c>
      <c r="AJ139" s="82">
        <f>+'Fluxo Consolidado'!X134</f>
        <v>0</v>
      </c>
      <c r="AK139" s="85">
        <v>0</v>
      </c>
      <c r="AL139" s="85">
        <f>+'Fluxo Consolidado'!Y134+'Fluxo Consolidado'!Z134+'Fluxo Consolidado'!AA134</f>
        <v>0</v>
      </c>
      <c r="AM139" s="85">
        <f>+'Fluxo Consolidado'!AB134+'Fluxo Consolidado'!AC134</f>
        <v>-54412.576383928572</v>
      </c>
      <c r="AN139" s="103">
        <f>+'Fluxo Consolidado'!AD134</f>
        <v>0</v>
      </c>
      <c r="AO139" s="85">
        <f>+'Fluxo Consolidado'!AF134+'Fluxo Consolidado'!AF134</f>
        <v>0</v>
      </c>
      <c r="AP139" s="83">
        <f>+'Fluxo Consolidado'!AG134</f>
        <v>0</v>
      </c>
      <c r="AQ139" s="119">
        <f>+'Fluxo Consolidado'!AH134</f>
        <v>-204612.86728602028</v>
      </c>
      <c r="AR139" s="85">
        <f>+'Fluxo Consolidado'!AI134</f>
        <v>-9209.81</v>
      </c>
      <c r="AS139" s="85">
        <f>+'Fluxo Consolidado'!AJ134</f>
        <v>-1000</v>
      </c>
      <c r="AT139" s="85">
        <v>0</v>
      </c>
      <c r="AU139" s="85">
        <f>+'Fluxo Consolidado'!AK134</f>
        <v>-12051.16112427903</v>
      </c>
      <c r="AV139" s="84">
        <f>+'Fluxo Consolidado'!AL134</f>
        <v>0</v>
      </c>
      <c r="AW139" s="82">
        <f t="shared" si="74"/>
        <v>-40922.573457204053</v>
      </c>
      <c r="AX139" s="82">
        <v>0</v>
      </c>
      <c r="AY139" s="82">
        <f>(-V138*$AY$1)+'Fluxo Consolidado'!AO134</f>
        <v>-136408.57819068019</v>
      </c>
      <c r="AZ139" s="84">
        <v>0</v>
      </c>
      <c r="BA139" s="122">
        <v>0</v>
      </c>
      <c r="BB139" s="81">
        <v>0</v>
      </c>
      <c r="BC139" s="81">
        <f>+'Fluxo Consolidado'!AP134</f>
        <v>0</v>
      </c>
      <c r="BD139" s="125">
        <f>+'Fluxo Consolidado'!AQ134</f>
        <v>0</v>
      </c>
      <c r="BE139" s="133"/>
      <c r="BF139" s="78">
        <f t="shared" si="84"/>
        <v>3378644.3681757199</v>
      </c>
      <c r="BG139" s="70" t="e">
        <f t="shared" si="85"/>
        <v>#REF!</v>
      </c>
      <c r="BH139" s="70" t="e">
        <f t="shared" si="72"/>
        <v>#REF!</v>
      </c>
      <c r="BI139" s="71" t="e">
        <f t="shared" si="73"/>
        <v>#REF!</v>
      </c>
      <c r="BJ139" s="201" t="e">
        <f t="shared" si="61"/>
        <v>#REF!</v>
      </c>
      <c r="BQ139" s="82">
        <v>0</v>
      </c>
      <c r="BR139" s="223">
        <v>-672081.99243656488</v>
      </c>
      <c r="BS139" s="223">
        <v>-25682.327637727172</v>
      </c>
      <c r="BT139" s="223">
        <v>0</v>
      </c>
      <c r="BU139" s="223">
        <v>-3344034.3115249113</v>
      </c>
      <c r="BV139" s="223">
        <v>3376221.6051020846</v>
      </c>
      <c r="BW139" s="223">
        <f t="shared" si="75"/>
        <v>-697764.32007429202</v>
      </c>
      <c r="BX139" s="83">
        <f t="shared" si="82"/>
        <v>-697764.32007429202</v>
      </c>
      <c r="BY139" s="78">
        <f t="shared" si="76"/>
        <v>2713067.3416786008</v>
      </c>
      <c r="BZ139" s="70" t="e">
        <f t="shared" si="77"/>
        <v>#REF!</v>
      </c>
      <c r="CA139" s="70" t="e">
        <f t="shared" si="78"/>
        <v>#REF!</v>
      </c>
      <c r="CB139" s="71" t="e">
        <f t="shared" si="79"/>
        <v>#REF!</v>
      </c>
      <c r="CC139" s="270" t="e">
        <f t="shared" si="80"/>
        <v>#REF!</v>
      </c>
      <c r="CD139" s="201"/>
      <c r="CE139" s="69" t="e">
        <f t="shared" si="86"/>
        <v>#REF!</v>
      </c>
      <c r="CF139" s="71" t="e">
        <f t="shared" si="87"/>
        <v>#REF!</v>
      </c>
    </row>
    <row r="140" spans="1:84" ht="15" customHeight="1">
      <c r="A140" s="35">
        <f t="shared" si="69"/>
        <v>78</v>
      </c>
      <c r="B140" s="87"/>
      <c r="C140" s="36">
        <v>45627</v>
      </c>
      <c r="D140" s="75">
        <v>0</v>
      </c>
      <c r="E140" s="110">
        <v>0</v>
      </c>
      <c r="F140" s="110">
        <v>0</v>
      </c>
      <c r="G140" s="110">
        <v>0</v>
      </c>
      <c r="H140" s="76">
        <v>0</v>
      </c>
      <c r="I140" s="76">
        <v>0</v>
      </c>
      <c r="J140" s="77">
        <v>0</v>
      </c>
      <c r="K140" s="69">
        <f>+'Fluxo Consolidado'!D135</f>
        <v>1268342.8638095239</v>
      </c>
      <c r="L140" s="78">
        <f>+'Fluxo Consolidado'!E135</f>
        <v>1221745.8400000001</v>
      </c>
      <c r="M140" s="78">
        <f>+'Fluxo Consolidado'!F135</f>
        <v>0</v>
      </c>
      <c r="N140" s="70">
        <v>0</v>
      </c>
      <c r="O140" s="242">
        <f t="shared" si="71"/>
        <v>0.05</v>
      </c>
      <c r="P140" s="70">
        <f>+'Fluxo Consolidado'!H135</f>
        <v>-61087.292000000009</v>
      </c>
      <c r="Q140" s="70">
        <f>+'Fluxo Consolidado'!I135</f>
        <v>67738.407500000001</v>
      </c>
      <c r="R140" s="79">
        <f>'Fluxo Consolidado'!J135</f>
        <v>851957.59270269005</v>
      </c>
      <c r="S140" s="79">
        <f>'Fluxo Consolidado'!K135</f>
        <v>59</v>
      </c>
      <c r="T140" s="79">
        <f t="shared" si="83"/>
        <v>0</v>
      </c>
      <c r="U140" s="79">
        <v>6</v>
      </c>
      <c r="V140" s="79">
        <f t="shared" si="81"/>
        <v>3348697.4120122138</v>
      </c>
      <c r="W140" s="79">
        <v>0</v>
      </c>
      <c r="X140" s="79">
        <v>0</v>
      </c>
      <c r="Y140" s="71">
        <v>0</v>
      </c>
      <c r="Z140" s="38">
        <f t="shared" si="70"/>
        <v>0</v>
      </c>
      <c r="AA140" s="80">
        <v>0</v>
      </c>
      <c r="AB140" s="81">
        <f>+'Fluxo Consolidado'!P135</f>
        <v>0</v>
      </c>
      <c r="AC140" s="208">
        <f>'Fluxo Consolidado'!Q135</f>
        <v>0</v>
      </c>
      <c r="AD140" s="81">
        <f>+'Fluxo Consolidado'!R135</f>
        <v>0</v>
      </c>
      <c r="AE140" s="81">
        <f>+'Fluxo Consolidado'!S135</f>
        <v>0</v>
      </c>
      <c r="AF140" s="208">
        <f>'Fluxo Consolidado'!T135</f>
        <v>0</v>
      </c>
      <c r="AG140" s="81">
        <f>+'Fluxo Consolidado'!U135</f>
        <v>0</v>
      </c>
      <c r="AH140" s="246">
        <f>+'Fluxo Consolidado'!V135</f>
        <v>0</v>
      </c>
      <c r="AI140" s="125" t="e">
        <f>+'Fluxo Consolidado'!#REF!</f>
        <v>#REF!</v>
      </c>
      <c r="AJ140" s="82">
        <f>+'Fluxo Consolidado'!X135</f>
        <v>0</v>
      </c>
      <c r="AK140" s="85">
        <v>0</v>
      </c>
      <c r="AL140" s="85">
        <f>+'Fluxo Consolidado'!Y135+'Fluxo Consolidado'!Z135+'Fluxo Consolidado'!AA135</f>
        <v>0</v>
      </c>
      <c r="AM140" s="85">
        <f>+'Fluxo Consolidado'!AB135+'Fluxo Consolidado'!AC135</f>
        <v>-53426.626383928575</v>
      </c>
      <c r="AN140" s="103">
        <f>+'Fluxo Consolidado'!AD135</f>
        <v>0</v>
      </c>
      <c r="AO140" s="85">
        <f>+'Fluxo Consolidado'!AF135+'Fluxo Consolidado'!AF135</f>
        <v>0</v>
      </c>
      <c r="AP140" s="83">
        <f>+'Fluxo Consolidado'!AG135</f>
        <v>0</v>
      </c>
      <c r="AQ140" s="119">
        <f>+'Fluxo Consolidado'!AH135</f>
        <v>-202718.66209054319</v>
      </c>
      <c r="AR140" s="85">
        <f>+'Fluxo Consolidado'!AI135</f>
        <v>-9209.81</v>
      </c>
      <c r="AS140" s="85">
        <f>+'Fluxo Consolidado'!AJ135</f>
        <v>-1000</v>
      </c>
      <c r="AT140" s="85">
        <v>0</v>
      </c>
      <c r="AU140" s="85">
        <f>+'Fluxo Consolidado'!AK135</f>
        <v>-11855.471192942801</v>
      </c>
      <c r="AV140" s="84">
        <f>+'Fluxo Consolidado'!AL135</f>
        <v>0</v>
      </c>
      <c r="AW140" s="82">
        <f t="shared" si="74"/>
        <v>-40543.732418108637</v>
      </c>
      <c r="AX140" s="82">
        <v>0</v>
      </c>
      <c r="AY140" s="82">
        <f>(-V139*$AY$1)+'Fluxo Consolidado'!AO135</f>
        <v>-135145.77472702879</v>
      </c>
      <c r="AZ140" s="84">
        <v>0</v>
      </c>
      <c r="BA140" s="122">
        <v>0</v>
      </c>
      <c r="BB140" s="81">
        <v>0</v>
      </c>
      <c r="BC140" s="81">
        <f>+'Fluxo Consolidado'!AP135</f>
        <v>0</v>
      </c>
      <c r="BD140" s="125">
        <f>+'Fluxo Consolidado'!AQ135</f>
        <v>0</v>
      </c>
      <c r="BE140" s="133"/>
      <c r="BF140" s="78">
        <f t="shared" si="84"/>
        <v>3348697.4120122138</v>
      </c>
      <c r="BG140" s="70" t="e">
        <f t="shared" si="85"/>
        <v>#REF!</v>
      </c>
      <c r="BH140" s="70" t="e">
        <f t="shared" si="72"/>
        <v>#REF!</v>
      </c>
      <c r="BI140" s="71" t="e">
        <f t="shared" si="73"/>
        <v>#REF!</v>
      </c>
      <c r="BJ140" s="201" t="e">
        <f t="shared" ref="BJ140:BJ190" si="88">+BI140-$AX$8</f>
        <v>#REF!</v>
      </c>
      <c r="BQ140" s="82">
        <v>0</v>
      </c>
      <c r="BR140" s="223">
        <v>-666982.38390533521</v>
      </c>
      <c r="BS140" s="223">
        <v>-25273.264795902509</v>
      </c>
      <c r="BT140" s="223">
        <v>0</v>
      </c>
      <c r="BU140" s="223">
        <v>-3312410.8238068139</v>
      </c>
      <c r="BV140" s="223">
        <v>3344034.3115249113</v>
      </c>
      <c r="BW140" s="223">
        <f t="shared" si="75"/>
        <v>-692255.64870123775</v>
      </c>
      <c r="BX140" s="83">
        <f t="shared" si="82"/>
        <v>-692255.64870123775</v>
      </c>
      <c r="BY140" s="78">
        <f t="shared" si="76"/>
        <v>2688065.2510290733</v>
      </c>
      <c r="BZ140" s="70" t="e">
        <f t="shared" si="77"/>
        <v>#REF!</v>
      </c>
      <c r="CA140" s="70" t="e">
        <f t="shared" si="78"/>
        <v>#REF!</v>
      </c>
      <c r="CB140" s="71" t="e">
        <f t="shared" si="79"/>
        <v>#REF!</v>
      </c>
      <c r="CC140" s="270" t="e">
        <f t="shared" si="80"/>
        <v>#REF!</v>
      </c>
      <c r="CD140" s="201"/>
      <c r="CE140" s="69" t="e">
        <f t="shared" si="86"/>
        <v>#REF!</v>
      </c>
      <c r="CF140" s="71" t="e">
        <f t="shared" si="87"/>
        <v>#REF!</v>
      </c>
    </row>
    <row r="141" spans="1:84" ht="15" customHeight="1">
      <c r="A141" s="35">
        <f t="shared" si="69"/>
        <v>79</v>
      </c>
      <c r="B141" s="87"/>
      <c r="C141" s="36">
        <v>45658</v>
      </c>
      <c r="D141" s="75">
        <v>0</v>
      </c>
      <c r="E141" s="110">
        <v>0</v>
      </c>
      <c r="F141" s="110">
        <v>0</v>
      </c>
      <c r="G141" s="110">
        <v>0</v>
      </c>
      <c r="H141" s="76">
        <v>0</v>
      </c>
      <c r="I141" s="76">
        <v>0</v>
      </c>
      <c r="J141" s="77">
        <v>0</v>
      </c>
      <c r="K141" s="69">
        <f>+'Fluxo Consolidado'!D136</f>
        <v>1268342.8638095239</v>
      </c>
      <c r="L141" s="78">
        <f>+'Fluxo Consolidado'!E136</f>
        <v>1168824.56</v>
      </c>
      <c r="M141" s="78">
        <f>+'Fluxo Consolidado'!F136</f>
        <v>0</v>
      </c>
      <c r="N141" s="70">
        <v>0</v>
      </c>
      <c r="O141" s="242">
        <f t="shared" si="71"/>
        <v>0.05</v>
      </c>
      <c r="P141" s="70">
        <f>+'Fluxo Consolidado'!H136</f>
        <v>-58441.228000000003</v>
      </c>
      <c r="Q141" s="70">
        <f>+'Fluxo Consolidado'!I136</f>
        <v>64620.906499999997</v>
      </c>
      <c r="R141" s="79">
        <f>'Fluxo Consolidado'!J136</f>
        <v>850206.22758414596</v>
      </c>
      <c r="S141" s="79">
        <f>'Fluxo Consolidado'!K136</f>
        <v>60</v>
      </c>
      <c r="T141" s="79">
        <f t="shared" si="83"/>
        <v>0</v>
      </c>
      <c r="U141" s="79">
        <v>7</v>
      </c>
      <c r="V141" s="79">
        <f t="shared" si="81"/>
        <v>3293553.32989367</v>
      </c>
      <c r="W141" s="79">
        <v>0</v>
      </c>
      <c r="X141" s="79">
        <v>0</v>
      </c>
      <c r="Y141" s="71">
        <v>0</v>
      </c>
      <c r="Z141" s="38">
        <f t="shared" si="70"/>
        <v>0</v>
      </c>
      <c r="AA141" s="80">
        <v>0</v>
      </c>
      <c r="AB141" s="81">
        <f>+'Fluxo Consolidado'!P136</f>
        <v>0</v>
      </c>
      <c r="AC141" s="208">
        <f>'Fluxo Consolidado'!Q136</f>
        <v>0</v>
      </c>
      <c r="AD141" s="81">
        <f>+'Fluxo Consolidado'!R136</f>
        <v>0</v>
      </c>
      <c r="AE141" s="81">
        <f>+'Fluxo Consolidado'!S136</f>
        <v>0</v>
      </c>
      <c r="AF141" s="208">
        <f>'Fluxo Consolidado'!T136</f>
        <v>0</v>
      </c>
      <c r="AG141" s="81">
        <f>+'Fluxo Consolidado'!U136</f>
        <v>0</v>
      </c>
      <c r="AH141" s="246">
        <f>+'Fluxo Consolidado'!V136</f>
        <v>0</v>
      </c>
      <c r="AI141" s="125" t="e">
        <f>+'Fluxo Consolidado'!#REF!</f>
        <v>#REF!</v>
      </c>
      <c r="AJ141" s="82">
        <f>+'Fluxo Consolidado'!X136</f>
        <v>0</v>
      </c>
      <c r="AK141" s="85">
        <v>0</v>
      </c>
      <c r="AL141" s="85">
        <f>+'Fluxo Consolidado'!Y136+'Fluxo Consolidado'!Z136+'Fluxo Consolidado'!AA136</f>
        <v>0</v>
      </c>
      <c r="AM141" s="85">
        <f>+'Fluxo Consolidado'!AB136+'Fluxo Consolidado'!AC136</f>
        <v>-51679.156383928574</v>
      </c>
      <c r="AN141" s="103">
        <f>+'Fluxo Consolidado'!AD136</f>
        <v>0</v>
      </c>
      <c r="AO141" s="85">
        <f>+'Fluxo Consolidado'!AF136+'Fluxo Consolidado'!AF136</f>
        <v>0</v>
      </c>
      <c r="AP141" s="83">
        <f>+'Fluxo Consolidado'!AG136</f>
        <v>0</v>
      </c>
      <c r="AQ141" s="119">
        <f>+'Fluxo Consolidado'!AH136</f>
        <v>-200921.84472073283</v>
      </c>
      <c r="AR141" s="85">
        <f>+'Fluxo Consolidado'!AI136</f>
        <v>-9209.81</v>
      </c>
      <c r="AS141" s="85">
        <f>+'Fluxo Consolidado'!AJ136</f>
        <v>-1000</v>
      </c>
      <c r="AT141" s="85">
        <v>0</v>
      </c>
      <c r="AU141" s="85">
        <f>+'Fluxo Consolidado'!AK136</f>
        <v>-11659.284569826104</v>
      </c>
      <c r="AV141" s="84">
        <f>+'Fluxo Consolidado'!AL136</f>
        <v>0</v>
      </c>
      <c r="AW141" s="82">
        <f t="shared" si="74"/>
        <v>-40184.368944146569</v>
      </c>
      <c r="AX141" s="82">
        <v>0</v>
      </c>
      <c r="AY141" s="82">
        <f>(-V140*$AY$1)+'Fluxo Consolidado'!AO136</f>
        <v>-133947.89648048856</v>
      </c>
      <c r="AZ141" s="84">
        <v>0</v>
      </c>
      <c r="BA141" s="122">
        <v>0</v>
      </c>
      <c r="BB141" s="81">
        <v>0</v>
      </c>
      <c r="BC141" s="81">
        <f>+'Fluxo Consolidado'!AP136</f>
        <v>0</v>
      </c>
      <c r="BD141" s="125">
        <f>+'Fluxo Consolidado'!AQ136</f>
        <v>0</v>
      </c>
      <c r="BE141" s="133"/>
      <c r="BF141" s="78">
        <f t="shared" si="84"/>
        <v>3293553.32989367</v>
      </c>
      <c r="BG141" s="70" t="e">
        <f t="shared" si="85"/>
        <v>#REF!</v>
      </c>
      <c r="BH141" s="70" t="e">
        <f t="shared" si="72"/>
        <v>#REF!</v>
      </c>
      <c r="BI141" s="71" t="e">
        <f t="shared" si="73"/>
        <v>#REF!</v>
      </c>
      <c r="BJ141" s="201" t="e">
        <f t="shared" si="88"/>
        <v>#REF!</v>
      </c>
      <c r="BQ141" s="82">
        <v>0</v>
      </c>
      <c r="BR141" s="223">
        <v>-661882.77537410543</v>
      </c>
      <c r="BS141" s="223">
        <v>-24875.800188458947</v>
      </c>
      <c r="BT141" s="223">
        <v>0</v>
      </c>
      <c r="BU141" s="223">
        <v>-3254825.2381270472</v>
      </c>
      <c r="BV141" s="223">
        <v>3312410.8238068139</v>
      </c>
      <c r="BW141" s="223">
        <f t="shared" si="75"/>
        <v>-686758.57556256442</v>
      </c>
      <c r="BX141" s="83">
        <f t="shared" si="82"/>
        <v>-686758.57556256442</v>
      </c>
      <c r="BY141" s="78">
        <f t="shared" si="76"/>
        <v>2664380.3400108726</v>
      </c>
      <c r="BZ141" s="70" t="e">
        <f t="shared" si="77"/>
        <v>#REF!</v>
      </c>
      <c r="CA141" s="70" t="e">
        <f t="shared" si="78"/>
        <v>#REF!</v>
      </c>
      <c r="CB141" s="71" t="e">
        <f t="shared" si="79"/>
        <v>#REF!</v>
      </c>
      <c r="CC141" s="270" t="e">
        <f t="shared" si="80"/>
        <v>#REF!</v>
      </c>
      <c r="CD141" s="201"/>
      <c r="CE141" s="69" t="e">
        <f t="shared" si="86"/>
        <v>#REF!</v>
      </c>
      <c r="CF141" s="71" t="e">
        <f t="shared" si="87"/>
        <v>#REF!</v>
      </c>
    </row>
    <row r="142" spans="1:84" ht="15" customHeight="1">
      <c r="A142" s="35">
        <f t="shared" si="69"/>
        <v>80</v>
      </c>
      <c r="B142" s="87"/>
      <c r="C142" s="36">
        <v>45689</v>
      </c>
      <c r="D142" s="75">
        <v>0</v>
      </c>
      <c r="E142" s="110">
        <v>0</v>
      </c>
      <c r="F142" s="110">
        <v>0</v>
      </c>
      <c r="G142" s="110">
        <v>0</v>
      </c>
      <c r="H142" s="76">
        <v>0</v>
      </c>
      <c r="I142" s="76">
        <v>0</v>
      </c>
      <c r="J142" s="77">
        <v>0</v>
      </c>
      <c r="K142" s="69">
        <f>+'Fluxo Consolidado'!D137</f>
        <v>1268342.8638095239</v>
      </c>
      <c r="L142" s="78">
        <f>+'Fluxo Consolidado'!E137</f>
        <v>1106529.1499999999</v>
      </c>
      <c r="M142" s="78">
        <f>+'Fluxo Consolidado'!F137</f>
        <v>0</v>
      </c>
      <c r="N142" s="70">
        <v>0</v>
      </c>
      <c r="O142" s="242">
        <f t="shared" si="71"/>
        <v>0.05</v>
      </c>
      <c r="P142" s="70">
        <f>+'Fluxo Consolidado'!H137</f>
        <v>-55326.457499999997</v>
      </c>
      <c r="Q142" s="70">
        <f>+'Fluxo Consolidado'!I137</f>
        <v>62820.528500000008</v>
      </c>
      <c r="R142" s="79">
        <f>'Fluxo Consolidado'!J137</f>
        <v>844491.19669308467</v>
      </c>
      <c r="S142" s="79">
        <f>'Fluxo Consolidado'!K137</f>
        <v>61</v>
      </c>
      <c r="T142" s="79">
        <f t="shared" si="83"/>
        <v>0</v>
      </c>
      <c r="U142" s="79">
        <v>7</v>
      </c>
      <c r="V142" s="79">
        <f t="shared" si="81"/>
        <v>3226857.2815026087</v>
      </c>
      <c r="W142" s="79">
        <v>0</v>
      </c>
      <c r="X142" s="79">
        <v>0</v>
      </c>
      <c r="Y142" s="71">
        <v>0</v>
      </c>
      <c r="Z142" s="38">
        <f t="shared" si="70"/>
        <v>0</v>
      </c>
      <c r="AA142" s="80">
        <v>0</v>
      </c>
      <c r="AB142" s="81">
        <f>+'Fluxo Consolidado'!P137</f>
        <v>0</v>
      </c>
      <c r="AC142" s="208">
        <f>'Fluxo Consolidado'!Q137</f>
        <v>0</v>
      </c>
      <c r="AD142" s="81">
        <f>+'Fluxo Consolidado'!R137</f>
        <v>0</v>
      </c>
      <c r="AE142" s="81">
        <f>+'Fluxo Consolidado'!S137</f>
        <v>0</v>
      </c>
      <c r="AF142" s="208">
        <f>'Fluxo Consolidado'!T137</f>
        <v>0</v>
      </c>
      <c r="AG142" s="81">
        <f>+'Fluxo Consolidado'!U137</f>
        <v>0</v>
      </c>
      <c r="AH142" s="246">
        <f>+'Fluxo Consolidado'!V137</f>
        <v>0</v>
      </c>
      <c r="AI142" s="125" t="e">
        <f>+'Fluxo Consolidado'!#REF!</f>
        <v>#REF!</v>
      </c>
      <c r="AJ142" s="82">
        <f>+'Fluxo Consolidado'!X137</f>
        <v>0</v>
      </c>
      <c r="AK142" s="85">
        <v>0</v>
      </c>
      <c r="AL142" s="85">
        <f>+'Fluxo Consolidado'!Y137+'Fluxo Consolidado'!Z137+'Fluxo Consolidado'!AA137</f>
        <v>0</v>
      </c>
      <c r="AM142" s="85">
        <f>+'Fluxo Consolidado'!AB137+'Fluxo Consolidado'!AC137</f>
        <v>-49973.406383928574</v>
      </c>
      <c r="AN142" s="103">
        <f>+'Fluxo Consolidado'!AD137</f>
        <v>0</v>
      </c>
      <c r="AO142" s="85">
        <f>+'Fluxo Consolidado'!AF137+'Fluxo Consolidado'!AF137</f>
        <v>0</v>
      </c>
      <c r="AP142" s="83">
        <f>+'Fluxo Consolidado'!AG137</f>
        <v>0</v>
      </c>
      <c r="AQ142" s="119">
        <f>+'Fluxo Consolidado'!AH137</f>
        <v>-197613.19979362021</v>
      </c>
      <c r="AR142" s="85">
        <f>+'Fluxo Consolidado'!AI137</f>
        <v>-9209.81</v>
      </c>
      <c r="AS142" s="85">
        <f>+'Fluxo Consolidado'!AJ137</f>
        <v>-1000</v>
      </c>
      <c r="AT142" s="85">
        <v>0</v>
      </c>
      <c r="AU142" s="85">
        <f>+'Fluxo Consolidado'!AK137</f>
        <v>-11339.505249763053</v>
      </c>
      <c r="AV142" s="84">
        <f>+'Fluxo Consolidado'!AL137</f>
        <v>0</v>
      </c>
      <c r="AW142" s="82">
        <f t="shared" si="74"/>
        <v>-39522.639958724045</v>
      </c>
      <c r="AX142" s="82">
        <v>0</v>
      </c>
      <c r="AY142" s="82">
        <f>(-V141*$AY$1)+'Fluxo Consolidado'!AO137</f>
        <v>-131742.13319574681</v>
      </c>
      <c r="AZ142" s="84">
        <v>0</v>
      </c>
      <c r="BA142" s="122">
        <v>0</v>
      </c>
      <c r="BB142" s="81">
        <v>0</v>
      </c>
      <c r="BC142" s="81">
        <f>+'Fluxo Consolidado'!AP137</f>
        <v>0</v>
      </c>
      <c r="BD142" s="125">
        <f>+'Fluxo Consolidado'!AQ137</f>
        <v>0</v>
      </c>
      <c r="BE142" s="133"/>
      <c r="BF142" s="78">
        <f t="shared" si="84"/>
        <v>3226857.2815026087</v>
      </c>
      <c r="BG142" s="70" t="e">
        <f t="shared" si="85"/>
        <v>#REF!</v>
      </c>
      <c r="BH142" s="70" t="e">
        <f t="shared" si="72"/>
        <v>#REF!</v>
      </c>
      <c r="BI142" s="71" t="e">
        <f t="shared" si="73"/>
        <v>#REF!</v>
      </c>
      <c r="BJ142" s="201" t="e">
        <f t="shared" si="88"/>
        <v>#REF!</v>
      </c>
      <c r="BQ142" s="82">
        <v>0</v>
      </c>
      <c r="BR142" s="223">
        <v>-656783.16684287589</v>
      </c>
      <c r="BS142" s="223">
        <v>-24489.604968512809</v>
      </c>
      <c r="BT142" s="223">
        <v>0</v>
      </c>
      <c r="BU142" s="223">
        <v>-3185261.2758515426</v>
      </c>
      <c r="BV142" s="223">
        <v>3254825.2381270472</v>
      </c>
      <c r="BW142" s="223">
        <f t="shared" si="75"/>
        <v>-681272.77181138867</v>
      </c>
      <c r="BX142" s="83">
        <f t="shared" si="82"/>
        <v>-681272.77181138867</v>
      </c>
      <c r="BY142" s="78">
        <f t="shared" si="76"/>
        <v>2615148.4719667244</v>
      </c>
      <c r="BZ142" s="70" t="e">
        <f t="shared" si="77"/>
        <v>#REF!</v>
      </c>
      <c r="CA142" s="70" t="e">
        <f t="shared" si="78"/>
        <v>#REF!</v>
      </c>
      <c r="CB142" s="71" t="e">
        <f t="shared" si="79"/>
        <v>#REF!</v>
      </c>
      <c r="CC142" s="270" t="e">
        <f t="shared" si="80"/>
        <v>#REF!</v>
      </c>
      <c r="CD142" s="201"/>
      <c r="CE142" s="69" t="e">
        <f t="shared" si="86"/>
        <v>#REF!</v>
      </c>
      <c r="CF142" s="71" t="e">
        <f t="shared" si="87"/>
        <v>#REF!</v>
      </c>
    </row>
    <row r="143" spans="1:84" ht="15" customHeight="1">
      <c r="A143" s="35">
        <f t="shared" si="69"/>
        <v>81</v>
      </c>
      <c r="B143" s="87"/>
      <c r="C143" s="36">
        <v>45717</v>
      </c>
      <c r="D143" s="75">
        <v>0</v>
      </c>
      <c r="E143" s="110">
        <v>0</v>
      </c>
      <c r="F143" s="110">
        <v>0</v>
      </c>
      <c r="G143" s="110">
        <v>0</v>
      </c>
      <c r="H143" s="76">
        <v>0</v>
      </c>
      <c r="I143" s="76">
        <v>0</v>
      </c>
      <c r="J143" s="77">
        <v>0</v>
      </c>
      <c r="K143" s="69">
        <f>+'Fluxo Consolidado'!D138</f>
        <v>1268342.8638095239</v>
      </c>
      <c r="L143" s="78">
        <f>+'Fluxo Consolidado'!E138</f>
        <v>1054804.4099999999</v>
      </c>
      <c r="M143" s="78">
        <f>+'Fluxo Consolidado'!F138</f>
        <v>0</v>
      </c>
      <c r="N143" s="70">
        <v>0</v>
      </c>
      <c r="O143" s="242">
        <f t="shared" si="71"/>
        <v>0.05</v>
      </c>
      <c r="P143" s="70">
        <f>+'Fluxo Consolidado'!H138</f>
        <v>-52740.220499999996</v>
      </c>
      <c r="Q143" s="70">
        <f>+'Fluxo Consolidado'!I138</f>
        <v>61087.292000000009</v>
      </c>
      <c r="R143" s="79">
        <f>'Fluxo Consolidado'!J138</f>
        <v>841844.39584854199</v>
      </c>
      <c r="S143" s="79">
        <f>'Fluxo Consolidado'!K138</f>
        <v>62</v>
      </c>
      <c r="T143" s="79">
        <f t="shared" si="83"/>
        <v>0</v>
      </c>
      <c r="U143" s="79">
        <v>7</v>
      </c>
      <c r="V143" s="79">
        <f t="shared" si="81"/>
        <v>3173338.7411580654</v>
      </c>
      <c r="W143" s="79">
        <v>0</v>
      </c>
      <c r="X143" s="79">
        <v>0</v>
      </c>
      <c r="Y143" s="71">
        <v>0</v>
      </c>
      <c r="Z143" s="38">
        <f t="shared" si="70"/>
        <v>0</v>
      </c>
      <c r="AA143" s="80">
        <v>0</v>
      </c>
      <c r="AB143" s="81">
        <f>+'Fluxo Consolidado'!P138</f>
        <v>0</v>
      </c>
      <c r="AC143" s="208">
        <f>'Fluxo Consolidado'!Q138</f>
        <v>0</v>
      </c>
      <c r="AD143" s="81">
        <f>+'Fluxo Consolidado'!R138</f>
        <v>0</v>
      </c>
      <c r="AE143" s="81">
        <f>+'Fluxo Consolidado'!S138</f>
        <v>0</v>
      </c>
      <c r="AF143" s="208">
        <f>'Fluxo Consolidado'!T138</f>
        <v>0</v>
      </c>
      <c r="AG143" s="81">
        <f>+'Fluxo Consolidado'!U138</f>
        <v>0</v>
      </c>
      <c r="AH143" s="246">
        <f>+'Fluxo Consolidado'!V138</f>
        <v>0</v>
      </c>
      <c r="AI143" s="125" t="e">
        <f>+'Fluxo Consolidado'!#REF!</f>
        <v>#REF!</v>
      </c>
      <c r="AJ143" s="82">
        <f>+'Fluxo Consolidado'!X138</f>
        <v>0</v>
      </c>
      <c r="AK143" s="85">
        <v>0</v>
      </c>
      <c r="AL143" s="85">
        <f>+'Fluxo Consolidado'!Y138+'Fluxo Consolidado'!Z138+'Fluxo Consolidado'!AA138</f>
        <v>0</v>
      </c>
      <c r="AM143" s="85">
        <f>+'Fluxo Consolidado'!AB138+'Fluxo Consolidado'!AC138</f>
        <v>-48773.406383928574</v>
      </c>
      <c r="AN143" s="103">
        <f>+'Fluxo Consolidado'!AD138</f>
        <v>0</v>
      </c>
      <c r="AO143" s="85">
        <f>+'Fluxo Consolidado'!AF138+'Fluxo Consolidado'!AF138</f>
        <v>0</v>
      </c>
      <c r="AP143" s="83">
        <f>+'Fluxo Consolidado'!AG138</f>
        <v>0</v>
      </c>
      <c r="AQ143" s="119">
        <f>+'Fluxo Consolidado'!AH138</f>
        <v>-193611.4368901565</v>
      </c>
      <c r="AR143" s="85">
        <f>+'Fluxo Consolidado'!AI138</f>
        <v>-9209.81</v>
      </c>
      <c r="AS143" s="85">
        <f>+'Fluxo Consolidado'!AJ138</f>
        <v>-1000</v>
      </c>
      <c r="AT143" s="85">
        <v>0</v>
      </c>
      <c r="AU143" s="85">
        <f>+'Fluxo Consolidado'!AK138</f>
        <v>-10993.869463708232</v>
      </c>
      <c r="AV143" s="84">
        <f>+'Fluxo Consolidado'!AL138</f>
        <v>0</v>
      </c>
      <c r="AW143" s="82">
        <f t="shared" si="74"/>
        <v>-38722.287378031302</v>
      </c>
      <c r="AX143" s="82">
        <v>0</v>
      </c>
      <c r="AY143" s="82">
        <f>(-V142*$AY$1)+'Fluxo Consolidado'!AO138</f>
        <v>-129074.29126010435</v>
      </c>
      <c r="AZ143" s="84">
        <v>0</v>
      </c>
      <c r="BA143" s="122">
        <v>0</v>
      </c>
      <c r="BB143" s="81">
        <v>0</v>
      </c>
      <c r="BC143" s="81">
        <f>+'Fluxo Consolidado'!AP138</f>
        <v>0</v>
      </c>
      <c r="BD143" s="125">
        <f>+'Fluxo Consolidado'!AQ138</f>
        <v>0</v>
      </c>
      <c r="BE143" s="133"/>
      <c r="BF143" s="78">
        <f t="shared" si="84"/>
        <v>3173338.7411580654</v>
      </c>
      <c r="BG143" s="70" t="e">
        <f t="shared" si="85"/>
        <v>#REF!</v>
      </c>
      <c r="BH143" s="70" t="e">
        <f t="shared" si="72"/>
        <v>#REF!</v>
      </c>
      <c r="BI143" s="71" t="e">
        <f t="shared" si="73"/>
        <v>#REF!</v>
      </c>
      <c r="BJ143" s="201" t="e">
        <f t="shared" si="88"/>
        <v>#REF!</v>
      </c>
      <c r="BQ143" s="82">
        <v>0</v>
      </c>
      <c r="BR143" s="223">
        <v>-651683.55831164622</v>
      </c>
      <c r="BS143" s="223">
        <v>-24114.359613036919</v>
      </c>
      <c r="BT143" s="223">
        <v>0</v>
      </c>
      <c r="BU143" s="223">
        <v>-3132433.0323417112</v>
      </c>
      <c r="BV143" s="223">
        <v>3185261.2758515426</v>
      </c>
      <c r="BW143" s="223">
        <f t="shared" si="75"/>
        <v>-675797.91792468319</v>
      </c>
      <c r="BX143" s="83">
        <f t="shared" si="82"/>
        <v>-675797.91792468319</v>
      </c>
      <c r="BY143" s="78">
        <f t="shared" si="76"/>
        <v>2550369.0667432137</v>
      </c>
      <c r="BZ143" s="70" t="e">
        <f t="shared" si="77"/>
        <v>#REF!</v>
      </c>
      <c r="CA143" s="70" t="e">
        <f t="shared" si="78"/>
        <v>#REF!</v>
      </c>
      <c r="CB143" s="71" t="e">
        <f t="shared" si="79"/>
        <v>#REF!</v>
      </c>
      <c r="CC143" s="270" t="e">
        <f t="shared" si="80"/>
        <v>#REF!</v>
      </c>
      <c r="CD143" s="201"/>
      <c r="CE143" s="69" t="e">
        <f t="shared" si="86"/>
        <v>#REF!</v>
      </c>
      <c r="CF143" s="71" t="e">
        <f t="shared" si="87"/>
        <v>#REF!</v>
      </c>
    </row>
    <row r="144" spans="1:84" ht="15" customHeight="1">
      <c r="A144" s="35">
        <f t="shared" si="69"/>
        <v>82</v>
      </c>
      <c r="B144" s="87"/>
      <c r="C144" s="36">
        <v>45748</v>
      </c>
      <c r="D144" s="75">
        <v>0</v>
      </c>
      <c r="E144" s="110">
        <v>0</v>
      </c>
      <c r="F144" s="110">
        <v>0</v>
      </c>
      <c r="G144" s="110">
        <v>0</v>
      </c>
      <c r="H144" s="76">
        <v>0</v>
      </c>
      <c r="I144" s="76">
        <v>0</v>
      </c>
      <c r="J144" s="77">
        <v>0</v>
      </c>
      <c r="K144" s="69">
        <f>+'Fluxo Consolidado'!D139</f>
        <v>1268342.8638095239</v>
      </c>
      <c r="L144" s="78">
        <f>+'Fluxo Consolidado'!E139</f>
        <v>944234.38</v>
      </c>
      <c r="M144" s="78">
        <f>+'Fluxo Consolidado'!F139</f>
        <v>0</v>
      </c>
      <c r="N144" s="70">
        <v>0</v>
      </c>
      <c r="O144" s="242">
        <f t="shared" si="71"/>
        <v>0.05</v>
      </c>
      <c r="P144" s="70">
        <f>+'Fluxo Consolidado'!H139</f>
        <v>-47211.719000000005</v>
      </c>
      <c r="Q144" s="70">
        <f>+'Fluxo Consolidado'!I139</f>
        <v>58441.228000000003</v>
      </c>
      <c r="R144" s="79">
        <f>'Fluxo Consolidado'!J139</f>
        <v>816848.64201352</v>
      </c>
      <c r="S144" s="79">
        <f>'Fluxo Consolidado'!K139</f>
        <v>63</v>
      </c>
      <c r="T144" s="79">
        <f t="shared" si="83"/>
        <v>0</v>
      </c>
      <c r="U144" s="79">
        <v>7</v>
      </c>
      <c r="V144" s="79">
        <f t="shared" si="81"/>
        <v>3040655.3948230436</v>
      </c>
      <c r="W144" s="79">
        <v>0</v>
      </c>
      <c r="X144" s="79">
        <v>0</v>
      </c>
      <c r="Y144" s="71">
        <v>0</v>
      </c>
      <c r="Z144" s="38">
        <f t="shared" si="70"/>
        <v>0</v>
      </c>
      <c r="AA144" s="80">
        <v>0</v>
      </c>
      <c r="AB144" s="81">
        <f>+'Fluxo Consolidado'!P139</f>
        <v>0</v>
      </c>
      <c r="AC144" s="208">
        <f>'Fluxo Consolidado'!Q139</f>
        <v>0</v>
      </c>
      <c r="AD144" s="81">
        <f>+'Fluxo Consolidado'!R139</f>
        <v>0</v>
      </c>
      <c r="AE144" s="81">
        <f>+'Fluxo Consolidado'!S139</f>
        <v>0</v>
      </c>
      <c r="AF144" s="208">
        <f>'Fluxo Consolidado'!T139</f>
        <v>0</v>
      </c>
      <c r="AG144" s="81">
        <f>+'Fluxo Consolidado'!U139</f>
        <v>0</v>
      </c>
      <c r="AH144" s="246">
        <f>+'Fluxo Consolidado'!V139</f>
        <v>0</v>
      </c>
      <c r="AI144" s="125" t="e">
        <f>+'Fluxo Consolidado'!#REF!</f>
        <v>#REF!</v>
      </c>
      <c r="AJ144" s="82">
        <f>+'Fluxo Consolidado'!X139</f>
        <v>0</v>
      </c>
      <c r="AK144" s="85">
        <v>0</v>
      </c>
      <c r="AL144" s="85">
        <f>+'Fluxo Consolidado'!Y139+'Fluxo Consolidado'!Z139+'Fluxo Consolidado'!AA139</f>
        <v>0</v>
      </c>
      <c r="AM144" s="85">
        <f>+'Fluxo Consolidado'!AB139+'Fluxo Consolidado'!AC139</f>
        <v>-46466.346383928569</v>
      </c>
      <c r="AN144" s="103">
        <f>+'Fluxo Consolidado'!AD139</f>
        <v>0</v>
      </c>
      <c r="AO144" s="85">
        <f>+'Fluxo Consolidado'!AF139+'Fluxo Consolidado'!AF139</f>
        <v>0</v>
      </c>
      <c r="AP144" s="83">
        <f>+'Fluxo Consolidado'!AG139</f>
        <v>0</v>
      </c>
      <c r="AQ144" s="119">
        <f>+'Fluxo Consolidado'!AH139</f>
        <v>-190400.32446948392</v>
      </c>
      <c r="AR144" s="85">
        <f>+'Fluxo Consolidado'!AI139</f>
        <v>-9209.81</v>
      </c>
      <c r="AS144" s="85">
        <f>+'Fluxo Consolidado'!AJ139</f>
        <v>-1000</v>
      </c>
      <c r="AT144" s="85">
        <v>0</v>
      </c>
      <c r="AU144" s="85">
        <f>+'Fluxo Consolidado'!AK139</f>
        <v>-10667.713609187407</v>
      </c>
      <c r="AV144" s="84">
        <f>+'Fluxo Consolidado'!AL139</f>
        <v>0</v>
      </c>
      <c r="AW144" s="82">
        <f t="shared" si="74"/>
        <v>-38080.064893896786</v>
      </c>
      <c r="AX144" s="82">
        <v>0</v>
      </c>
      <c r="AY144" s="82">
        <f>(-V143*$AY$1)+'Fluxo Consolidado'!AO139</f>
        <v>-126933.54964632262</v>
      </c>
      <c r="AZ144" s="84">
        <v>0</v>
      </c>
      <c r="BA144" s="122">
        <v>0</v>
      </c>
      <c r="BB144" s="81">
        <v>0</v>
      </c>
      <c r="BC144" s="81">
        <f>+'Fluxo Consolidado'!AP139</f>
        <v>0</v>
      </c>
      <c r="BD144" s="125">
        <f>+'Fluxo Consolidado'!AQ139</f>
        <v>0</v>
      </c>
      <c r="BE144" s="133"/>
      <c r="BF144" s="78">
        <f t="shared" si="84"/>
        <v>3040655.3948230436</v>
      </c>
      <c r="BG144" s="70" t="e">
        <f t="shared" si="85"/>
        <v>#REF!</v>
      </c>
      <c r="BH144" s="70" t="e">
        <f t="shared" si="72"/>
        <v>#REF!</v>
      </c>
      <c r="BI144" s="71" t="e">
        <f t="shared" si="73"/>
        <v>#REF!</v>
      </c>
      <c r="BJ144" s="201" t="e">
        <f t="shared" si="88"/>
        <v>#REF!</v>
      </c>
      <c r="BQ144" s="82">
        <v>0</v>
      </c>
      <c r="BR144" s="223">
        <v>-646583.94978041644</v>
      </c>
      <c r="BS144" s="223">
        <v>-23749.753658499569</v>
      </c>
      <c r="BT144" s="223">
        <v>0</v>
      </c>
      <c r="BU144" s="223">
        <v>-2996460.4176561814</v>
      </c>
      <c r="BV144" s="223">
        <v>3132433.0323417112</v>
      </c>
      <c r="BW144" s="223">
        <f t="shared" si="75"/>
        <v>-670333.70343891601</v>
      </c>
      <c r="BX144" s="83">
        <f t="shared" si="82"/>
        <v>-670333.70343891601</v>
      </c>
      <c r="BY144" s="78">
        <f t="shared" si="76"/>
        <v>2506294.3060696572</v>
      </c>
      <c r="BZ144" s="70" t="e">
        <f t="shared" si="77"/>
        <v>#REF!</v>
      </c>
      <c r="CA144" s="70" t="e">
        <f t="shared" si="78"/>
        <v>#REF!</v>
      </c>
      <c r="CB144" s="71" t="e">
        <f t="shared" si="79"/>
        <v>#REF!</v>
      </c>
      <c r="CC144" s="270" t="e">
        <f t="shared" si="80"/>
        <v>#REF!</v>
      </c>
      <c r="CD144" s="201"/>
      <c r="CE144" s="69" t="e">
        <f t="shared" si="86"/>
        <v>#REF!</v>
      </c>
      <c r="CF144" s="71" t="e">
        <f t="shared" si="87"/>
        <v>#REF!</v>
      </c>
    </row>
    <row r="145" spans="1:84" ht="15" customHeight="1">
      <c r="A145" s="35">
        <f t="shared" si="69"/>
        <v>83</v>
      </c>
      <c r="B145" s="87"/>
      <c r="C145" s="36">
        <v>45778</v>
      </c>
      <c r="D145" s="75">
        <v>0</v>
      </c>
      <c r="E145" s="110">
        <v>0</v>
      </c>
      <c r="F145" s="110">
        <v>0</v>
      </c>
      <c r="G145" s="110">
        <v>0</v>
      </c>
      <c r="H145" s="76">
        <v>0</v>
      </c>
      <c r="I145" s="76">
        <v>0</v>
      </c>
      <c r="J145" s="77">
        <v>0</v>
      </c>
      <c r="K145" s="69">
        <f>+'Fluxo Consolidado'!D140</f>
        <v>1268342.8638095239</v>
      </c>
      <c r="L145" s="78">
        <f>+'Fluxo Consolidado'!E140</f>
        <v>862570.83</v>
      </c>
      <c r="M145" s="78">
        <f>+'Fluxo Consolidado'!F140</f>
        <v>0</v>
      </c>
      <c r="N145" s="70">
        <v>0</v>
      </c>
      <c r="O145" s="242">
        <f t="shared" si="71"/>
        <v>0.05</v>
      </c>
      <c r="P145" s="70">
        <f>+'Fluxo Consolidado'!H140</f>
        <v>-43128.541499999999</v>
      </c>
      <c r="Q145" s="70">
        <f>+'Fluxo Consolidado'!I140</f>
        <v>55326.457499999997</v>
      </c>
      <c r="R145" s="79">
        <f>'Fluxo Consolidado'!J140</f>
        <v>801287.81380134076</v>
      </c>
      <c r="S145" s="79">
        <f>'Fluxo Consolidado'!K140</f>
        <v>64</v>
      </c>
      <c r="T145" s="79">
        <f t="shared" si="83"/>
        <v>0</v>
      </c>
      <c r="U145" s="79">
        <v>7</v>
      </c>
      <c r="V145" s="79">
        <f t="shared" si="81"/>
        <v>2944399.4236108647</v>
      </c>
      <c r="W145" s="79">
        <v>0</v>
      </c>
      <c r="X145" s="79">
        <v>0</v>
      </c>
      <c r="Y145" s="71">
        <v>0</v>
      </c>
      <c r="Z145" s="38">
        <f t="shared" si="70"/>
        <v>0</v>
      </c>
      <c r="AA145" s="80">
        <v>0</v>
      </c>
      <c r="AB145" s="81">
        <f>+'Fluxo Consolidado'!P140</f>
        <v>0</v>
      </c>
      <c r="AC145" s="208">
        <f>'Fluxo Consolidado'!Q140</f>
        <v>0</v>
      </c>
      <c r="AD145" s="81">
        <f>+'Fluxo Consolidado'!R140</f>
        <v>0</v>
      </c>
      <c r="AE145" s="81">
        <f>+'Fluxo Consolidado'!S140</f>
        <v>0</v>
      </c>
      <c r="AF145" s="208">
        <f>'Fluxo Consolidado'!T140</f>
        <v>0</v>
      </c>
      <c r="AG145" s="81">
        <f>+'Fluxo Consolidado'!U140</f>
        <v>0</v>
      </c>
      <c r="AH145" s="246">
        <f>+'Fluxo Consolidado'!V140</f>
        <v>0</v>
      </c>
      <c r="AI145" s="125" t="e">
        <f>+'Fluxo Consolidado'!#REF!</f>
        <v>#REF!</v>
      </c>
      <c r="AJ145" s="82">
        <f>+'Fluxo Consolidado'!X140</f>
        <v>0</v>
      </c>
      <c r="AK145" s="85">
        <v>0</v>
      </c>
      <c r="AL145" s="85">
        <f>+'Fluxo Consolidado'!Y140+'Fluxo Consolidado'!Z140+'Fluxo Consolidado'!AA140</f>
        <v>0</v>
      </c>
      <c r="AM145" s="85">
        <f>+'Fluxo Consolidado'!AB140+'Fluxo Consolidado'!AC140</f>
        <v>-44986.546383928573</v>
      </c>
      <c r="AN145" s="103">
        <f>+'Fluxo Consolidado'!AD140</f>
        <v>0</v>
      </c>
      <c r="AO145" s="85">
        <f>+'Fluxo Consolidado'!AF140+'Fluxo Consolidado'!AF140</f>
        <v>0</v>
      </c>
      <c r="AP145" s="83">
        <f>+'Fluxo Consolidado'!AG140</f>
        <v>0</v>
      </c>
      <c r="AQ145" s="119">
        <f>+'Fluxo Consolidado'!AH140</f>
        <v>-182439.32368938261</v>
      </c>
      <c r="AR145" s="85">
        <f>+'Fluxo Consolidado'!AI140</f>
        <v>-9209.81</v>
      </c>
      <c r="AS145" s="85">
        <f>+'Fluxo Consolidado'!AJ140</f>
        <v>-1000</v>
      </c>
      <c r="AT145" s="85">
        <v>0</v>
      </c>
      <c r="AU145" s="85">
        <f>+'Fluxo Consolidado'!AK140</f>
        <v>-9964.6373318127662</v>
      </c>
      <c r="AV145" s="84">
        <f>+'Fluxo Consolidado'!AL140</f>
        <v>0</v>
      </c>
      <c r="AW145" s="82">
        <f t="shared" si="74"/>
        <v>-36487.864737876524</v>
      </c>
      <c r="AX145" s="82">
        <v>0</v>
      </c>
      <c r="AY145" s="82">
        <f>(-V144*$AY$1)+'Fluxo Consolidado'!AO140</f>
        <v>-121626.21579292175</v>
      </c>
      <c r="AZ145" s="84">
        <v>0</v>
      </c>
      <c r="BA145" s="122">
        <v>0</v>
      </c>
      <c r="BB145" s="81">
        <v>0</v>
      </c>
      <c r="BC145" s="81">
        <f>+'Fluxo Consolidado'!AP140</f>
        <v>0</v>
      </c>
      <c r="BD145" s="125">
        <f>+'Fluxo Consolidado'!AQ140</f>
        <v>0</v>
      </c>
      <c r="BE145" s="133"/>
      <c r="BF145" s="78">
        <f t="shared" si="84"/>
        <v>2944399.4236108647</v>
      </c>
      <c r="BG145" s="70" t="e">
        <f t="shared" si="85"/>
        <v>#REF!</v>
      </c>
      <c r="BH145" s="70" t="e">
        <f t="shared" si="72"/>
        <v>#REF!</v>
      </c>
      <c r="BI145" s="71" t="e">
        <f t="shared" si="73"/>
        <v>#REF!</v>
      </c>
      <c r="BJ145" s="201" t="e">
        <f t="shared" si="88"/>
        <v>#REF!</v>
      </c>
      <c r="BQ145" s="82">
        <v>0</v>
      </c>
      <c r="BR145" s="223">
        <v>-641484.34124918678</v>
      </c>
      <c r="BS145" s="223">
        <v>-23395.485443998939</v>
      </c>
      <c r="BT145" s="223">
        <v>0</v>
      </c>
      <c r="BU145" s="223">
        <v>-2897748.9598003528</v>
      </c>
      <c r="BV145" s="223">
        <v>2996460.4176561814</v>
      </c>
      <c r="BW145" s="223">
        <f t="shared" si="75"/>
        <v>-664879.82669318572</v>
      </c>
      <c r="BX145" s="83">
        <f t="shared" si="82"/>
        <v>-664879.82669318572</v>
      </c>
      <c r="BY145" s="78">
        <f t="shared" si="76"/>
        <v>2378231.0547735072</v>
      </c>
      <c r="BZ145" s="70" t="e">
        <f t="shared" si="77"/>
        <v>#REF!</v>
      </c>
      <c r="CA145" s="70" t="e">
        <f t="shared" si="78"/>
        <v>#REF!</v>
      </c>
      <c r="CB145" s="71" t="e">
        <f t="shared" si="79"/>
        <v>#REF!</v>
      </c>
      <c r="CC145" s="270" t="e">
        <f t="shared" si="80"/>
        <v>#REF!</v>
      </c>
      <c r="CD145" s="201"/>
      <c r="CE145" s="69" t="e">
        <f t="shared" si="86"/>
        <v>#REF!</v>
      </c>
      <c r="CF145" s="71" t="e">
        <f t="shared" si="87"/>
        <v>#REF!</v>
      </c>
    </row>
    <row r="146" spans="1:84" ht="15" customHeight="1">
      <c r="A146" s="35">
        <f t="shared" si="69"/>
        <v>84</v>
      </c>
      <c r="B146" s="87"/>
      <c r="C146" s="36">
        <v>45809</v>
      </c>
      <c r="D146" s="75">
        <v>0</v>
      </c>
      <c r="E146" s="110">
        <v>0</v>
      </c>
      <c r="F146" s="110">
        <v>0</v>
      </c>
      <c r="G146" s="110">
        <v>0</v>
      </c>
      <c r="H146" s="76">
        <v>0</v>
      </c>
      <c r="I146" s="76">
        <v>0</v>
      </c>
      <c r="J146" s="77">
        <v>0</v>
      </c>
      <c r="K146" s="69">
        <f>+'Fluxo Consolidado'!D141</f>
        <v>1268342.8638095239</v>
      </c>
      <c r="L146" s="78">
        <f>+'Fluxo Consolidado'!E141</f>
        <v>764638.02</v>
      </c>
      <c r="M146" s="78">
        <f>+'Fluxo Consolidado'!F141</f>
        <v>0</v>
      </c>
      <c r="N146" s="70">
        <v>0</v>
      </c>
      <c r="O146" s="242">
        <f t="shared" si="71"/>
        <v>0.05</v>
      </c>
      <c r="P146" s="70">
        <f>+'Fluxo Consolidado'!H141</f>
        <v>-38231.901000000005</v>
      </c>
      <c r="Q146" s="70">
        <f>+'Fluxo Consolidado'!I141</f>
        <v>52740.220499999996</v>
      </c>
      <c r="R146" s="79">
        <f>'Fluxo Consolidado'!J141</f>
        <v>778449.33878311166</v>
      </c>
      <c r="S146" s="79">
        <f>'Fluxo Consolidado'!K141</f>
        <v>65</v>
      </c>
      <c r="T146" s="79">
        <f t="shared" si="83"/>
        <v>0</v>
      </c>
      <c r="U146" s="79">
        <v>7</v>
      </c>
      <c r="V146" s="79">
        <f t="shared" si="81"/>
        <v>2825938.5420926353</v>
      </c>
      <c r="W146" s="79">
        <v>0</v>
      </c>
      <c r="X146" s="79">
        <v>0</v>
      </c>
      <c r="Y146" s="71">
        <v>0</v>
      </c>
      <c r="Z146" s="38">
        <f t="shared" si="70"/>
        <v>0</v>
      </c>
      <c r="AA146" s="80">
        <v>0</v>
      </c>
      <c r="AB146" s="81">
        <f>+'Fluxo Consolidado'!P141</f>
        <v>0</v>
      </c>
      <c r="AC146" s="208">
        <f>'Fluxo Consolidado'!Q141</f>
        <v>0</v>
      </c>
      <c r="AD146" s="81">
        <f>+'Fluxo Consolidado'!R141</f>
        <v>0</v>
      </c>
      <c r="AE146" s="81">
        <f>+'Fluxo Consolidado'!S141</f>
        <v>0</v>
      </c>
      <c r="AF146" s="208">
        <f>'Fluxo Consolidado'!T141</f>
        <v>0</v>
      </c>
      <c r="AG146" s="81">
        <f>+'Fluxo Consolidado'!U141</f>
        <v>0</v>
      </c>
      <c r="AH146" s="246">
        <f>+'Fluxo Consolidado'!V141</f>
        <v>0</v>
      </c>
      <c r="AI146" s="125" t="e">
        <f>+'Fluxo Consolidado'!#REF!</f>
        <v>#REF!</v>
      </c>
      <c r="AJ146" s="82">
        <f>+'Fluxo Consolidado'!X141</f>
        <v>0</v>
      </c>
      <c r="AK146" s="85">
        <v>0</v>
      </c>
      <c r="AL146" s="85">
        <f>+'Fluxo Consolidado'!Y141+'Fluxo Consolidado'!Z141+'Fluxo Consolidado'!AA141</f>
        <v>0</v>
      </c>
      <c r="AM146" s="85">
        <f>+'Fluxo Consolidado'!AB141+'Fluxo Consolidado'!AC141</f>
        <v>-42962.356383928571</v>
      </c>
      <c r="AN146" s="103">
        <f>+'Fluxo Consolidado'!AD141</f>
        <v>0</v>
      </c>
      <c r="AO146" s="85">
        <f>+'Fluxo Consolidado'!AF141+'Fluxo Consolidado'!AF141</f>
        <v>0</v>
      </c>
      <c r="AP146" s="83">
        <f>+'Fluxo Consolidado'!AG141</f>
        <v>0</v>
      </c>
      <c r="AQ146" s="119">
        <f>+'Fluxo Consolidado'!AH141</f>
        <v>-176663.96541665186</v>
      </c>
      <c r="AR146" s="85">
        <f>+'Fluxo Consolidado'!AI141</f>
        <v>-9209.81</v>
      </c>
      <c r="AS146" s="85">
        <f>+'Fluxo Consolidado'!AJ141</f>
        <v>-1000</v>
      </c>
      <c r="AT146" s="85">
        <v>0</v>
      </c>
      <c r="AU146" s="85">
        <f>+'Fluxo Consolidado'!AK141</f>
        <v>-9473.2319942203067</v>
      </c>
      <c r="AV146" s="84">
        <f>+'Fluxo Consolidado'!AL141</f>
        <v>0</v>
      </c>
      <c r="AW146" s="82">
        <f t="shared" si="74"/>
        <v>-35332.793083330376</v>
      </c>
      <c r="AX146" s="82">
        <v>0</v>
      </c>
      <c r="AY146" s="82">
        <f>(-V145*$AY$1)+'Fluxo Consolidado'!AO141</f>
        <v>-117775.97694443459</v>
      </c>
      <c r="AZ146" s="84">
        <v>0</v>
      </c>
      <c r="BA146" s="122">
        <v>0</v>
      </c>
      <c r="BB146" s="81">
        <v>0</v>
      </c>
      <c r="BC146" s="81">
        <f>+'Fluxo Consolidado'!AP141</f>
        <v>0</v>
      </c>
      <c r="BD146" s="125">
        <f>+'Fluxo Consolidado'!AQ141</f>
        <v>0</v>
      </c>
      <c r="BE146" s="133"/>
      <c r="BF146" s="78">
        <f t="shared" si="84"/>
        <v>2825938.5420926353</v>
      </c>
      <c r="BG146" s="70" t="e">
        <f t="shared" si="85"/>
        <v>#REF!</v>
      </c>
      <c r="BH146" s="70" t="e">
        <f t="shared" si="72"/>
        <v>#REF!</v>
      </c>
      <c r="BI146" s="71" t="e">
        <f t="shared" si="73"/>
        <v>#REF!</v>
      </c>
      <c r="BJ146" s="201" t="e">
        <f t="shared" si="88"/>
        <v>#REF!</v>
      </c>
      <c r="BQ146" s="82">
        <v>0</v>
      </c>
      <c r="BR146" s="223">
        <v>-636384.73271795711</v>
      </c>
      <c r="BS146" s="223">
        <v>-23051.261861680556</v>
      </c>
      <c r="BT146" s="223">
        <v>0</v>
      </c>
      <c r="BU146" s="223">
        <v>-2777379.3976896247</v>
      </c>
      <c r="BV146" s="223">
        <v>2897748.9598003528</v>
      </c>
      <c r="BW146" s="223">
        <f t="shared" si="75"/>
        <v>-659435.99457963766</v>
      </c>
      <c r="BX146" s="83">
        <f t="shared" si="82"/>
        <v>-659435.99457963766</v>
      </c>
      <c r="BY146" s="78">
        <f t="shared" si="76"/>
        <v>2286872.1096237255</v>
      </c>
      <c r="BZ146" s="70" t="e">
        <f t="shared" si="77"/>
        <v>#REF!</v>
      </c>
      <c r="CA146" s="70" t="e">
        <f t="shared" si="78"/>
        <v>#REF!</v>
      </c>
      <c r="CB146" s="71" t="e">
        <f t="shared" si="79"/>
        <v>#REF!</v>
      </c>
      <c r="CC146" s="270" t="e">
        <f t="shared" si="80"/>
        <v>#REF!</v>
      </c>
      <c r="CD146" s="201"/>
      <c r="CE146" s="69" t="e">
        <f t="shared" si="86"/>
        <v>#REF!</v>
      </c>
      <c r="CF146" s="71" t="e">
        <f t="shared" si="87"/>
        <v>#REF!</v>
      </c>
    </row>
    <row r="147" spans="1:84" ht="15" customHeight="1">
      <c r="A147" s="35">
        <f t="shared" si="69"/>
        <v>85</v>
      </c>
      <c r="B147" s="87"/>
      <c r="C147" s="36">
        <v>45839</v>
      </c>
      <c r="D147" s="75">
        <v>0</v>
      </c>
      <c r="E147" s="110">
        <v>0</v>
      </c>
      <c r="F147" s="110">
        <v>0</v>
      </c>
      <c r="G147" s="110">
        <v>0</v>
      </c>
      <c r="H147" s="76">
        <v>0</v>
      </c>
      <c r="I147" s="76">
        <v>0</v>
      </c>
      <c r="J147" s="77">
        <v>0</v>
      </c>
      <c r="K147" s="69">
        <f>+'Fluxo Consolidado'!D142</f>
        <v>1268342.8638095239</v>
      </c>
      <c r="L147" s="78">
        <f>+'Fluxo Consolidado'!E142</f>
        <v>654088.1</v>
      </c>
      <c r="M147" s="78">
        <f>+'Fluxo Consolidado'!F142</f>
        <v>0</v>
      </c>
      <c r="N147" s="70">
        <v>0</v>
      </c>
      <c r="O147" s="242">
        <f t="shared" si="71"/>
        <v>0.05</v>
      </c>
      <c r="P147" s="70">
        <f>+'Fluxo Consolidado'!H142</f>
        <v>-32704.404999999999</v>
      </c>
      <c r="Q147" s="70">
        <f>+'Fluxo Consolidado'!I142</f>
        <v>47211.719000000005</v>
      </c>
      <c r="R147" s="79">
        <f>'Fluxo Consolidado'!J142</f>
        <v>749411.38272845559</v>
      </c>
      <c r="S147" s="79">
        <f>'Fluxo Consolidado'!K142</f>
        <v>66</v>
      </c>
      <c r="T147" s="79">
        <f t="shared" si="83"/>
        <v>0</v>
      </c>
      <c r="U147" s="79">
        <v>7</v>
      </c>
      <c r="V147" s="79">
        <f t="shared" si="81"/>
        <v>2686349.6605379796</v>
      </c>
      <c r="W147" s="79">
        <v>0</v>
      </c>
      <c r="X147" s="79">
        <v>0</v>
      </c>
      <c r="Y147" s="71">
        <v>0</v>
      </c>
      <c r="Z147" s="38">
        <f t="shared" si="70"/>
        <v>0</v>
      </c>
      <c r="AA147" s="80">
        <v>0</v>
      </c>
      <c r="AB147" s="81">
        <f>+'Fluxo Consolidado'!P142</f>
        <v>0</v>
      </c>
      <c r="AC147" s="208">
        <f>'Fluxo Consolidado'!Q142</f>
        <v>0</v>
      </c>
      <c r="AD147" s="81">
        <f>+'Fluxo Consolidado'!R142</f>
        <v>0</v>
      </c>
      <c r="AE147" s="81">
        <f>+'Fluxo Consolidado'!S142</f>
        <v>0</v>
      </c>
      <c r="AF147" s="208">
        <f>'Fluxo Consolidado'!T142</f>
        <v>0</v>
      </c>
      <c r="AG147" s="81">
        <f>+'Fluxo Consolidado'!U142</f>
        <v>0</v>
      </c>
      <c r="AH147" s="246">
        <f>+'Fluxo Consolidado'!V142</f>
        <v>0</v>
      </c>
      <c r="AI147" s="125" t="e">
        <f>+'Fluxo Consolidado'!#REF!</f>
        <v>#REF!</v>
      </c>
      <c r="AJ147" s="82">
        <f>+'Fluxo Consolidado'!X142</f>
        <v>0</v>
      </c>
      <c r="AK147" s="85">
        <v>0</v>
      </c>
      <c r="AL147" s="85">
        <f>+'Fluxo Consolidado'!Y142+'Fluxo Consolidado'!Z142+'Fluxo Consolidado'!AA142</f>
        <v>0</v>
      </c>
      <c r="AM147" s="85">
        <f>+'Fluxo Consolidado'!AB142+'Fluxo Consolidado'!AC142</f>
        <v>-40916.766383928574</v>
      </c>
      <c r="AN147" s="103">
        <f>+'Fluxo Consolidado'!AD142</f>
        <v>0</v>
      </c>
      <c r="AO147" s="85">
        <f>+'Fluxo Consolidado'!AF142+'Fluxo Consolidado'!AF142</f>
        <v>0</v>
      </c>
      <c r="AP147" s="83">
        <f>+'Fluxo Consolidado'!AG142</f>
        <v>0</v>
      </c>
      <c r="AQ147" s="119">
        <f>+'Fluxo Consolidado'!AH142</f>
        <v>-169556.31252555811</v>
      </c>
      <c r="AR147" s="85">
        <f>+'Fluxo Consolidado'!AI142</f>
        <v>-9209.81</v>
      </c>
      <c r="AS147" s="85">
        <f>+'Fluxo Consolidado'!AJ142</f>
        <v>-1000</v>
      </c>
      <c r="AT147" s="85">
        <v>0</v>
      </c>
      <c r="AU147" s="85">
        <f>+'Fluxo Consolidado'!AK142</f>
        <v>-8929.7129583151109</v>
      </c>
      <c r="AV147" s="84">
        <f>+'Fluxo Consolidado'!AL142</f>
        <v>0</v>
      </c>
      <c r="AW147" s="82">
        <f t="shared" si="74"/>
        <v>-33911.262505111627</v>
      </c>
      <c r="AX147" s="82">
        <v>0</v>
      </c>
      <c r="AY147" s="82">
        <f>(-V146*$AY$1)+'Fluxo Consolidado'!AO142</f>
        <v>-113037.54168370541</v>
      </c>
      <c r="AZ147" s="84">
        <v>0</v>
      </c>
      <c r="BA147" s="122">
        <v>0</v>
      </c>
      <c r="BB147" s="81">
        <v>0</v>
      </c>
      <c r="BC147" s="81">
        <f>+'Fluxo Consolidado'!AP142</f>
        <v>0</v>
      </c>
      <c r="BD147" s="125">
        <f>+'Fluxo Consolidado'!AQ142</f>
        <v>0</v>
      </c>
      <c r="BE147" s="133"/>
      <c r="BF147" s="78">
        <f t="shared" si="84"/>
        <v>2686349.6605379796</v>
      </c>
      <c r="BG147" s="70" t="e">
        <f t="shared" si="85"/>
        <v>#REF!</v>
      </c>
      <c r="BH147" s="70" t="e">
        <f t="shared" si="72"/>
        <v>#REF!</v>
      </c>
      <c r="BI147" s="71" t="e">
        <f t="shared" si="73"/>
        <v>#REF!</v>
      </c>
      <c r="BJ147" s="201" t="e">
        <f t="shared" si="88"/>
        <v>#REF!</v>
      </c>
      <c r="BQ147" s="82">
        <v>0</v>
      </c>
      <c r="BR147" s="223">
        <v>-631285.12418672745</v>
      </c>
      <c r="BS147" s="223">
        <v>-22716.798114231111</v>
      </c>
      <c r="BT147" s="223">
        <v>0</v>
      </c>
      <c r="BU147" s="223">
        <v>-2632624.840681551</v>
      </c>
      <c r="BV147" s="223">
        <v>2777379.3976896247</v>
      </c>
      <c r="BW147" s="223">
        <f t="shared" si="75"/>
        <v>-654001.92230095854</v>
      </c>
      <c r="BX147" s="83">
        <f t="shared" si="82"/>
        <v>-654001.92230095854</v>
      </c>
      <c r="BY147" s="78">
        <f t="shared" si="76"/>
        <v>2177102.2952450947</v>
      </c>
      <c r="BZ147" s="70" t="e">
        <f t="shared" si="77"/>
        <v>#REF!</v>
      </c>
      <c r="CA147" s="70" t="e">
        <f t="shared" si="78"/>
        <v>#REF!</v>
      </c>
      <c r="CB147" s="71" t="e">
        <f t="shared" si="79"/>
        <v>#REF!</v>
      </c>
      <c r="CC147" s="270" t="e">
        <f t="shared" si="80"/>
        <v>#REF!</v>
      </c>
      <c r="CD147" s="201"/>
      <c r="CE147" s="69" t="e">
        <f t="shared" si="86"/>
        <v>#REF!</v>
      </c>
      <c r="CF147" s="71" t="e">
        <f t="shared" si="87"/>
        <v>#REF!</v>
      </c>
    </row>
    <row r="148" spans="1:84" ht="15" customHeight="1">
      <c r="A148" s="35">
        <f t="shared" si="69"/>
        <v>86</v>
      </c>
      <c r="B148" s="87"/>
      <c r="C148" s="36">
        <v>45870</v>
      </c>
      <c r="D148" s="75">
        <v>0</v>
      </c>
      <c r="E148" s="110">
        <v>0</v>
      </c>
      <c r="F148" s="110">
        <v>0</v>
      </c>
      <c r="G148" s="110">
        <v>0</v>
      </c>
      <c r="H148" s="76">
        <v>0</v>
      </c>
      <c r="I148" s="76">
        <v>0</v>
      </c>
      <c r="J148" s="77">
        <v>0</v>
      </c>
      <c r="K148" s="69">
        <f>+'Fluxo Consolidado'!D143</f>
        <v>1268342.8638095239</v>
      </c>
      <c r="L148" s="78">
        <f>+'Fluxo Consolidado'!E143</f>
        <v>527643.85</v>
      </c>
      <c r="M148" s="78">
        <f>+'Fluxo Consolidado'!F143</f>
        <v>0</v>
      </c>
      <c r="N148" s="70">
        <v>0</v>
      </c>
      <c r="O148" s="242">
        <f t="shared" si="71"/>
        <v>0.05</v>
      </c>
      <c r="P148" s="70">
        <f>+'Fluxo Consolidado'!H143</f>
        <v>-26382.192500000001</v>
      </c>
      <c r="Q148" s="70">
        <f>+'Fluxo Consolidado'!I143</f>
        <v>43128.541499999999</v>
      </c>
      <c r="R148" s="79">
        <f>'Fluxo Consolidado'!J143</f>
        <v>712600.80550416233</v>
      </c>
      <c r="S148" s="79">
        <f>'Fluxo Consolidado'!K143</f>
        <v>67</v>
      </c>
      <c r="T148" s="79">
        <f t="shared" si="83"/>
        <v>0</v>
      </c>
      <c r="U148" s="79">
        <v>7</v>
      </c>
      <c r="V148" s="79">
        <f t="shared" si="81"/>
        <v>2525333.8683136865</v>
      </c>
      <c r="W148" s="79">
        <v>0</v>
      </c>
      <c r="X148" s="79">
        <v>0</v>
      </c>
      <c r="Y148" s="71">
        <v>0</v>
      </c>
      <c r="Z148" s="38">
        <f t="shared" si="70"/>
        <v>0</v>
      </c>
      <c r="AA148" s="80">
        <v>0</v>
      </c>
      <c r="AB148" s="81">
        <f>+'Fluxo Consolidado'!P143</f>
        <v>0</v>
      </c>
      <c r="AC148" s="208">
        <f>'Fluxo Consolidado'!Q143</f>
        <v>0</v>
      </c>
      <c r="AD148" s="81">
        <f>+'Fluxo Consolidado'!R143</f>
        <v>0</v>
      </c>
      <c r="AE148" s="81">
        <f>+'Fluxo Consolidado'!S143</f>
        <v>0</v>
      </c>
      <c r="AF148" s="208">
        <f>'Fluxo Consolidado'!T143</f>
        <v>0</v>
      </c>
      <c r="AG148" s="81">
        <f>+'Fluxo Consolidado'!U143</f>
        <v>0</v>
      </c>
      <c r="AH148" s="246">
        <f>+'Fluxo Consolidado'!V143</f>
        <v>0</v>
      </c>
      <c r="AI148" s="125" t="e">
        <f>+'Fluxo Consolidado'!#REF!</f>
        <v>#REF!</v>
      </c>
      <c r="AJ148" s="82">
        <f>+'Fluxo Consolidado'!X143</f>
        <v>0</v>
      </c>
      <c r="AK148" s="85">
        <v>0</v>
      </c>
      <c r="AL148" s="85">
        <f>+'Fluxo Consolidado'!Y143+'Fluxo Consolidado'!Z143+'Fluxo Consolidado'!AA143</f>
        <v>0</v>
      </c>
      <c r="AM148" s="85">
        <f>+'Fluxo Consolidado'!AB143+'Fluxo Consolidado'!AC143</f>
        <v>-38372.896383928572</v>
      </c>
      <c r="AN148" s="103">
        <f>+'Fluxo Consolidado'!AD143</f>
        <v>0</v>
      </c>
      <c r="AO148" s="85">
        <f>+'Fluxo Consolidado'!AF143+'Fluxo Consolidado'!AF143</f>
        <v>0</v>
      </c>
      <c r="AP148" s="83">
        <f>+'Fluxo Consolidado'!AG143</f>
        <v>0</v>
      </c>
      <c r="AQ148" s="119">
        <f>+'Fluxo Consolidado'!AH143</f>
        <v>-161180.97963227876</v>
      </c>
      <c r="AR148" s="85">
        <f>+'Fluxo Consolidado'!AI143</f>
        <v>-9209.81</v>
      </c>
      <c r="AS148" s="85">
        <f>+'Fluxo Consolidado'!AJ143</f>
        <v>-1000</v>
      </c>
      <c r="AT148" s="85">
        <v>0</v>
      </c>
      <c r="AU148" s="85">
        <f>+'Fluxo Consolidado'!AK143</f>
        <v>-8329.4256794732337</v>
      </c>
      <c r="AV148" s="84">
        <f>+'Fluxo Consolidado'!AL143</f>
        <v>0</v>
      </c>
      <c r="AW148" s="82">
        <f t="shared" si="74"/>
        <v>-32236.195926455755</v>
      </c>
      <c r="AX148" s="82">
        <v>0</v>
      </c>
      <c r="AY148" s="82">
        <f>(-V147*$AY$1)+'Fluxo Consolidado'!AO143</f>
        <v>-107453.98642151919</v>
      </c>
      <c r="AZ148" s="84">
        <v>0</v>
      </c>
      <c r="BA148" s="122">
        <v>0</v>
      </c>
      <c r="BB148" s="81">
        <v>0</v>
      </c>
      <c r="BC148" s="81">
        <f>+'Fluxo Consolidado'!AP143</f>
        <v>0</v>
      </c>
      <c r="BD148" s="125">
        <f>+'Fluxo Consolidado'!AQ143</f>
        <v>0</v>
      </c>
      <c r="BE148" s="133"/>
      <c r="BF148" s="78">
        <f t="shared" si="84"/>
        <v>2525333.8683136865</v>
      </c>
      <c r="BG148" s="70" t="e">
        <f t="shared" si="85"/>
        <v>#REF!</v>
      </c>
      <c r="BH148" s="70" t="e">
        <f t="shared" si="72"/>
        <v>#REF!</v>
      </c>
      <c r="BI148" s="71" t="e">
        <f t="shared" si="73"/>
        <v>#REF!</v>
      </c>
      <c r="BJ148" s="201" t="e">
        <f t="shared" si="88"/>
        <v>#REF!</v>
      </c>
      <c r="BQ148" s="82">
        <v>0</v>
      </c>
      <c r="BR148" s="223">
        <v>-626185.51565549767</v>
      </c>
      <c r="BS148" s="223">
        <v>-37953.570467296006</v>
      </c>
      <c r="BT148" s="223">
        <v>0</v>
      </c>
      <c r="BU148" s="223">
        <v>-2530294.6652144319</v>
      </c>
      <c r="BV148" s="223">
        <v>2632624.840681551</v>
      </c>
      <c r="BW148" s="223">
        <f t="shared" si="75"/>
        <v>-664139.08612279373</v>
      </c>
      <c r="BX148" s="83">
        <f t="shared" si="82"/>
        <v>-664139.08612279373</v>
      </c>
      <c r="BY148" s="78">
        <f t="shared" si="76"/>
        <v>1963524.9576580119</v>
      </c>
      <c r="BZ148" s="70" t="e">
        <f t="shared" si="77"/>
        <v>#REF!</v>
      </c>
      <c r="CA148" s="70" t="e">
        <f t="shared" si="78"/>
        <v>#REF!</v>
      </c>
      <c r="CB148" s="71" t="e">
        <f t="shared" si="79"/>
        <v>#REF!</v>
      </c>
      <c r="CC148" s="270" t="e">
        <f t="shared" si="80"/>
        <v>#REF!</v>
      </c>
      <c r="CD148" s="201"/>
      <c r="CE148" s="69" t="e">
        <f t="shared" si="86"/>
        <v>#REF!</v>
      </c>
      <c r="CF148" s="71" t="e">
        <f t="shared" si="87"/>
        <v>#REF!</v>
      </c>
    </row>
    <row r="149" spans="1:84" ht="15" customHeight="1">
      <c r="A149" s="35">
        <f t="shared" si="69"/>
        <v>87</v>
      </c>
      <c r="B149" s="87"/>
      <c r="C149" s="36">
        <v>45901</v>
      </c>
      <c r="D149" s="75">
        <v>0</v>
      </c>
      <c r="E149" s="110">
        <v>0</v>
      </c>
      <c r="F149" s="110">
        <v>0</v>
      </c>
      <c r="G149" s="110">
        <v>0</v>
      </c>
      <c r="H149" s="76">
        <v>0</v>
      </c>
      <c r="I149" s="76">
        <v>0</v>
      </c>
      <c r="J149" s="77">
        <v>0</v>
      </c>
      <c r="K149" s="69">
        <f>+'Fluxo Consolidado'!D144</f>
        <v>1268342.8638095239</v>
      </c>
      <c r="L149" s="78">
        <f>+'Fluxo Consolidado'!E144</f>
        <v>448536.89</v>
      </c>
      <c r="M149" s="78">
        <f>+'Fluxo Consolidado'!F144</f>
        <v>0</v>
      </c>
      <c r="N149" s="70">
        <v>0</v>
      </c>
      <c r="O149" s="242">
        <f t="shared" si="71"/>
        <v>0.05</v>
      </c>
      <c r="P149" s="70">
        <f>+'Fluxo Consolidado'!H144</f>
        <v>-22426.844500000003</v>
      </c>
      <c r="Q149" s="70">
        <f>+'Fluxo Consolidado'!I144</f>
        <v>38231.901000000005</v>
      </c>
      <c r="R149" s="79">
        <f>'Fluxo Consolidado'!J144</f>
        <v>693203.68661888456</v>
      </c>
      <c r="S149" s="79">
        <f>'Fluxo Consolidado'!K144</f>
        <v>68</v>
      </c>
      <c r="T149" s="79">
        <f t="shared" si="83"/>
        <v>0</v>
      </c>
      <c r="U149" s="79">
        <v>7</v>
      </c>
      <c r="V149" s="79">
        <f t="shared" si="81"/>
        <v>2425888.4969284083</v>
      </c>
      <c r="W149" s="79">
        <v>0</v>
      </c>
      <c r="X149" s="79">
        <v>0</v>
      </c>
      <c r="Y149" s="71">
        <v>0</v>
      </c>
      <c r="Z149" s="38">
        <f t="shared" si="70"/>
        <v>0</v>
      </c>
      <c r="AA149" s="80">
        <v>0</v>
      </c>
      <c r="AB149" s="81">
        <f>+'Fluxo Consolidado'!P144</f>
        <v>0</v>
      </c>
      <c r="AC149" s="208">
        <f>'Fluxo Consolidado'!Q144</f>
        <v>0</v>
      </c>
      <c r="AD149" s="81">
        <f>+'Fluxo Consolidado'!R144</f>
        <v>0</v>
      </c>
      <c r="AE149" s="81">
        <f>+'Fluxo Consolidado'!S144</f>
        <v>0</v>
      </c>
      <c r="AF149" s="208">
        <f>'Fluxo Consolidado'!T144</f>
        <v>0</v>
      </c>
      <c r="AG149" s="81">
        <f>+'Fluxo Consolidado'!U144</f>
        <v>0</v>
      </c>
      <c r="AH149" s="246">
        <f>+'Fluxo Consolidado'!V144</f>
        <v>0</v>
      </c>
      <c r="AI149" s="125" t="e">
        <f>+'Fluxo Consolidado'!#REF!</f>
        <v>#REF!</v>
      </c>
      <c r="AJ149" s="82">
        <f>+'Fluxo Consolidado'!X144</f>
        <v>0</v>
      </c>
      <c r="AK149" s="85">
        <v>0</v>
      </c>
      <c r="AL149" s="85">
        <f>+'Fluxo Consolidado'!Y144+'Fluxo Consolidado'!Z144+'Fluxo Consolidado'!AA144</f>
        <v>0</v>
      </c>
      <c r="AM149" s="85">
        <f>+'Fluxo Consolidado'!AB144+'Fluxo Consolidado'!AC144</f>
        <v>-36941.656383928574</v>
      </c>
      <c r="AN149" s="103">
        <f>+'Fluxo Consolidado'!AD144</f>
        <v>0</v>
      </c>
      <c r="AO149" s="85">
        <f>+'Fluxo Consolidado'!AF144+'Fluxo Consolidado'!AF144</f>
        <v>0</v>
      </c>
      <c r="AP149" s="83">
        <f>+'Fluxo Consolidado'!AG144</f>
        <v>0</v>
      </c>
      <c r="AQ149" s="119">
        <f>+'Fluxo Consolidado'!AH144</f>
        <v>-151520.03209882119</v>
      </c>
      <c r="AR149" s="85">
        <f>+'Fluxo Consolidado'!AI144</f>
        <v>-9209.81</v>
      </c>
      <c r="AS149" s="85">
        <f>+'Fluxo Consolidado'!AJ144</f>
        <v>-1000</v>
      </c>
      <c r="AT149" s="85">
        <v>0</v>
      </c>
      <c r="AU149" s="85">
        <f>+'Fluxo Consolidado'!AK144</f>
        <v>-7961.8513451892395</v>
      </c>
      <c r="AV149" s="84">
        <f>+'Fluxo Consolidado'!AL144</f>
        <v>0</v>
      </c>
      <c r="AW149" s="82">
        <f t="shared" si="74"/>
        <v>-30304.006419764239</v>
      </c>
      <c r="AX149" s="82">
        <v>0</v>
      </c>
      <c r="AY149" s="82">
        <f>(-V148*$AY$1)+'Fluxo Consolidado'!AO144</f>
        <v>-101013.35473254746</v>
      </c>
      <c r="AZ149" s="84">
        <v>0</v>
      </c>
      <c r="BA149" s="122">
        <v>0</v>
      </c>
      <c r="BB149" s="81">
        <v>0</v>
      </c>
      <c r="BC149" s="81">
        <f>+'Fluxo Consolidado'!AP144</f>
        <v>0</v>
      </c>
      <c r="BD149" s="125">
        <f>+'Fluxo Consolidado'!AQ144</f>
        <v>0</v>
      </c>
      <c r="BE149" s="133"/>
      <c r="BF149" s="78">
        <f t="shared" si="84"/>
        <v>2425888.4969284083</v>
      </c>
      <c r="BG149" s="70" t="e">
        <f t="shared" si="85"/>
        <v>#REF!</v>
      </c>
      <c r="BH149" s="70" t="e">
        <f t="shared" si="72"/>
        <v>#REF!</v>
      </c>
      <c r="BI149" s="71" t="e">
        <f t="shared" si="73"/>
        <v>#REF!</v>
      </c>
      <c r="BJ149" s="201" t="e">
        <f t="shared" si="88"/>
        <v>#REF!</v>
      </c>
      <c r="BQ149" s="82">
        <v>0</v>
      </c>
      <c r="BR149" s="223">
        <v>-621085.90712426812</v>
      </c>
      <c r="BS149" s="223">
        <v>-22076.051080290814</v>
      </c>
      <c r="BT149" s="223">
        <v>0</v>
      </c>
      <c r="BU149" s="223">
        <v>-2455638.5839751814</v>
      </c>
      <c r="BV149" s="223">
        <v>2530294.6652144319</v>
      </c>
      <c r="BW149" s="223">
        <f t="shared" si="75"/>
        <v>-643161.95820455893</v>
      </c>
      <c r="BX149" s="83">
        <f t="shared" si="82"/>
        <v>-643161.95820455893</v>
      </c>
      <c r="BY149" s="78">
        <f t="shared" si="76"/>
        <v>1857382.6199630997</v>
      </c>
      <c r="BZ149" s="70" t="e">
        <f t="shared" si="77"/>
        <v>#REF!</v>
      </c>
      <c r="CA149" s="70" t="e">
        <f t="shared" si="78"/>
        <v>#REF!</v>
      </c>
      <c r="CB149" s="71" t="e">
        <f t="shared" si="79"/>
        <v>#REF!</v>
      </c>
      <c r="CC149" s="270" t="e">
        <f t="shared" si="80"/>
        <v>#REF!</v>
      </c>
      <c r="CD149" s="201"/>
      <c r="CE149" s="69" t="e">
        <f t="shared" si="86"/>
        <v>#REF!</v>
      </c>
      <c r="CF149" s="71" t="e">
        <f t="shared" si="87"/>
        <v>#REF!</v>
      </c>
    </row>
    <row r="150" spans="1:84" ht="15" customHeight="1">
      <c r="A150" s="35">
        <f t="shared" si="69"/>
        <v>88</v>
      </c>
      <c r="B150" s="87"/>
      <c r="C150" s="36">
        <v>45931</v>
      </c>
      <c r="D150" s="75">
        <v>0</v>
      </c>
      <c r="E150" s="110">
        <v>0</v>
      </c>
      <c r="F150" s="110">
        <v>0</v>
      </c>
      <c r="G150" s="110">
        <v>0</v>
      </c>
      <c r="H150" s="76">
        <v>0</v>
      </c>
      <c r="I150" s="76">
        <v>0</v>
      </c>
      <c r="J150" s="77">
        <v>0</v>
      </c>
      <c r="K150" s="69">
        <f>+'Fluxo Consolidado'!D145</f>
        <v>1268342.8638095239</v>
      </c>
      <c r="L150" s="78">
        <f>+'Fluxo Consolidado'!E145</f>
        <v>234140.79999999999</v>
      </c>
      <c r="M150" s="78">
        <f>+'Fluxo Consolidado'!F145</f>
        <v>0</v>
      </c>
      <c r="N150" s="70">
        <v>0</v>
      </c>
      <c r="O150" s="242">
        <f t="shared" si="71"/>
        <v>0.05</v>
      </c>
      <c r="P150" s="70">
        <f>+'Fluxo Consolidado'!H145</f>
        <v>-11707.04</v>
      </c>
      <c r="Q150" s="70">
        <f>+'Fluxo Consolidado'!I145</f>
        <v>32704.404999999999</v>
      </c>
      <c r="R150" s="79">
        <f>'Fluxo Consolidado'!J145</f>
        <v>617185.1974342037</v>
      </c>
      <c r="S150" s="79">
        <f>'Fluxo Consolidado'!K145</f>
        <v>69</v>
      </c>
      <c r="T150" s="79">
        <f t="shared" si="83"/>
        <v>0</v>
      </c>
      <c r="U150" s="79">
        <v>7</v>
      </c>
      <c r="V150" s="79">
        <f t="shared" si="81"/>
        <v>2140666.2262437274</v>
      </c>
      <c r="W150" s="79">
        <v>0</v>
      </c>
      <c r="X150" s="79">
        <v>0</v>
      </c>
      <c r="Y150" s="71">
        <v>0</v>
      </c>
      <c r="Z150" s="38">
        <f t="shared" si="70"/>
        <v>0</v>
      </c>
      <c r="AA150" s="80">
        <v>0</v>
      </c>
      <c r="AB150" s="81">
        <f>+'Fluxo Consolidado'!P145</f>
        <v>0</v>
      </c>
      <c r="AC150" s="208">
        <f>'Fluxo Consolidado'!Q145</f>
        <v>0</v>
      </c>
      <c r="AD150" s="81">
        <f>+'Fluxo Consolidado'!R145</f>
        <v>0</v>
      </c>
      <c r="AE150" s="81">
        <f>+'Fluxo Consolidado'!S145</f>
        <v>0</v>
      </c>
      <c r="AF150" s="208">
        <f>'Fluxo Consolidado'!T145</f>
        <v>0</v>
      </c>
      <c r="AG150" s="81">
        <f>+'Fluxo Consolidado'!U145</f>
        <v>0</v>
      </c>
      <c r="AH150" s="246">
        <f>+'Fluxo Consolidado'!V145</f>
        <v>0</v>
      </c>
      <c r="AI150" s="125" t="e">
        <f>+'Fluxo Consolidado'!#REF!</f>
        <v>#REF!</v>
      </c>
      <c r="AJ150" s="82">
        <f>+'Fluxo Consolidado'!X145</f>
        <v>0</v>
      </c>
      <c r="AK150" s="85">
        <v>0</v>
      </c>
      <c r="AL150" s="85">
        <f>+'Fluxo Consolidado'!Y145+'Fluxo Consolidado'!Z145+'Fluxo Consolidado'!AA145</f>
        <v>0</v>
      </c>
      <c r="AM150" s="85">
        <f>+'Fluxo Consolidado'!AB145+'Fluxo Consolidado'!AC145</f>
        <v>-32712.536383928575</v>
      </c>
      <c r="AN150" s="103">
        <f>+'Fluxo Consolidado'!AD145</f>
        <v>0</v>
      </c>
      <c r="AO150" s="85">
        <f>+'Fluxo Consolidado'!AF145+'Fluxo Consolidado'!AF145</f>
        <v>0</v>
      </c>
      <c r="AP150" s="83">
        <f>+'Fluxo Consolidado'!AG145</f>
        <v>0</v>
      </c>
      <c r="AQ150" s="119">
        <f>+'Fluxo Consolidado'!AH145</f>
        <v>-145553.3098157045</v>
      </c>
      <c r="AR150" s="85">
        <f>+'Fluxo Consolidado'!AI145</f>
        <v>-9209.81</v>
      </c>
      <c r="AS150" s="85">
        <f>+'Fluxo Consolidado'!AJ145</f>
        <v>-1000</v>
      </c>
      <c r="AT150" s="85">
        <v>0</v>
      </c>
      <c r="AU150" s="85">
        <f>+'Fluxo Consolidado'!AK145</f>
        <v>-7703.4185621059814</v>
      </c>
      <c r="AV150" s="84">
        <f>+'Fluxo Consolidado'!AL145</f>
        <v>0</v>
      </c>
      <c r="AW150" s="82">
        <f t="shared" si="74"/>
        <v>-29110.661963140901</v>
      </c>
      <c r="AX150" s="82">
        <v>0</v>
      </c>
      <c r="AY150" s="82">
        <f>(-V149*$AY$1)+'Fluxo Consolidado'!AO145</f>
        <v>-97035.53987713634</v>
      </c>
      <c r="AZ150" s="84">
        <v>0</v>
      </c>
      <c r="BA150" s="122">
        <v>0</v>
      </c>
      <c r="BB150" s="81">
        <v>0</v>
      </c>
      <c r="BC150" s="81">
        <f>+'Fluxo Consolidado'!AP145</f>
        <v>0</v>
      </c>
      <c r="BD150" s="125">
        <f>+'Fluxo Consolidado'!AQ145</f>
        <v>0</v>
      </c>
      <c r="BE150" s="133"/>
      <c r="BF150" s="78">
        <f t="shared" si="84"/>
        <v>2140666.2262437274</v>
      </c>
      <c r="BG150" s="70" t="e">
        <f t="shared" si="85"/>
        <v>#REF!</v>
      </c>
      <c r="BH150" s="70" t="e">
        <f t="shared" si="72"/>
        <v>#REF!</v>
      </c>
      <c r="BI150" s="71" t="e">
        <f t="shared" si="73"/>
        <v>#REF!</v>
      </c>
      <c r="BJ150" s="201" t="e">
        <f t="shared" si="88"/>
        <v>#REF!</v>
      </c>
      <c r="BQ150" s="82">
        <v>0</v>
      </c>
      <c r="BR150" s="223">
        <v>-615986.29859303846</v>
      </c>
      <c r="BS150" s="223">
        <v>-21769.237664421431</v>
      </c>
      <c r="BT150" s="223">
        <v>0</v>
      </c>
      <c r="BU150" s="223">
        <v>-2229866.307657701</v>
      </c>
      <c r="BV150" s="223">
        <v>2455638.5839751814</v>
      </c>
      <c r="BW150" s="223">
        <f t="shared" si="75"/>
        <v>-637755.5362574599</v>
      </c>
      <c r="BX150" s="83">
        <f t="shared" si="82"/>
        <v>-637755.5362574599</v>
      </c>
      <c r="BY150" s="78">
        <f t="shared" si="76"/>
        <v>1728682.9663037481</v>
      </c>
      <c r="BZ150" s="70" t="e">
        <f t="shared" si="77"/>
        <v>#REF!</v>
      </c>
      <c r="CA150" s="70" t="e">
        <f t="shared" si="78"/>
        <v>#REF!</v>
      </c>
      <c r="CB150" s="71" t="e">
        <f t="shared" si="79"/>
        <v>#REF!</v>
      </c>
      <c r="CC150" s="270" t="e">
        <f t="shared" si="80"/>
        <v>#REF!</v>
      </c>
      <c r="CD150" s="201"/>
      <c r="CE150" s="69" t="e">
        <f t="shared" si="86"/>
        <v>#REF!</v>
      </c>
      <c r="CF150" s="71" t="e">
        <f t="shared" si="87"/>
        <v>#REF!</v>
      </c>
    </row>
    <row r="151" spans="1:84" ht="15" customHeight="1">
      <c r="A151" s="35">
        <f t="shared" si="69"/>
        <v>89</v>
      </c>
      <c r="B151" s="87"/>
      <c r="C151" s="36">
        <v>45962</v>
      </c>
      <c r="D151" s="75">
        <v>0</v>
      </c>
      <c r="E151" s="110">
        <v>0</v>
      </c>
      <c r="F151" s="110">
        <v>0</v>
      </c>
      <c r="G151" s="110">
        <v>0</v>
      </c>
      <c r="H151" s="76">
        <v>0</v>
      </c>
      <c r="I151" s="76">
        <v>0</v>
      </c>
      <c r="J151" s="77">
        <v>0</v>
      </c>
      <c r="K151" s="69">
        <f>+'Fluxo Consolidado'!D146</f>
        <v>1186334.9042857143</v>
      </c>
      <c r="L151" s="78">
        <f>+'Fluxo Consolidado'!E146</f>
        <v>185062.72</v>
      </c>
      <c r="M151" s="78">
        <f>+'Fluxo Consolidado'!F146</f>
        <v>0</v>
      </c>
      <c r="N151" s="70">
        <v>0</v>
      </c>
      <c r="O151" s="242">
        <f t="shared" si="71"/>
        <v>0.05</v>
      </c>
      <c r="P151" s="70">
        <f>+'Fluxo Consolidado'!H146</f>
        <v>-9253.1360000000004</v>
      </c>
      <c r="Q151" s="70">
        <f>+'Fluxo Consolidado'!I146</f>
        <v>26382.192500000001</v>
      </c>
      <c r="R151" s="79">
        <f>'Fluxo Consolidado'!J146</f>
        <v>573011.79270434403</v>
      </c>
      <c r="S151" s="79">
        <f>'Fluxo Consolidado'!K146</f>
        <v>70</v>
      </c>
      <c r="T151" s="79">
        <f t="shared" si="83"/>
        <v>0</v>
      </c>
      <c r="U151" s="79">
        <v>7</v>
      </c>
      <c r="V151" s="79">
        <f t="shared" si="81"/>
        <v>1961538.4734900582</v>
      </c>
      <c r="W151" s="79">
        <v>0</v>
      </c>
      <c r="X151" s="79">
        <v>0</v>
      </c>
      <c r="Y151" s="71">
        <v>0</v>
      </c>
      <c r="Z151" s="38">
        <f t="shared" si="70"/>
        <v>0</v>
      </c>
      <c r="AA151" s="80">
        <v>0</v>
      </c>
      <c r="AB151" s="81">
        <f>+'Fluxo Consolidado'!P146</f>
        <v>0</v>
      </c>
      <c r="AC151" s="208">
        <f>'Fluxo Consolidado'!Q146</f>
        <v>0</v>
      </c>
      <c r="AD151" s="81">
        <f>+'Fluxo Consolidado'!R146</f>
        <v>0</v>
      </c>
      <c r="AE151" s="81">
        <f>+'Fluxo Consolidado'!S146</f>
        <v>0</v>
      </c>
      <c r="AF151" s="208">
        <f>'Fluxo Consolidado'!T146</f>
        <v>0</v>
      </c>
      <c r="AG151" s="81">
        <f>+'Fluxo Consolidado'!U146</f>
        <v>0</v>
      </c>
      <c r="AH151" s="246">
        <f>+'Fluxo Consolidado'!V146</f>
        <v>0</v>
      </c>
      <c r="AI151" s="125" t="e">
        <f>+'Fluxo Consolidado'!#REF!</f>
        <v>#REF!</v>
      </c>
      <c r="AJ151" s="82">
        <f>+'Fluxo Consolidado'!X146</f>
        <v>0</v>
      </c>
      <c r="AK151" s="85">
        <v>0</v>
      </c>
      <c r="AL151" s="85">
        <f>+'Fluxo Consolidado'!Y146+'Fluxo Consolidado'!Z146+'Fluxo Consolidado'!AA146</f>
        <v>0</v>
      </c>
      <c r="AM151" s="85">
        <f>+'Fluxo Consolidado'!AB146+'Fluxo Consolidado'!AC146</f>
        <v>-29884.399955357141</v>
      </c>
      <c r="AN151" s="103">
        <f>+'Fluxo Consolidado'!AD146</f>
        <v>0</v>
      </c>
      <c r="AO151" s="85">
        <f>+'Fluxo Consolidado'!AF146+'Fluxo Consolidado'!AF146</f>
        <v>0</v>
      </c>
      <c r="AP151" s="83">
        <f>+'Fluxo Consolidado'!AG146</f>
        <v>0</v>
      </c>
      <c r="AQ151" s="119">
        <f>+'Fluxo Consolidado'!AH146</f>
        <v>-128439.97357462364</v>
      </c>
      <c r="AR151" s="85">
        <f>+'Fluxo Consolidado'!AI146</f>
        <v>-9209.81</v>
      </c>
      <c r="AS151" s="85">
        <f>+'Fluxo Consolidado'!AJ146</f>
        <v>-1000</v>
      </c>
      <c r="AT151" s="85">
        <v>0</v>
      </c>
      <c r="AU151" s="85">
        <f>+'Fluxo Consolidado'!AK146</f>
        <v>-7181.0972612188725</v>
      </c>
      <c r="AV151" s="84">
        <f>+'Fluxo Consolidado'!AL146</f>
        <v>0</v>
      </c>
      <c r="AW151" s="82">
        <f t="shared" si="74"/>
        <v>-25687.994714924727</v>
      </c>
      <c r="AX151" s="82">
        <v>0</v>
      </c>
      <c r="AY151" s="82">
        <f>(-V150*$AY$1)+'Fluxo Consolidado'!AO146</f>
        <v>-85626.649049749103</v>
      </c>
      <c r="AZ151" s="84">
        <v>0</v>
      </c>
      <c r="BA151" s="122">
        <v>0</v>
      </c>
      <c r="BB151" s="81">
        <v>0</v>
      </c>
      <c r="BC151" s="81">
        <f>+'Fluxo Consolidado'!AP146</f>
        <v>0</v>
      </c>
      <c r="BD151" s="125">
        <f>+'Fluxo Consolidado'!AQ146</f>
        <v>0</v>
      </c>
      <c r="BE151" s="133"/>
      <c r="BF151" s="78">
        <f t="shared" si="84"/>
        <v>1961538.4734900582</v>
      </c>
      <c r="BG151" s="70" t="e">
        <f t="shared" si="85"/>
        <v>#REF!</v>
      </c>
      <c r="BH151" s="70" t="e">
        <f t="shared" si="72"/>
        <v>#REF!</v>
      </c>
      <c r="BI151" s="71" t="e">
        <f t="shared" si="73"/>
        <v>#REF!</v>
      </c>
      <c r="BJ151" s="201" t="e">
        <f t="shared" si="88"/>
        <v>#REF!</v>
      </c>
      <c r="BQ151" s="82">
        <v>0</v>
      </c>
      <c r="BR151" s="223">
        <v>-610886.69006180868</v>
      </c>
      <c r="BS151" s="223">
        <v>-21471.123386055333</v>
      </c>
      <c r="BT151" s="223">
        <v>0</v>
      </c>
      <c r="BU151" s="223">
        <v>-2095692.9704508118</v>
      </c>
      <c r="BV151" s="223">
        <v>2229866.307657701</v>
      </c>
      <c r="BW151" s="223">
        <f t="shared" si="75"/>
        <v>-632357.81344786403</v>
      </c>
      <c r="BX151" s="83">
        <f t="shared" si="82"/>
        <v>-632357.81344786403</v>
      </c>
      <c r="BY151" s="78">
        <f t="shared" si="76"/>
        <v>1463353.9972490834</v>
      </c>
      <c r="BZ151" s="70" t="e">
        <f t="shared" si="77"/>
        <v>#REF!</v>
      </c>
      <c r="CA151" s="70" t="e">
        <f t="shared" si="78"/>
        <v>#REF!</v>
      </c>
      <c r="CB151" s="71" t="e">
        <f t="shared" si="79"/>
        <v>#REF!</v>
      </c>
      <c r="CC151" s="270" t="e">
        <f t="shared" si="80"/>
        <v>#REF!</v>
      </c>
      <c r="CD151" s="201"/>
      <c r="CE151" s="69" t="e">
        <f t="shared" si="86"/>
        <v>#REF!</v>
      </c>
      <c r="CF151" s="71" t="e">
        <f t="shared" si="87"/>
        <v>#REF!</v>
      </c>
    </row>
    <row r="152" spans="1:84" ht="15" customHeight="1">
      <c r="A152" s="35">
        <f t="shared" si="69"/>
        <v>90</v>
      </c>
      <c r="B152" s="87"/>
      <c r="C152" s="36">
        <v>45992</v>
      </c>
      <c r="D152" s="75">
        <v>0</v>
      </c>
      <c r="E152" s="110">
        <v>0</v>
      </c>
      <c r="F152" s="110">
        <v>0</v>
      </c>
      <c r="G152" s="110">
        <v>0</v>
      </c>
      <c r="H152" s="76">
        <v>0</v>
      </c>
      <c r="I152" s="76">
        <v>0</v>
      </c>
      <c r="J152" s="77">
        <v>0</v>
      </c>
      <c r="K152" s="69">
        <f>+'Fluxo Consolidado'!D147</f>
        <v>1135598.9722619047</v>
      </c>
      <c r="L152" s="78">
        <f>+'Fluxo Consolidado'!E147</f>
        <v>165839.35</v>
      </c>
      <c r="M152" s="78">
        <f>+'Fluxo Consolidado'!F147</f>
        <v>0</v>
      </c>
      <c r="N152" s="70">
        <v>0</v>
      </c>
      <c r="O152" s="242">
        <f t="shared" si="71"/>
        <v>0.05</v>
      </c>
      <c r="P152" s="70">
        <f>+'Fluxo Consolidado'!H147</f>
        <v>-8291.9675000000007</v>
      </c>
      <c r="Q152" s="70">
        <f>+'Fluxo Consolidado'!I147</f>
        <v>22426.844500000003</v>
      </c>
      <c r="R152" s="79">
        <f>'Fluxo Consolidado'!J147</f>
        <v>553006.75555393449</v>
      </c>
      <c r="S152" s="79">
        <f>'Fluxo Consolidado'!K147</f>
        <v>71</v>
      </c>
      <c r="T152" s="79">
        <f t="shared" si="83"/>
        <v>0</v>
      </c>
      <c r="U152" s="79">
        <v>7</v>
      </c>
      <c r="V152" s="79">
        <f t="shared" si="81"/>
        <v>1868579.9548158394</v>
      </c>
      <c r="W152" s="79">
        <v>0</v>
      </c>
      <c r="X152" s="79">
        <v>0</v>
      </c>
      <c r="Y152" s="71">
        <v>0</v>
      </c>
      <c r="Z152" s="38">
        <f t="shared" si="70"/>
        <v>0</v>
      </c>
      <c r="AA152" s="80">
        <v>0</v>
      </c>
      <c r="AB152" s="81">
        <f>+'Fluxo Consolidado'!P147</f>
        <v>0</v>
      </c>
      <c r="AC152" s="208">
        <f>'Fluxo Consolidado'!Q147</f>
        <v>0</v>
      </c>
      <c r="AD152" s="81">
        <f>+'Fluxo Consolidado'!R147</f>
        <v>0</v>
      </c>
      <c r="AE152" s="81">
        <f>+'Fluxo Consolidado'!S147</f>
        <v>0</v>
      </c>
      <c r="AF152" s="208">
        <f>'Fluxo Consolidado'!T147</f>
        <v>0</v>
      </c>
      <c r="AG152" s="81">
        <f>+'Fluxo Consolidado'!U147</f>
        <v>0</v>
      </c>
      <c r="AH152" s="246">
        <f>+'Fluxo Consolidado'!V147</f>
        <v>0</v>
      </c>
      <c r="AI152" s="125" t="e">
        <f>+'Fluxo Consolidado'!#REF!</f>
        <v>#REF!</v>
      </c>
      <c r="AJ152" s="82">
        <f>+'Fluxo Consolidado'!X147</f>
        <v>0</v>
      </c>
      <c r="AK152" s="85">
        <v>0</v>
      </c>
      <c r="AL152" s="85">
        <f>+'Fluxo Consolidado'!Y147+'Fluxo Consolidado'!Z147+'Fluxo Consolidado'!AA147</f>
        <v>0</v>
      </c>
      <c r="AM152" s="85">
        <f>+'Fluxo Consolidado'!AB147+'Fluxo Consolidado'!AC147</f>
        <v>-28582.703526785717</v>
      </c>
      <c r="AN152" s="103">
        <f>+'Fluxo Consolidado'!AD147</f>
        <v>0</v>
      </c>
      <c r="AO152" s="85">
        <f>+'Fluxo Consolidado'!AF147+'Fluxo Consolidado'!AF147</f>
        <v>0</v>
      </c>
      <c r="AP152" s="83">
        <f>+'Fluxo Consolidado'!AG147</f>
        <v>0</v>
      </c>
      <c r="AQ152" s="119">
        <f>+'Fluxo Consolidado'!AH147</f>
        <v>-117692.30840940349</v>
      </c>
      <c r="AR152" s="85">
        <f>+'Fluxo Consolidado'!AI147</f>
        <v>-9209.81</v>
      </c>
      <c r="AS152" s="85">
        <f>+'Fluxo Consolidado'!AJ147</f>
        <v>-1000</v>
      </c>
      <c r="AT152" s="85">
        <v>0</v>
      </c>
      <c r="AU152" s="85">
        <f>+'Fluxo Consolidado'!AK147</f>
        <v>-6972.1644093073337</v>
      </c>
      <c r="AV152" s="84">
        <f>+'Fluxo Consolidado'!AL147</f>
        <v>0</v>
      </c>
      <c r="AW152" s="82">
        <f t="shared" si="74"/>
        <v>-23538.461681880701</v>
      </c>
      <c r="AX152" s="82">
        <v>0</v>
      </c>
      <c r="AY152" s="82">
        <f>(-V151*$AY$1)+'Fluxo Consolidado'!AO147</f>
        <v>-78461.538939602324</v>
      </c>
      <c r="AZ152" s="84">
        <v>0</v>
      </c>
      <c r="BA152" s="122">
        <v>0</v>
      </c>
      <c r="BB152" s="81">
        <v>0</v>
      </c>
      <c r="BC152" s="81">
        <f>+'Fluxo Consolidado'!AP147</f>
        <v>0</v>
      </c>
      <c r="BD152" s="125">
        <f>+'Fluxo Consolidado'!AQ147</f>
        <v>0</v>
      </c>
      <c r="BE152" s="133"/>
      <c r="BF152" s="78">
        <f t="shared" si="84"/>
        <v>1868579.9548158394</v>
      </c>
      <c r="BG152" s="70" t="e">
        <f t="shared" si="85"/>
        <v>#REF!</v>
      </c>
      <c r="BH152" s="70" t="e">
        <f t="shared" si="72"/>
        <v>#REF!</v>
      </c>
      <c r="BI152" s="71" t="e">
        <f t="shared" si="73"/>
        <v>#REF!</v>
      </c>
      <c r="BJ152" s="201" t="e">
        <f t="shared" si="88"/>
        <v>#REF!</v>
      </c>
      <c r="BQ152" s="82">
        <v>0</v>
      </c>
      <c r="BR152" s="223">
        <v>-605787.08153057913</v>
      </c>
      <c r="BS152" s="223">
        <v>-21181.461596938607</v>
      </c>
      <c r="BT152" s="223">
        <v>0</v>
      </c>
      <c r="BU152" s="223">
        <v>-2004740.0950408133</v>
      </c>
      <c r="BV152" s="223">
        <v>2095692.9704508118</v>
      </c>
      <c r="BW152" s="223">
        <f t="shared" si="75"/>
        <v>-626968.54312751768</v>
      </c>
      <c r="BX152" s="83">
        <f t="shared" si="82"/>
        <v>-626968.54312751768</v>
      </c>
      <c r="BY152" s="78">
        <f t="shared" si="76"/>
        <v>1332564.2870983202</v>
      </c>
      <c r="BZ152" s="70" t="e">
        <f t="shared" si="77"/>
        <v>#REF!</v>
      </c>
      <c r="CA152" s="70" t="e">
        <f t="shared" si="78"/>
        <v>#REF!</v>
      </c>
      <c r="CB152" s="71" t="e">
        <f t="shared" si="79"/>
        <v>#REF!</v>
      </c>
      <c r="CC152" s="270" t="e">
        <f t="shared" si="80"/>
        <v>#REF!</v>
      </c>
      <c r="CD152" s="201"/>
      <c r="CE152" s="69" t="e">
        <f t="shared" si="86"/>
        <v>#REF!</v>
      </c>
      <c r="CF152" s="71" t="e">
        <f t="shared" si="87"/>
        <v>#REF!</v>
      </c>
    </row>
    <row r="153" spans="1:84" ht="15" customHeight="1">
      <c r="A153" s="35">
        <f t="shared" si="69"/>
        <v>91</v>
      </c>
      <c r="B153" s="87"/>
      <c r="C153" s="36">
        <v>46023</v>
      </c>
      <c r="D153" s="75">
        <v>0</v>
      </c>
      <c r="E153" s="110">
        <v>0</v>
      </c>
      <c r="F153" s="110">
        <v>0</v>
      </c>
      <c r="G153" s="110">
        <v>0</v>
      </c>
      <c r="H153" s="76">
        <v>0</v>
      </c>
      <c r="I153" s="76">
        <v>0</v>
      </c>
      <c r="J153" s="77">
        <v>0</v>
      </c>
      <c r="K153" s="69">
        <f>+'Fluxo Consolidado'!D148</f>
        <v>1066169.9186904761</v>
      </c>
      <c r="L153" s="78">
        <f>+'Fluxo Consolidado'!E148</f>
        <v>149432.67000000001</v>
      </c>
      <c r="M153" s="78">
        <f>+'Fluxo Consolidado'!F148</f>
        <v>0</v>
      </c>
      <c r="N153" s="70">
        <v>0</v>
      </c>
      <c r="O153" s="242">
        <f t="shared" si="71"/>
        <v>0.05</v>
      </c>
      <c r="P153" s="70">
        <f>+'Fluxo Consolidado'!H148</f>
        <v>-7471.6335000000008</v>
      </c>
      <c r="Q153" s="70">
        <f>+'Fluxo Consolidado'!I148</f>
        <v>11707.04</v>
      </c>
      <c r="R153" s="79">
        <f>'Fluxo Consolidado'!J148</f>
        <v>525194.14336334495</v>
      </c>
      <c r="S153" s="79">
        <f>'Fluxo Consolidado'!K148</f>
        <v>72</v>
      </c>
      <c r="T153" s="79">
        <f t="shared" si="83"/>
        <v>0</v>
      </c>
      <c r="U153" s="79">
        <v>7</v>
      </c>
      <c r="V153" s="79">
        <f t="shared" si="81"/>
        <v>1745032.138553821</v>
      </c>
      <c r="W153" s="79">
        <v>0</v>
      </c>
      <c r="X153" s="79">
        <v>0</v>
      </c>
      <c r="Y153" s="71">
        <v>0</v>
      </c>
      <c r="Z153" s="38">
        <f t="shared" si="70"/>
        <v>0</v>
      </c>
      <c r="AA153" s="80">
        <v>0</v>
      </c>
      <c r="AB153" s="81">
        <f>+'Fluxo Consolidado'!P148</f>
        <v>0</v>
      </c>
      <c r="AC153" s="208">
        <f>'Fluxo Consolidado'!Q148</f>
        <v>0</v>
      </c>
      <c r="AD153" s="81">
        <f>+'Fluxo Consolidado'!R148</f>
        <v>0</v>
      </c>
      <c r="AE153" s="81">
        <f>+'Fluxo Consolidado'!S148</f>
        <v>0</v>
      </c>
      <c r="AF153" s="208">
        <f>'Fluxo Consolidado'!T148</f>
        <v>0</v>
      </c>
      <c r="AG153" s="81">
        <f>+'Fluxo Consolidado'!U148</f>
        <v>0</v>
      </c>
      <c r="AH153" s="246">
        <f>+'Fluxo Consolidado'!V148</f>
        <v>0</v>
      </c>
      <c r="AI153" s="125" t="e">
        <f>+'Fluxo Consolidado'!#REF!</f>
        <v>#REF!</v>
      </c>
      <c r="AJ153" s="82">
        <f>+'Fluxo Consolidado'!X148</f>
        <v>0</v>
      </c>
      <c r="AK153" s="85">
        <v>0</v>
      </c>
      <c r="AL153" s="85">
        <f>+'Fluxo Consolidado'!Y148+'Fluxo Consolidado'!Z148+'Fluxo Consolidado'!AA148</f>
        <v>0</v>
      </c>
      <c r="AM153" s="85">
        <f>+'Fluxo Consolidado'!AB148+'Fluxo Consolidado'!AC148</f>
        <v>-26804.16424107143</v>
      </c>
      <c r="AN153" s="103">
        <f>+'Fluxo Consolidado'!AD148</f>
        <v>0</v>
      </c>
      <c r="AO153" s="85">
        <f>+'Fluxo Consolidado'!AF148+'Fluxo Consolidado'!AF148</f>
        <v>0</v>
      </c>
      <c r="AP153" s="83">
        <f>+'Fluxo Consolidado'!AG148</f>
        <v>0</v>
      </c>
      <c r="AQ153" s="119">
        <f>+'Fluxo Consolidado'!AH148</f>
        <v>-112114.79728895036</v>
      </c>
      <c r="AR153" s="85">
        <f>+'Fluxo Consolidado'!AI148</f>
        <v>-9209.81</v>
      </c>
      <c r="AS153" s="85">
        <f>+'Fluxo Consolidado'!AJ148</f>
        <v>-1000</v>
      </c>
      <c r="AT153" s="85">
        <v>0</v>
      </c>
      <c r="AU153" s="85">
        <f>+'Fluxo Consolidado'!AK148</f>
        <v>-6750.5273595087674</v>
      </c>
      <c r="AV153" s="84">
        <f>+'Fluxo Consolidado'!AL148</f>
        <v>0</v>
      </c>
      <c r="AW153" s="82">
        <f t="shared" si="74"/>
        <v>-22422.959457790075</v>
      </c>
      <c r="AX153" s="82">
        <v>0</v>
      </c>
      <c r="AY153" s="82">
        <f>(-V152*$AY$1)+'Fluxo Consolidado'!AO148</f>
        <v>-74743.198192633572</v>
      </c>
      <c r="AZ153" s="84">
        <v>0</v>
      </c>
      <c r="BA153" s="122">
        <v>0</v>
      </c>
      <c r="BB153" s="81">
        <v>0</v>
      </c>
      <c r="BC153" s="81">
        <f>+'Fluxo Consolidado'!AP148</f>
        <v>0</v>
      </c>
      <c r="BD153" s="125">
        <f>+'Fluxo Consolidado'!AQ148</f>
        <v>0</v>
      </c>
      <c r="BE153" s="133"/>
      <c r="BF153" s="78">
        <f t="shared" si="84"/>
        <v>1745032.138553821</v>
      </c>
      <c r="BG153" s="70" t="e">
        <f t="shared" si="85"/>
        <v>#REF!</v>
      </c>
      <c r="BH153" s="70" t="e">
        <f t="shared" si="72"/>
        <v>#REF!</v>
      </c>
      <c r="BI153" s="71" t="e">
        <f t="shared" si="73"/>
        <v>#REF!</v>
      </c>
      <c r="BJ153" s="201" t="e">
        <f t="shared" si="88"/>
        <v>#REF!</v>
      </c>
      <c r="BQ153" s="82">
        <v>0</v>
      </c>
      <c r="BR153" s="223">
        <v>-600687.47299934947</v>
      </c>
      <c r="BS153" s="223">
        <v>-20900.012642080892</v>
      </c>
      <c r="BT153" s="223">
        <v>0</v>
      </c>
      <c r="BU153" s="223">
        <v>-1886236.8193216198</v>
      </c>
      <c r="BV153" s="223">
        <v>2004740.0950408133</v>
      </c>
      <c r="BW153" s="223">
        <f t="shared" si="75"/>
        <v>-621587.48564143036</v>
      </c>
      <c r="BX153" s="83">
        <f t="shared" si="82"/>
        <v>-621587.48564143036</v>
      </c>
      <c r="BY153" s="78">
        <f t="shared" si="76"/>
        <v>1241947.9286315842</v>
      </c>
      <c r="BZ153" s="70" t="e">
        <f t="shared" si="77"/>
        <v>#REF!</v>
      </c>
      <c r="CA153" s="70" t="e">
        <f t="shared" si="78"/>
        <v>#REF!</v>
      </c>
      <c r="CB153" s="71" t="e">
        <f t="shared" si="79"/>
        <v>#REF!</v>
      </c>
      <c r="CC153" s="270" t="e">
        <f t="shared" si="80"/>
        <v>#REF!</v>
      </c>
      <c r="CD153" s="201"/>
      <c r="CE153" s="69" t="e">
        <f t="shared" si="86"/>
        <v>#REF!</v>
      </c>
      <c r="CF153" s="71" t="e">
        <f t="shared" si="87"/>
        <v>#REF!</v>
      </c>
    </row>
    <row r="154" spans="1:84" ht="15" customHeight="1">
      <c r="A154" s="35">
        <f t="shared" si="69"/>
        <v>92</v>
      </c>
      <c r="B154" s="87"/>
      <c r="C154" s="36">
        <v>46054</v>
      </c>
      <c r="D154" s="75">
        <v>0</v>
      </c>
      <c r="E154" s="110">
        <v>0</v>
      </c>
      <c r="F154" s="110">
        <v>0</v>
      </c>
      <c r="G154" s="110">
        <v>0</v>
      </c>
      <c r="H154" s="76">
        <v>0</v>
      </c>
      <c r="I154" s="76">
        <v>0</v>
      </c>
      <c r="J154" s="77">
        <v>0</v>
      </c>
      <c r="K154" s="69">
        <f>+'Fluxo Consolidado'!D149</f>
        <v>1029680.6817857143</v>
      </c>
      <c r="L154" s="78">
        <f>+'Fluxo Consolidado'!E149</f>
        <v>138703.07999999999</v>
      </c>
      <c r="M154" s="78">
        <f>+'Fluxo Consolidado'!F149</f>
        <v>0</v>
      </c>
      <c r="N154" s="70">
        <v>0</v>
      </c>
      <c r="O154" s="242">
        <f t="shared" si="71"/>
        <v>0.05</v>
      </c>
      <c r="P154" s="70">
        <f>+'Fluxo Consolidado'!H149</f>
        <v>-6935.1539999999995</v>
      </c>
      <c r="Q154" s="70">
        <f>+'Fluxo Consolidado'!I149</f>
        <v>9253.1360000000004</v>
      </c>
      <c r="R154" s="79">
        <f>'Fluxo Consolidado'!J149</f>
        <v>513159.40576779447</v>
      </c>
      <c r="S154" s="79">
        <f>'Fluxo Consolidado'!K149</f>
        <v>73</v>
      </c>
      <c r="T154" s="79">
        <f t="shared" si="83"/>
        <v>0</v>
      </c>
      <c r="U154" s="79">
        <v>8</v>
      </c>
      <c r="V154" s="79">
        <f t="shared" si="81"/>
        <v>1683861.149553509</v>
      </c>
      <c r="W154" s="79">
        <v>0</v>
      </c>
      <c r="X154" s="79">
        <v>0</v>
      </c>
      <c r="Y154" s="71">
        <v>0</v>
      </c>
      <c r="Z154" s="38">
        <f t="shared" si="70"/>
        <v>0</v>
      </c>
      <c r="AA154" s="80">
        <v>0</v>
      </c>
      <c r="AB154" s="81">
        <f>+'Fluxo Consolidado'!P149</f>
        <v>0</v>
      </c>
      <c r="AC154" s="208">
        <f>'Fluxo Consolidado'!Q149</f>
        <v>0</v>
      </c>
      <c r="AD154" s="81">
        <f>+'Fluxo Consolidado'!R149</f>
        <v>0</v>
      </c>
      <c r="AE154" s="81">
        <f>+'Fluxo Consolidado'!S149</f>
        <v>0</v>
      </c>
      <c r="AF154" s="208">
        <f>'Fluxo Consolidado'!T149</f>
        <v>0</v>
      </c>
      <c r="AG154" s="81">
        <f>+'Fluxo Consolidado'!U149</f>
        <v>0</v>
      </c>
      <c r="AH154" s="246">
        <f>+'Fluxo Consolidado'!V149</f>
        <v>0</v>
      </c>
      <c r="AI154" s="125" t="e">
        <f>+'Fluxo Consolidado'!#REF!</f>
        <v>#REF!</v>
      </c>
      <c r="AJ154" s="82">
        <f>+'Fluxo Consolidado'!X149</f>
        <v>0</v>
      </c>
      <c r="AK154" s="85">
        <v>0</v>
      </c>
      <c r="AL154" s="85">
        <f>+'Fluxo Consolidado'!Y149+'Fluxo Consolidado'!Z149+'Fluxo Consolidado'!AA149</f>
        <v>0</v>
      </c>
      <c r="AM154" s="85">
        <f>+'Fluxo Consolidado'!AB149+'Fluxo Consolidado'!AC149</f>
        <v>-25823.289955357144</v>
      </c>
      <c r="AN154" s="103">
        <f>+'Fluxo Consolidado'!AD149</f>
        <v>0</v>
      </c>
      <c r="AO154" s="85">
        <f>+'Fluxo Consolidado'!AF149+'Fluxo Consolidado'!AF149</f>
        <v>0</v>
      </c>
      <c r="AP154" s="83">
        <f>+'Fluxo Consolidado'!AG149</f>
        <v>0</v>
      </c>
      <c r="AQ154" s="119">
        <f>+'Fluxo Consolidado'!AH149</f>
        <v>-104701.92831322926</v>
      </c>
      <c r="AR154" s="85">
        <f>+'Fluxo Consolidado'!AI149</f>
        <v>-9209.81</v>
      </c>
      <c r="AS154" s="85">
        <f>+'Fluxo Consolidado'!AJ149</f>
        <v>-1000</v>
      </c>
      <c r="AT154" s="85">
        <v>0</v>
      </c>
      <c r="AU154" s="85">
        <f>+'Fluxo Consolidado'!AK149</f>
        <v>-6405.0128636486825</v>
      </c>
      <c r="AV154" s="84">
        <f>+'Fluxo Consolidado'!AL149</f>
        <v>0</v>
      </c>
      <c r="AW154" s="82">
        <f t="shared" si="74"/>
        <v>-20940.385662645851</v>
      </c>
      <c r="AX154" s="82">
        <v>0</v>
      </c>
      <c r="AY154" s="82">
        <f>(-V153*$AY$1)+'Fluxo Consolidado'!AO149</f>
        <v>-69801.285542152837</v>
      </c>
      <c r="AZ154" s="84">
        <v>0</v>
      </c>
      <c r="BA154" s="122">
        <v>0</v>
      </c>
      <c r="BB154" s="81">
        <v>0</v>
      </c>
      <c r="BC154" s="81">
        <f>+'Fluxo Consolidado'!AP149</f>
        <v>0</v>
      </c>
      <c r="BD154" s="125">
        <f>+'Fluxo Consolidado'!AQ149</f>
        <v>0</v>
      </c>
      <c r="BE154" s="133"/>
      <c r="BF154" s="78">
        <f t="shared" si="84"/>
        <v>1683861.149553509</v>
      </c>
      <c r="BG154" s="70" t="e">
        <f t="shared" si="85"/>
        <v>#REF!</v>
      </c>
      <c r="BH154" s="70" t="e">
        <f t="shared" si="72"/>
        <v>#REF!</v>
      </c>
      <c r="BI154" s="71" t="e">
        <f t="shared" si="73"/>
        <v>#REF!</v>
      </c>
      <c r="BJ154" s="201" t="e">
        <f t="shared" si="88"/>
        <v>#REF!</v>
      </c>
      <c r="BQ154" s="82">
        <v>0</v>
      </c>
      <c r="BR154" s="223">
        <v>-595587.86446811969</v>
      </c>
      <c r="BS154" s="223">
        <v>-20626.543661474061</v>
      </c>
      <c r="BT154" s="223">
        <v>0</v>
      </c>
      <c r="BU154" s="223">
        <v>-1827982.5258774234</v>
      </c>
      <c r="BV154" s="223">
        <v>1886236.8193216198</v>
      </c>
      <c r="BW154" s="223">
        <f t="shared" si="75"/>
        <v>-616214.40812959371</v>
      </c>
      <c r="BX154" s="83">
        <f t="shared" si="82"/>
        <v>-616214.40812959371</v>
      </c>
      <c r="BY154" s="78">
        <f t="shared" si="76"/>
        <v>1125901.0348681118</v>
      </c>
      <c r="BZ154" s="70" t="e">
        <f t="shared" si="77"/>
        <v>#REF!</v>
      </c>
      <c r="CA154" s="70" t="e">
        <f t="shared" si="78"/>
        <v>#REF!</v>
      </c>
      <c r="CB154" s="71" t="e">
        <f t="shared" si="79"/>
        <v>#REF!</v>
      </c>
      <c r="CC154" s="270" t="e">
        <f t="shared" si="80"/>
        <v>#REF!</v>
      </c>
      <c r="CD154" s="201"/>
      <c r="CE154" s="69" t="e">
        <f t="shared" si="86"/>
        <v>#REF!</v>
      </c>
      <c r="CF154" s="71" t="e">
        <f t="shared" si="87"/>
        <v>#REF!</v>
      </c>
    </row>
    <row r="155" spans="1:84" ht="15" customHeight="1">
      <c r="A155" s="35">
        <f t="shared" si="69"/>
        <v>93</v>
      </c>
      <c r="B155" s="87"/>
      <c r="C155" s="36">
        <v>46082</v>
      </c>
      <c r="D155" s="75">
        <v>0</v>
      </c>
      <c r="E155" s="110">
        <v>0</v>
      </c>
      <c r="F155" s="110">
        <v>0</v>
      </c>
      <c r="G155" s="110">
        <v>0</v>
      </c>
      <c r="H155" s="76">
        <v>0</v>
      </c>
      <c r="I155" s="76">
        <v>0</v>
      </c>
      <c r="J155" s="77">
        <v>0</v>
      </c>
      <c r="K155" s="69">
        <f>+'Fluxo Consolidado'!D150</f>
        <v>803646.41988095234</v>
      </c>
      <c r="L155" s="78">
        <f>+'Fluxo Consolidado'!E150</f>
        <v>122615.72</v>
      </c>
      <c r="M155" s="78">
        <f>+'Fluxo Consolidado'!F150</f>
        <v>0</v>
      </c>
      <c r="N155" s="70">
        <v>0</v>
      </c>
      <c r="O155" s="242">
        <f t="shared" si="71"/>
        <v>0.05</v>
      </c>
      <c r="P155" s="70">
        <f>+'Fluxo Consolidado'!H150</f>
        <v>-6130.7860000000001</v>
      </c>
      <c r="Q155" s="70">
        <f>+'Fluxo Consolidado'!I150</f>
        <v>8291.9675000000007</v>
      </c>
      <c r="R155" s="79">
        <f>'Fluxo Consolidado'!J150</f>
        <v>413483.90310693148</v>
      </c>
      <c r="S155" s="79">
        <f>'Fluxo Consolidado'!K150</f>
        <v>74</v>
      </c>
      <c r="T155" s="79">
        <f t="shared" si="83"/>
        <v>0</v>
      </c>
      <c r="U155" s="79">
        <v>8</v>
      </c>
      <c r="V155" s="79">
        <f t="shared" si="81"/>
        <v>1341907.2244878837</v>
      </c>
      <c r="W155" s="79">
        <v>0</v>
      </c>
      <c r="X155" s="79">
        <v>0</v>
      </c>
      <c r="Y155" s="71">
        <v>0</v>
      </c>
      <c r="Z155" s="38">
        <f t="shared" si="70"/>
        <v>0</v>
      </c>
      <c r="AA155" s="80">
        <v>0</v>
      </c>
      <c r="AB155" s="81">
        <f>+'Fluxo Consolidado'!P150</f>
        <v>0</v>
      </c>
      <c r="AC155" s="208">
        <f>'Fluxo Consolidado'!Q150</f>
        <v>0</v>
      </c>
      <c r="AD155" s="81">
        <f>+'Fluxo Consolidado'!R150</f>
        <v>0</v>
      </c>
      <c r="AE155" s="81">
        <f>+'Fluxo Consolidado'!S150</f>
        <v>0</v>
      </c>
      <c r="AF155" s="208">
        <f>'Fluxo Consolidado'!T150</f>
        <v>0</v>
      </c>
      <c r="AG155" s="81">
        <f>+'Fluxo Consolidado'!U150</f>
        <v>0</v>
      </c>
      <c r="AH155" s="246">
        <f>+'Fluxo Consolidado'!V150</f>
        <v>0</v>
      </c>
      <c r="AI155" s="125" t="e">
        <f>+'Fluxo Consolidado'!#REF!</f>
        <v>#REF!</v>
      </c>
      <c r="AJ155" s="82">
        <f>+'Fluxo Consolidado'!X150</f>
        <v>0</v>
      </c>
      <c r="AK155" s="85">
        <v>0</v>
      </c>
      <c r="AL155" s="85">
        <f>+'Fluxo Consolidado'!Y150+'Fluxo Consolidado'!Z150+'Fluxo Consolidado'!AA150</f>
        <v>0</v>
      </c>
      <c r="AM155" s="85">
        <f>+'Fluxo Consolidado'!AB150+'Fluxo Consolidado'!AC150</f>
        <v>-20437.125669642861</v>
      </c>
      <c r="AN155" s="103">
        <f>+'Fluxo Consolidado'!AD150</f>
        <v>0</v>
      </c>
      <c r="AO155" s="85">
        <f>+'Fluxo Consolidado'!AF150+'Fluxo Consolidado'!AF150</f>
        <v>0</v>
      </c>
      <c r="AP155" s="83">
        <f>+'Fluxo Consolidado'!AG150</f>
        <v>0</v>
      </c>
      <c r="AQ155" s="119">
        <f>+'Fluxo Consolidado'!AH150</f>
        <v>-101031.66897321053</v>
      </c>
      <c r="AR155" s="85">
        <f>+'Fluxo Consolidado'!AI150</f>
        <v>-9209.81</v>
      </c>
      <c r="AS155" s="85">
        <f>+'Fluxo Consolidado'!AJ150</f>
        <v>-1000</v>
      </c>
      <c r="AT155" s="85">
        <v>0</v>
      </c>
      <c r="AU155" s="85">
        <f>+'Fluxo Consolidado'!AK150</f>
        <v>-6142.9493467679968</v>
      </c>
      <c r="AV155" s="84">
        <f>+'Fluxo Consolidado'!AL150</f>
        <v>0</v>
      </c>
      <c r="AW155" s="82">
        <f t="shared" si="74"/>
        <v>-20206.333794642109</v>
      </c>
      <c r="AX155" s="82">
        <v>0</v>
      </c>
      <c r="AY155" s="82">
        <f>(-V154*$AY$1)+'Fluxo Consolidado'!AO150</f>
        <v>-67354.445982140358</v>
      </c>
      <c r="AZ155" s="84">
        <v>0</v>
      </c>
      <c r="BA155" s="122">
        <v>0</v>
      </c>
      <c r="BB155" s="81">
        <v>0</v>
      </c>
      <c r="BC155" s="81">
        <f>+'Fluxo Consolidado'!AP150</f>
        <v>0</v>
      </c>
      <c r="BD155" s="125">
        <f>+'Fluxo Consolidado'!AQ150</f>
        <v>0</v>
      </c>
      <c r="BE155" s="133"/>
      <c r="BF155" s="78">
        <f t="shared" si="84"/>
        <v>1341907.2244878837</v>
      </c>
      <c r="BG155" s="70" t="e">
        <f t="shared" si="85"/>
        <v>#REF!</v>
      </c>
      <c r="BH155" s="70" t="e">
        <f t="shared" si="72"/>
        <v>#REF!</v>
      </c>
      <c r="BI155" s="71" t="e">
        <f t="shared" si="73"/>
        <v>#REF!</v>
      </c>
      <c r="BJ155" s="201" t="e">
        <f t="shared" si="88"/>
        <v>#REF!</v>
      </c>
      <c r="BQ155" s="82">
        <v>0</v>
      </c>
      <c r="BR155" s="223">
        <v>-590488.25593689014</v>
      </c>
      <c r="BS155" s="223">
        <v>-20360.828397432859</v>
      </c>
      <c r="BT155" s="223">
        <v>0</v>
      </c>
      <c r="BU155" s="223">
        <v>-1485232.2592859287</v>
      </c>
      <c r="BV155" s="223">
        <v>1827982.5258774234</v>
      </c>
      <c r="BW155" s="223">
        <f t="shared" si="75"/>
        <v>-610849.08433432295</v>
      </c>
      <c r="BX155" s="83">
        <f t="shared" si="82"/>
        <v>-610849.08433432295</v>
      </c>
      <c r="BY155" s="78">
        <f t="shared" si="76"/>
        <v>1073808.4067450555</v>
      </c>
      <c r="BZ155" s="70" t="e">
        <f t="shared" si="77"/>
        <v>#REF!</v>
      </c>
      <c r="CA155" s="70" t="e">
        <f t="shared" si="78"/>
        <v>#REF!</v>
      </c>
      <c r="CB155" s="71" t="e">
        <f t="shared" si="79"/>
        <v>#REF!</v>
      </c>
      <c r="CC155" s="270" t="e">
        <f t="shared" si="80"/>
        <v>#REF!</v>
      </c>
      <c r="CD155" s="201"/>
      <c r="CE155" s="69" t="e">
        <f t="shared" si="86"/>
        <v>#REF!</v>
      </c>
      <c r="CF155" s="71" t="e">
        <f t="shared" si="87"/>
        <v>#REF!</v>
      </c>
    </row>
    <row r="156" spans="1:84" ht="15" customHeight="1">
      <c r="A156" s="35">
        <f t="shared" si="69"/>
        <v>94</v>
      </c>
      <c r="B156" s="87"/>
      <c r="C156" s="36">
        <v>46113</v>
      </c>
      <c r="D156" s="75">
        <v>0</v>
      </c>
      <c r="E156" s="110">
        <v>0</v>
      </c>
      <c r="F156" s="110">
        <v>0</v>
      </c>
      <c r="G156" s="110">
        <v>0</v>
      </c>
      <c r="H156" s="76">
        <v>0</v>
      </c>
      <c r="I156" s="76">
        <v>0</v>
      </c>
      <c r="J156" s="77">
        <v>0</v>
      </c>
      <c r="K156" s="69">
        <f>+'Fluxo Consolidado'!D151</f>
        <v>690629.28892857139</v>
      </c>
      <c r="L156" s="78">
        <f>+'Fluxo Consolidado'!E151</f>
        <v>113486.06</v>
      </c>
      <c r="M156" s="78">
        <f>+'Fluxo Consolidado'!F151</f>
        <v>0</v>
      </c>
      <c r="N156" s="70">
        <v>0</v>
      </c>
      <c r="O156" s="242">
        <f t="shared" si="71"/>
        <v>0.05</v>
      </c>
      <c r="P156" s="70">
        <f>+'Fluxo Consolidado'!H151</f>
        <v>-5674.3029999999999</v>
      </c>
      <c r="Q156" s="70">
        <f>+'Fluxo Consolidado'!I151</f>
        <v>7471.6335000000008</v>
      </c>
      <c r="R156" s="79">
        <f>'Fluxo Consolidado'!J151</f>
        <v>364772.87612205278</v>
      </c>
      <c r="S156" s="79">
        <f>'Fluxo Consolidado'!K151</f>
        <v>75</v>
      </c>
      <c r="T156" s="79">
        <f t="shared" si="83"/>
        <v>0</v>
      </c>
      <c r="U156" s="79">
        <v>8</v>
      </c>
      <c r="V156" s="79">
        <f t="shared" si="81"/>
        <v>1170685.5555506242</v>
      </c>
      <c r="W156" s="79">
        <v>0</v>
      </c>
      <c r="X156" s="79">
        <v>0</v>
      </c>
      <c r="Y156" s="71">
        <v>0</v>
      </c>
      <c r="Z156" s="38">
        <f t="shared" si="70"/>
        <v>0</v>
      </c>
      <c r="AA156" s="80">
        <v>0</v>
      </c>
      <c r="AB156" s="81">
        <f>+'Fluxo Consolidado'!P151</f>
        <v>0</v>
      </c>
      <c r="AC156" s="208">
        <f>'Fluxo Consolidado'!Q151</f>
        <v>0</v>
      </c>
      <c r="AD156" s="81">
        <f>+'Fluxo Consolidado'!R151</f>
        <v>0</v>
      </c>
      <c r="AE156" s="81">
        <f>+'Fluxo Consolidado'!S151</f>
        <v>0</v>
      </c>
      <c r="AF156" s="208">
        <f>'Fluxo Consolidado'!T151</f>
        <v>0</v>
      </c>
      <c r="AG156" s="81">
        <f>+'Fluxo Consolidado'!U151</f>
        <v>0</v>
      </c>
      <c r="AH156" s="246">
        <f>+'Fluxo Consolidado'!V151</f>
        <v>0</v>
      </c>
      <c r="AI156" s="125" t="e">
        <f>+'Fluxo Consolidado'!#REF!</f>
        <v>#REF!</v>
      </c>
      <c r="AJ156" s="82">
        <f>+'Fluxo Consolidado'!X151</f>
        <v>0</v>
      </c>
      <c r="AK156" s="85">
        <v>0</v>
      </c>
      <c r="AL156" s="85">
        <f>+'Fluxo Consolidado'!Y151+'Fluxo Consolidado'!Z151+'Fluxo Consolidado'!AA151</f>
        <v>0</v>
      </c>
      <c r="AM156" s="85">
        <f>+'Fluxo Consolidado'!AB151+'Fluxo Consolidado'!AC151</f>
        <v>-17690.693526785712</v>
      </c>
      <c r="AN156" s="103">
        <f>+'Fluxo Consolidado'!AD151</f>
        <v>0</v>
      </c>
      <c r="AO156" s="85">
        <f>+'Fluxo Consolidado'!AF151+'Fluxo Consolidado'!AF151</f>
        <v>0</v>
      </c>
      <c r="AP156" s="83">
        <f>+'Fluxo Consolidado'!AG151</f>
        <v>0</v>
      </c>
      <c r="AQ156" s="119">
        <f>+'Fluxo Consolidado'!AH151</f>
        <v>-80514.433469273019</v>
      </c>
      <c r="AR156" s="85">
        <f>+'Fluxo Consolidado'!AI151</f>
        <v>-9209.81</v>
      </c>
      <c r="AS156" s="85">
        <f>+'Fluxo Consolidado'!AJ151</f>
        <v>-1000</v>
      </c>
      <c r="AT156" s="85">
        <v>0</v>
      </c>
      <c r="AU156" s="85">
        <f>+'Fluxo Consolidado'!AK151</f>
        <v>-5681.614497370565</v>
      </c>
      <c r="AV156" s="84">
        <f>+'Fluxo Consolidado'!AL151</f>
        <v>0</v>
      </c>
      <c r="AW156" s="82">
        <f t="shared" si="74"/>
        <v>-16102.886693854605</v>
      </c>
      <c r="AX156" s="82">
        <v>0</v>
      </c>
      <c r="AY156" s="82">
        <f>(-V155*$AY$1)+'Fluxo Consolidado'!AO151</f>
        <v>-53676.288979515353</v>
      </c>
      <c r="AZ156" s="84">
        <v>0</v>
      </c>
      <c r="BA156" s="122">
        <v>0</v>
      </c>
      <c r="BB156" s="81">
        <v>0</v>
      </c>
      <c r="BC156" s="81">
        <f>+'Fluxo Consolidado'!AP151</f>
        <v>0</v>
      </c>
      <c r="BD156" s="125">
        <f>+'Fluxo Consolidado'!AQ151</f>
        <v>0</v>
      </c>
      <c r="BE156" s="133"/>
      <c r="BF156" s="78">
        <f t="shared" si="84"/>
        <v>1170685.5555506242</v>
      </c>
      <c r="BG156" s="70" t="e">
        <f t="shared" si="85"/>
        <v>#REF!</v>
      </c>
      <c r="BH156" s="70" t="e">
        <f t="shared" si="72"/>
        <v>#REF!</v>
      </c>
      <c r="BI156" s="71" t="e">
        <f t="shared" si="73"/>
        <v>#REF!</v>
      </c>
      <c r="BJ156" s="201" t="e">
        <f t="shared" si="88"/>
        <v>#REF!</v>
      </c>
      <c r="BQ156" s="82">
        <v>0</v>
      </c>
      <c r="BR156" s="223">
        <v>-585388.64740566048</v>
      </c>
      <c r="BS156" s="223">
        <v>-20102.647007397998</v>
      </c>
      <c r="BT156" s="223">
        <v>0</v>
      </c>
      <c r="BU156" s="223">
        <v>-1314773.4285151795</v>
      </c>
      <c r="BV156" s="223">
        <v>1485232.2592859287</v>
      </c>
      <c r="BW156" s="223">
        <f t="shared" si="75"/>
        <v>-605491.29441305844</v>
      </c>
      <c r="BX156" s="83">
        <f t="shared" si="82"/>
        <v>-605491.29441305844</v>
      </c>
      <c r="BY156" s="78">
        <f t="shared" si="76"/>
        <v>735653.09190831485</v>
      </c>
      <c r="BZ156" s="70" t="e">
        <f t="shared" si="77"/>
        <v>#REF!</v>
      </c>
      <c r="CA156" s="70" t="e">
        <f t="shared" si="78"/>
        <v>#REF!</v>
      </c>
      <c r="CB156" s="71" t="e">
        <f t="shared" si="79"/>
        <v>#REF!</v>
      </c>
      <c r="CC156" s="270" t="e">
        <f t="shared" si="80"/>
        <v>#REF!</v>
      </c>
      <c r="CD156" s="201"/>
      <c r="CE156" s="69" t="e">
        <f t="shared" si="86"/>
        <v>#REF!</v>
      </c>
      <c r="CF156" s="71" t="e">
        <f t="shared" si="87"/>
        <v>#REF!</v>
      </c>
    </row>
    <row r="157" spans="1:84" ht="15" customHeight="1">
      <c r="A157" s="35">
        <f t="shared" si="69"/>
        <v>95</v>
      </c>
      <c r="B157" s="87"/>
      <c r="C157" s="36">
        <v>46143</v>
      </c>
      <c r="D157" s="75">
        <v>0</v>
      </c>
      <c r="E157" s="110">
        <v>0</v>
      </c>
      <c r="F157" s="110">
        <v>0</v>
      </c>
      <c r="G157" s="110">
        <v>0</v>
      </c>
      <c r="H157" s="76">
        <v>0</v>
      </c>
      <c r="I157" s="76">
        <v>0</v>
      </c>
      <c r="J157" s="77">
        <v>0</v>
      </c>
      <c r="K157" s="69">
        <f>+'Fluxo Consolidado'!D152</f>
        <v>622974.94547619042</v>
      </c>
      <c r="L157" s="78">
        <f>+'Fluxo Consolidado'!E152</f>
        <v>111599.85</v>
      </c>
      <c r="M157" s="78">
        <f>+'Fluxo Consolidado'!F152</f>
        <v>0</v>
      </c>
      <c r="N157" s="70">
        <v>0</v>
      </c>
      <c r="O157" s="242">
        <f t="shared" si="71"/>
        <v>0.05</v>
      </c>
      <c r="P157" s="70">
        <f>+'Fluxo Consolidado'!H152</f>
        <v>-5579.9925000000003</v>
      </c>
      <c r="Q157" s="70">
        <f>+'Fluxo Consolidado'!I152</f>
        <v>6935.1539999999995</v>
      </c>
      <c r="R157" s="79">
        <f>'Fluxo Consolidado'!J152</f>
        <v>338566.02834359894</v>
      </c>
      <c r="S157" s="79">
        <f>'Fluxo Consolidado'!K152</f>
        <v>76</v>
      </c>
      <c r="T157" s="79">
        <f t="shared" si="83"/>
        <v>0</v>
      </c>
      <c r="U157" s="79">
        <v>8</v>
      </c>
      <c r="V157" s="79">
        <f t="shared" si="81"/>
        <v>1074495.9853197895</v>
      </c>
      <c r="W157" s="79">
        <v>0</v>
      </c>
      <c r="X157" s="79">
        <v>0</v>
      </c>
      <c r="Y157" s="71">
        <v>0</v>
      </c>
      <c r="Z157" s="38">
        <f t="shared" si="70"/>
        <v>0</v>
      </c>
      <c r="AA157" s="80">
        <v>0</v>
      </c>
      <c r="AB157" s="81">
        <f>+'Fluxo Consolidado'!P152</f>
        <v>0</v>
      </c>
      <c r="AC157" s="208">
        <f>'Fluxo Consolidado'!Q152</f>
        <v>0</v>
      </c>
      <c r="AD157" s="81">
        <f>+'Fluxo Consolidado'!R152</f>
        <v>0</v>
      </c>
      <c r="AE157" s="81">
        <f>+'Fluxo Consolidado'!S152</f>
        <v>0</v>
      </c>
      <c r="AF157" s="208">
        <f>'Fluxo Consolidado'!T152</f>
        <v>0</v>
      </c>
      <c r="AG157" s="81">
        <f>+'Fluxo Consolidado'!U152</f>
        <v>0</v>
      </c>
      <c r="AH157" s="246">
        <f>+'Fluxo Consolidado'!V152</f>
        <v>0</v>
      </c>
      <c r="AI157" s="125" t="e">
        <f>+'Fluxo Consolidado'!#REF!</f>
        <v>#REF!</v>
      </c>
      <c r="AJ157" s="82">
        <f>+'Fluxo Consolidado'!X152</f>
        <v>0</v>
      </c>
      <c r="AK157" s="85">
        <v>0</v>
      </c>
      <c r="AL157" s="85">
        <f>+'Fluxo Consolidado'!Y152+'Fluxo Consolidado'!Z152+'Fluxo Consolidado'!AA152</f>
        <v>0</v>
      </c>
      <c r="AM157" s="85">
        <f>+'Fluxo Consolidado'!AB152+'Fluxo Consolidado'!AC152</f>
        <v>-15901.483258928571</v>
      </c>
      <c r="AN157" s="103">
        <f>+'Fluxo Consolidado'!AD152</f>
        <v>0</v>
      </c>
      <c r="AO157" s="85">
        <f>+'Fluxo Consolidado'!AF152+'Fluxo Consolidado'!AF152</f>
        <v>0</v>
      </c>
      <c r="AP157" s="83">
        <f>+'Fluxo Consolidado'!AG152</f>
        <v>0</v>
      </c>
      <c r="AQ157" s="119">
        <f>+'Fluxo Consolidado'!AH152</f>
        <v>-70241.133333037447</v>
      </c>
      <c r="AR157" s="85">
        <f>+'Fluxo Consolidado'!AI152</f>
        <v>-9209.81</v>
      </c>
      <c r="AS157" s="85">
        <f>+'Fluxo Consolidado'!AJ152</f>
        <v>-1000</v>
      </c>
      <c r="AT157" s="85">
        <v>0</v>
      </c>
      <c r="AU157" s="85">
        <f>+'Fluxo Consolidado'!AK152</f>
        <v>-4919.7541272613644</v>
      </c>
      <c r="AV157" s="84">
        <f>+'Fluxo Consolidado'!AL152</f>
        <v>0</v>
      </c>
      <c r="AW157" s="82">
        <f t="shared" si="74"/>
        <v>-14048.22666660749</v>
      </c>
      <c r="AX157" s="82">
        <v>0</v>
      </c>
      <c r="AY157" s="82">
        <f>(-V156*$AY$1)+'Fluxo Consolidado'!AO152</f>
        <v>-46827.422222024965</v>
      </c>
      <c r="AZ157" s="84">
        <v>0</v>
      </c>
      <c r="BA157" s="122">
        <v>0</v>
      </c>
      <c r="BB157" s="81">
        <v>0</v>
      </c>
      <c r="BC157" s="81">
        <f>+'Fluxo Consolidado'!AP152</f>
        <v>0</v>
      </c>
      <c r="BD157" s="125">
        <f>+'Fluxo Consolidado'!AQ152</f>
        <v>0</v>
      </c>
      <c r="BE157" s="133"/>
      <c r="BF157" s="78">
        <f t="shared" si="84"/>
        <v>1074495.9853197895</v>
      </c>
      <c r="BG157" s="70" t="e">
        <f t="shared" si="85"/>
        <v>#REF!</v>
      </c>
      <c r="BH157" s="70" t="e">
        <f t="shared" si="72"/>
        <v>#REF!</v>
      </c>
      <c r="BI157" s="71" t="e">
        <f t="shared" si="73"/>
        <v>#REF!</v>
      </c>
      <c r="BJ157" s="201" t="e">
        <f t="shared" si="88"/>
        <v>#REF!</v>
      </c>
      <c r="BQ157" s="82">
        <v>0</v>
      </c>
      <c r="BR157" s="223">
        <v>-580289.0388744307</v>
      </c>
      <c r="BS157" s="223">
        <v>-19851.785882046934</v>
      </c>
      <c r="BT157" s="223">
        <v>0</v>
      </c>
      <c r="BU157" s="223">
        <v>-1219695.1010766195</v>
      </c>
      <c r="BV157" s="223">
        <v>1314773.4285151795</v>
      </c>
      <c r="BW157" s="223">
        <f t="shared" si="75"/>
        <v>-600140.82475647761</v>
      </c>
      <c r="BX157" s="83">
        <f t="shared" si="82"/>
        <v>-600140.82475647761</v>
      </c>
      <c r="BY157" s="78">
        <f t="shared" si="76"/>
        <v>569433.48800187197</v>
      </c>
      <c r="BZ157" s="70" t="e">
        <f t="shared" si="77"/>
        <v>#REF!</v>
      </c>
      <c r="CA157" s="70" t="e">
        <f t="shared" si="78"/>
        <v>#REF!</v>
      </c>
      <c r="CB157" s="71" t="e">
        <f t="shared" si="79"/>
        <v>#REF!</v>
      </c>
      <c r="CC157" s="270" t="e">
        <f t="shared" si="80"/>
        <v>#REF!</v>
      </c>
      <c r="CD157" s="201"/>
      <c r="CE157" s="69" t="e">
        <f t="shared" si="86"/>
        <v>#REF!</v>
      </c>
      <c r="CF157" s="71" t="e">
        <f t="shared" si="87"/>
        <v>#REF!</v>
      </c>
    </row>
    <row r="158" spans="1:84" ht="15" customHeight="1">
      <c r="A158" s="35">
        <f t="shared" si="69"/>
        <v>96</v>
      </c>
      <c r="B158" s="87"/>
      <c r="C158" s="36">
        <v>46174</v>
      </c>
      <c r="D158" s="75">
        <v>0</v>
      </c>
      <c r="E158" s="110">
        <v>0</v>
      </c>
      <c r="F158" s="110">
        <v>0</v>
      </c>
      <c r="G158" s="110">
        <v>0</v>
      </c>
      <c r="H158" s="76">
        <v>0</v>
      </c>
      <c r="I158" s="76">
        <v>0</v>
      </c>
      <c r="J158" s="77">
        <v>0</v>
      </c>
      <c r="K158" s="69">
        <f>+'Fluxo Consolidado'!D153</f>
        <v>605539.7145238095</v>
      </c>
      <c r="L158" s="78">
        <f>+'Fluxo Consolidado'!E153</f>
        <v>110865.12</v>
      </c>
      <c r="M158" s="78">
        <f>+'Fluxo Consolidado'!F153</f>
        <v>0</v>
      </c>
      <c r="N158" s="70">
        <v>0</v>
      </c>
      <c r="O158" s="242">
        <f t="shared" si="71"/>
        <v>0.05</v>
      </c>
      <c r="P158" s="70">
        <f>+'Fluxo Consolidado'!H153</f>
        <v>-5543.2560000000003</v>
      </c>
      <c r="Q158" s="70">
        <f>+'Fluxo Consolidado'!I153</f>
        <v>6130.7860000000001</v>
      </c>
      <c r="R158" s="79">
        <f>'Fluxo Consolidado'!J153</f>
        <v>335424.46242346277</v>
      </c>
      <c r="S158" s="79">
        <f>'Fluxo Consolidado'!K153</f>
        <v>77</v>
      </c>
      <c r="T158" s="79">
        <f t="shared" si="83"/>
        <v>0</v>
      </c>
      <c r="U158" s="79">
        <v>8</v>
      </c>
      <c r="V158" s="79">
        <f t="shared" si="81"/>
        <v>1052416.8269472723</v>
      </c>
      <c r="W158" s="79">
        <v>0</v>
      </c>
      <c r="X158" s="79">
        <v>0</v>
      </c>
      <c r="Y158" s="71">
        <v>0</v>
      </c>
      <c r="Z158" s="38">
        <f t="shared" si="70"/>
        <v>0</v>
      </c>
      <c r="AA158" s="80">
        <v>0</v>
      </c>
      <c r="AB158" s="81">
        <f>+'Fluxo Consolidado'!P153</f>
        <v>0</v>
      </c>
      <c r="AC158" s="208">
        <f>'Fluxo Consolidado'!Q153</f>
        <v>0</v>
      </c>
      <c r="AD158" s="81">
        <f>+'Fluxo Consolidado'!R153</f>
        <v>0</v>
      </c>
      <c r="AE158" s="81">
        <f>+'Fluxo Consolidado'!S153</f>
        <v>0</v>
      </c>
      <c r="AF158" s="208">
        <f>'Fluxo Consolidado'!T153</f>
        <v>0</v>
      </c>
      <c r="AG158" s="81">
        <f>+'Fluxo Consolidado'!U153</f>
        <v>0</v>
      </c>
      <c r="AH158" s="246">
        <f>+'Fluxo Consolidado'!V153</f>
        <v>0</v>
      </c>
      <c r="AI158" s="125" t="e">
        <f>+'Fluxo Consolidado'!#REF!</f>
        <v>#REF!</v>
      </c>
      <c r="AJ158" s="82">
        <f>+'Fluxo Consolidado'!X153</f>
        <v>0</v>
      </c>
      <c r="AK158" s="85">
        <v>0</v>
      </c>
      <c r="AL158" s="85">
        <f>+'Fluxo Consolidado'!Y153+'Fluxo Consolidado'!Z153+'Fluxo Consolidado'!AA153</f>
        <v>0</v>
      </c>
      <c r="AM158" s="85">
        <f>+'Fluxo Consolidado'!AB153+'Fluxo Consolidado'!AC153</f>
        <v>-15268.258928571428</v>
      </c>
      <c r="AN158" s="103">
        <f>+'Fluxo Consolidado'!AD153</f>
        <v>0</v>
      </c>
      <c r="AO158" s="85">
        <f>+'Fluxo Consolidado'!AF153+'Fluxo Consolidado'!AF153</f>
        <v>0</v>
      </c>
      <c r="AP158" s="83">
        <f>+'Fluxo Consolidado'!AG153</f>
        <v>0</v>
      </c>
      <c r="AQ158" s="119">
        <f>+'Fluxo Consolidado'!AH153</f>
        <v>-64469.759119187365</v>
      </c>
      <c r="AR158" s="85">
        <f>+'Fluxo Consolidado'!AI153</f>
        <v>-9209.81</v>
      </c>
      <c r="AS158" s="85">
        <f>+'Fluxo Consolidado'!AJ153</f>
        <v>-1000</v>
      </c>
      <c r="AT158" s="85">
        <v>0</v>
      </c>
      <c r="AU158" s="85">
        <f>+'Fluxo Consolidado'!AK153</f>
        <v>-4503.7387135068657</v>
      </c>
      <c r="AV158" s="84">
        <f>+'Fluxo Consolidado'!AL153</f>
        <v>0</v>
      </c>
      <c r="AW158" s="82">
        <f t="shared" si="74"/>
        <v>-12893.951823837475</v>
      </c>
      <c r="AX158" s="82">
        <v>0</v>
      </c>
      <c r="AY158" s="82">
        <f>(-V157*$AY$1)+'Fluxo Consolidado'!AO153</f>
        <v>-42979.839412791582</v>
      </c>
      <c r="AZ158" s="84">
        <v>0</v>
      </c>
      <c r="BA158" s="122">
        <v>0</v>
      </c>
      <c r="BB158" s="81">
        <v>0</v>
      </c>
      <c r="BC158" s="81">
        <f>+'Fluxo Consolidado'!AP153</f>
        <v>0</v>
      </c>
      <c r="BD158" s="125">
        <f>+'Fluxo Consolidado'!AQ153</f>
        <v>0</v>
      </c>
      <c r="BE158" s="133"/>
      <c r="BF158" s="78">
        <f t="shared" si="84"/>
        <v>1052416.8269472723</v>
      </c>
      <c r="BG158" s="70" t="e">
        <f t="shared" si="85"/>
        <v>#REF!</v>
      </c>
      <c r="BH158" s="70" t="e">
        <f t="shared" si="72"/>
        <v>#REF!</v>
      </c>
      <c r="BI158" s="71" t="e">
        <f t="shared" si="73"/>
        <v>#REF!</v>
      </c>
      <c r="BJ158" s="201" t="e">
        <f t="shared" si="88"/>
        <v>#REF!</v>
      </c>
      <c r="BQ158" s="82">
        <v>0</v>
      </c>
      <c r="BR158" s="223">
        <v>-575189.43034320115</v>
      </c>
      <c r="BS158" s="223">
        <v>-19608.037468561732</v>
      </c>
      <c r="BT158" s="223">
        <v>0</v>
      </c>
      <c r="BU158" s="223">
        <v>-1198216.1839704281</v>
      </c>
      <c r="BV158" s="223">
        <v>1219695.1010766195</v>
      </c>
      <c r="BW158" s="223">
        <f t="shared" si="75"/>
        <v>-594797.46781176294</v>
      </c>
      <c r="BX158" s="83">
        <f t="shared" si="82"/>
        <v>-594797.46781176294</v>
      </c>
      <c r="BY158" s="78">
        <f t="shared" si="76"/>
        <v>479098.27624170086</v>
      </c>
      <c r="BZ158" s="70" t="e">
        <f t="shared" si="77"/>
        <v>#REF!</v>
      </c>
      <c r="CA158" s="70" t="e">
        <f t="shared" si="78"/>
        <v>#REF!</v>
      </c>
      <c r="CB158" s="71" t="e">
        <f t="shared" si="79"/>
        <v>#REF!</v>
      </c>
      <c r="CC158" s="270" t="e">
        <f t="shared" si="80"/>
        <v>#REF!</v>
      </c>
      <c r="CD158" s="201"/>
      <c r="CE158" s="69" t="e">
        <f t="shared" si="86"/>
        <v>#REF!</v>
      </c>
      <c r="CF158" s="71" t="e">
        <f t="shared" si="87"/>
        <v>#REF!</v>
      </c>
    </row>
    <row r="159" spans="1:84" ht="15" customHeight="1">
      <c r="A159" s="35">
        <f t="shared" si="69"/>
        <v>97</v>
      </c>
      <c r="B159" s="87"/>
      <c r="C159" s="36">
        <v>46204</v>
      </c>
      <c r="D159" s="75">
        <v>0</v>
      </c>
      <c r="E159" s="110">
        <v>0</v>
      </c>
      <c r="F159" s="110">
        <v>0</v>
      </c>
      <c r="G159" s="110">
        <v>0</v>
      </c>
      <c r="H159" s="76">
        <v>0</v>
      </c>
      <c r="I159" s="76">
        <v>0</v>
      </c>
      <c r="J159" s="77">
        <v>0</v>
      </c>
      <c r="K159" s="69">
        <f>+'Fluxo Consolidado'!D154</f>
        <v>567119.83238095243</v>
      </c>
      <c r="L159" s="78">
        <f>+'Fluxo Consolidado'!E154</f>
        <v>108966.9</v>
      </c>
      <c r="M159" s="78">
        <f>+'Fluxo Consolidado'!F154</f>
        <v>0</v>
      </c>
      <c r="N159" s="70">
        <v>0</v>
      </c>
      <c r="O159" s="242">
        <f t="shared" si="71"/>
        <v>0.05</v>
      </c>
      <c r="P159" s="70">
        <f>+'Fluxo Consolidado'!H154</f>
        <v>-5448.3450000000003</v>
      </c>
      <c r="Q159" s="70">
        <f>+'Fluxo Consolidado'!I154</f>
        <v>5674.3029999999999</v>
      </c>
      <c r="R159" s="79">
        <f>'Fluxo Consolidado'!J154</f>
        <v>321510.487956987</v>
      </c>
      <c r="S159" s="79">
        <f>'Fluxo Consolidado'!K154</f>
        <v>78</v>
      </c>
      <c r="T159" s="79">
        <f t="shared" si="83"/>
        <v>0</v>
      </c>
      <c r="U159" s="79">
        <v>8</v>
      </c>
      <c r="V159" s="79">
        <f t="shared" si="81"/>
        <v>997823.17833793943</v>
      </c>
      <c r="W159" s="79">
        <v>0</v>
      </c>
      <c r="X159" s="79">
        <v>0</v>
      </c>
      <c r="Y159" s="71">
        <v>0</v>
      </c>
      <c r="Z159" s="38">
        <f t="shared" si="70"/>
        <v>0</v>
      </c>
      <c r="AA159" s="80">
        <v>0</v>
      </c>
      <c r="AB159" s="81">
        <f>+'Fluxo Consolidado'!P154</f>
        <v>0</v>
      </c>
      <c r="AC159" s="208">
        <f>'Fluxo Consolidado'!Q154</f>
        <v>0</v>
      </c>
      <c r="AD159" s="81">
        <f>+'Fluxo Consolidado'!R154</f>
        <v>0</v>
      </c>
      <c r="AE159" s="81">
        <f>+'Fluxo Consolidado'!S154</f>
        <v>0</v>
      </c>
      <c r="AF159" s="208">
        <f>'Fluxo Consolidado'!T154</f>
        <v>0</v>
      </c>
      <c r="AG159" s="81">
        <f>+'Fluxo Consolidado'!U154</f>
        <v>0</v>
      </c>
      <c r="AH159" s="246">
        <f>+'Fluxo Consolidado'!V154</f>
        <v>0</v>
      </c>
      <c r="AI159" s="125" t="e">
        <f>+'Fluxo Consolidado'!#REF!</f>
        <v>#REF!</v>
      </c>
      <c r="AJ159" s="82">
        <f>+'Fluxo Consolidado'!X154</f>
        <v>0</v>
      </c>
      <c r="AK159" s="85">
        <v>0</v>
      </c>
      <c r="AL159" s="85">
        <f>+'Fluxo Consolidado'!Y154+'Fluxo Consolidado'!Z154+'Fluxo Consolidado'!AA154</f>
        <v>0</v>
      </c>
      <c r="AM159" s="85">
        <f>+'Fluxo Consolidado'!AB154+'Fluxo Consolidado'!AC154</f>
        <v>-14168.120982142857</v>
      </c>
      <c r="AN159" s="103">
        <f>+'Fluxo Consolidado'!AD154</f>
        <v>0</v>
      </c>
      <c r="AO159" s="85">
        <f>+'Fluxo Consolidado'!AF154+'Fluxo Consolidado'!AF154</f>
        <v>0</v>
      </c>
      <c r="AP159" s="83">
        <f>+'Fluxo Consolidado'!AG154</f>
        <v>0</v>
      </c>
      <c r="AQ159" s="119">
        <f>+'Fluxo Consolidado'!AH154</f>
        <v>-63145.009616836338</v>
      </c>
      <c r="AR159" s="85">
        <f>+'Fluxo Consolidado'!AI154</f>
        <v>-9209.81</v>
      </c>
      <c r="AS159" s="85">
        <f>+'Fluxo Consolidado'!AJ154</f>
        <v>-1000</v>
      </c>
      <c r="AT159" s="85">
        <v>0</v>
      </c>
      <c r="AU159" s="85">
        <f>+'Fluxo Consolidado'!AK154</f>
        <v>-3842.5046278037189</v>
      </c>
      <c r="AV159" s="84">
        <f>+'Fluxo Consolidado'!AL154</f>
        <v>0</v>
      </c>
      <c r="AW159" s="82">
        <f t="shared" ref="AW159:AW189" si="89">-V158*$AW$2</f>
        <v>-12629.001923367268</v>
      </c>
      <c r="AX159" s="82">
        <v>0</v>
      </c>
      <c r="AY159" s="82">
        <f>(-V158*$AY$1)+'Fluxo Consolidado'!AO154</f>
        <v>-42096.67307789089</v>
      </c>
      <c r="AZ159" s="84">
        <v>0</v>
      </c>
      <c r="BA159" s="122">
        <v>0</v>
      </c>
      <c r="BB159" s="81">
        <v>0</v>
      </c>
      <c r="BC159" s="81">
        <f>+'Fluxo Consolidado'!AP154</f>
        <v>0</v>
      </c>
      <c r="BD159" s="125">
        <f>+'Fluxo Consolidado'!AQ154</f>
        <v>0</v>
      </c>
      <c r="BE159" s="133"/>
      <c r="BF159" s="78">
        <f t="shared" si="84"/>
        <v>997823.17833793943</v>
      </c>
      <c r="BG159" s="70" t="e">
        <f t="shared" si="85"/>
        <v>#REF!</v>
      </c>
      <c r="BH159" s="70" t="e">
        <f t="shared" si="72"/>
        <v>#REF!</v>
      </c>
      <c r="BI159" s="71" t="e">
        <f t="shared" si="73"/>
        <v>#REF!</v>
      </c>
      <c r="BJ159" s="201" t="e">
        <f t="shared" si="88"/>
        <v>#REF!</v>
      </c>
      <c r="BQ159" s="82">
        <v>0</v>
      </c>
      <c r="BR159" s="223">
        <v>-570089.82181197149</v>
      </c>
      <c r="BS159" s="223">
        <v>-19371.200098907866</v>
      </c>
      <c r="BT159" s="223">
        <v>0</v>
      </c>
      <c r="BU159" s="223">
        <v>-1144915.6434125237</v>
      </c>
      <c r="BV159" s="223">
        <v>1198216.1839704281</v>
      </c>
      <c r="BW159" s="223">
        <f t="shared" ref="BW159:BW188" si="90">SUM(BQ159:BT159)</f>
        <v>-589461.0219108793</v>
      </c>
      <c r="BX159" s="83">
        <f t="shared" si="82"/>
        <v>-589461.0219108793</v>
      </c>
      <c r="BY159" s="78">
        <f t="shared" si="76"/>
        <v>461662.69698496442</v>
      </c>
      <c r="BZ159" s="70" t="e">
        <f t="shared" si="77"/>
        <v>#REF!</v>
      </c>
      <c r="CA159" s="70" t="e">
        <f t="shared" si="78"/>
        <v>#REF!</v>
      </c>
      <c r="CB159" s="71" t="e">
        <f t="shared" si="79"/>
        <v>#REF!</v>
      </c>
      <c r="CC159" s="270" t="e">
        <f t="shared" si="80"/>
        <v>#REF!</v>
      </c>
      <c r="CD159" s="201"/>
      <c r="CE159" s="69" t="e">
        <f t="shared" si="86"/>
        <v>#REF!</v>
      </c>
      <c r="CF159" s="71" t="e">
        <f t="shared" si="87"/>
        <v>#REF!</v>
      </c>
    </row>
    <row r="160" spans="1:84" ht="15" customHeight="1">
      <c r="A160" s="35">
        <f t="shared" si="69"/>
        <v>98</v>
      </c>
      <c r="B160" s="87"/>
      <c r="C160" s="36">
        <v>46235</v>
      </c>
      <c r="D160" s="75">
        <v>0</v>
      </c>
      <c r="E160" s="110">
        <v>0</v>
      </c>
      <c r="F160" s="110">
        <v>0</v>
      </c>
      <c r="G160" s="110">
        <v>0</v>
      </c>
      <c r="H160" s="76">
        <v>0</v>
      </c>
      <c r="I160" s="76">
        <v>0</v>
      </c>
      <c r="J160" s="77">
        <v>0</v>
      </c>
      <c r="K160" s="69">
        <f>+'Fluxo Consolidado'!D155</f>
        <v>516432.91452380957</v>
      </c>
      <c r="L160" s="78">
        <f>+'Fluxo Consolidado'!E155</f>
        <v>107774.9</v>
      </c>
      <c r="M160" s="78">
        <f>+'Fluxo Consolidado'!F155</f>
        <v>0</v>
      </c>
      <c r="N160" s="70">
        <v>0</v>
      </c>
      <c r="O160" s="242">
        <f t="shared" si="71"/>
        <v>0.05</v>
      </c>
      <c r="P160" s="70">
        <f>+'Fluxo Consolidado'!H155</f>
        <v>-5388.7449999999999</v>
      </c>
      <c r="Q160" s="70">
        <f>+'Fluxo Consolidado'!I155</f>
        <v>5579.9925000000003</v>
      </c>
      <c r="R160" s="79">
        <f>'Fluxo Consolidado'!J155</f>
        <v>301444.90222400788</v>
      </c>
      <c r="S160" s="79">
        <f>'Fluxo Consolidado'!K155</f>
        <v>79</v>
      </c>
      <c r="T160" s="79">
        <f t="shared" si="83"/>
        <v>0</v>
      </c>
      <c r="U160" s="79">
        <v>8</v>
      </c>
      <c r="V160" s="79">
        <f t="shared" si="81"/>
        <v>925843.96424781752</v>
      </c>
      <c r="W160" s="79">
        <v>0</v>
      </c>
      <c r="X160" s="79">
        <v>0</v>
      </c>
      <c r="Y160" s="71">
        <v>0</v>
      </c>
      <c r="Z160" s="38">
        <f t="shared" si="70"/>
        <v>0</v>
      </c>
      <c r="AA160" s="80">
        <v>0</v>
      </c>
      <c r="AB160" s="81">
        <f>+'Fluxo Consolidado'!P155</f>
        <v>0</v>
      </c>
      <c r="AC160" s="208">
        <f>'Fluxo Consolidado'!Q155</f>
        <v>0</v>
      </c>
      <c r="AD160" s="81">
        <f>+'Fluxo Consolidado'!R155</f>
        <v>0</v>
      </c>
      <c r="AE160" s="81">
        <f>+'Fluxo Consolidado'!S155</f>
        <v>0</v>
      </c>
      <c r="AF160" s="208">
        <f>'Fluxo Consolidado'!T155</f>
        <v>0</v>
      </c>
      <c r="AG160" s="81">
        <f>+'Fluxo Consolidado'!U155</f>
        <v>0</v>
      </c>
      <c r="AH160" s="246">
        <f>+'Fluxo Consolidado'!V155</f>
        <v>0</v>
      </c>
      <c r="AI160" s="125" t="e">
        <f>+'Fluxo Consolidado'!#REF!</f>
        <v>#REF!</v>
      </c>
      <c r="AJ160" s="82">
        <f>+'Fluxo Consolidado'!X155</f>
        <v>0</v>
      </c>
      <c r="AK160" s="85">
        <v>0</v>
      </c>
      <c r="AL160" s="85">
        <f>+'Fluxo Consolidado'!Y155+'Fluxo Consolidado'!Z155+'Fluxo Consolidado'!AA155</f>
        <v>0</v>
      </c>
      <c r="AM160" s="85">
        <f>+'Fluxo Consolidado'!AB155+'Fluxo Consolidado'!AC155</f>
        <v>-12716.182366071429</v>
      </c>
      <c r="AN160" s="103">
        <f>+'Fluxo Consolidado'!AD155</f>
        <v>0</v>
      </c>
      <c r="AO160" s="85">
        <f>+'Fluxo Consolidado'!AF155+'Fluxo Consolidado'!AF155</f>
        <v>0</v>
      </c>
      <c r="AP160" s="83">
        <f>+'Fluxo Consolidado'!AG155</f>
        <v>0</v>
      </c>
      <c r="AQ160" s="119">
        <f>+'Fluxo Consolidado'!AH155</f>
        <v>-59869.390700276366</v>
      </c>
      <c r="AR160" s="85">
        <f>+'Fluxo Consolidado'!AI155</f>
        <v>-9209.81</v>
      </c>
      <c r="AS160" s="85">
        <f>+'Fluxo Consolidado'!AJ155</f>
        <v>-1000</v>
      </c>
      <c r="AT160" s="85">
        <v>0</v>
      </c>
      <c r="AU160" s="85">
        <f>+'Fluxo Consolidado'!AK155</f>
        <v>-3212.0999224489842</v>
      </c>
      <c r="AV160" s="84">
        <f>+'Fluxo Consolidado'!AL155</f>
        <v>0</v>
      </c>
      <c r="AW160" s="82">
        <f t="shared" si="89"/>
        <v>-11973.878140055274</v>
      </c>
      <c r="AX160" s="82">
        <v>0</v>
      </c>
      <c r="AY160" s="82">
        <f>(-V159*$AY$1)+'Fluxo Consolidado'!AO155</f>
        <v>-39912.92713351758</v>
      </c>
      <c r="AZ160" s="84">
        <v>0</v>
      </c>
      <c r="BA160" s="122">
        <v>0</v>
      </c>
      <c r="BB160" s="81">
        <v>0</v>
      </c>
      <c r="BC160" s="81">
        <f>+'Fluxo Consolidado'!AP155</f>
        <v>0</v>
      </c>
      <c r="BD160" s="125">
        <f>+'Fluxo Consolidado'!AQ155</f>
        <v>0</v>
      </c>
      <c r="BE160" s="133"/>
      <c r="BF160" s="78">
        <f t="shared" si="84"/>
        <v>925843.96424781752</v>
      </c>
      <c r="BG160" s="70" t="e">
        <f t="shared" si="85"/>
        <v>#REF!</v>
      </c>
      <c r="BH160" s="70" t="e">
        <f t="shared" si="72"/>
        <v>#REF!</v>
      </c>
      <c r="BI160" s="71" t="e">
        <f t="shared" si="73"/>
        <v>#REF!</v>
      </c>
      <c r="BJ160" s="201" t="e">
        <f t="shared" si="88"/>
        <v>#REF!</v>
      </c>
      <c r="BQ160" s="82">
        <v>0</v>
      </c>
      <c r="BR160" s="223">
        <v>-564990.21328074171</v>
      </c>
      <c r="BS160" s="223">
        <v>-34702.830811029693</v>
      </c>
      <c r="BT160" s="223">
        <v>0</v>
      </c>
      <c r="BU160" s="223">
        <v>-1073317.9691393159</v>
      </c>
      <c r="BV160" s="223">
        <v>1144915.6434125237</v>
      </c>
      <c r="BW160" s="223">
        <f t="shared" si="90"/>
        <v>-599693.04409177136</v>
      </c>
      <c r="BX160" s="83">
        <f t="shared" si="82"/>
        <v>-599693.04409177136</v>
      </c>
      <c r="BY160" s="78">
        <f t="shared" ref="BY160:BY190" si="91">V160+BQ160+BR160+BS160+BT160+BU160+BV160</f>
        <v>397748.59442925383</v>
      </c>
      <c r="BZ160" s="70" t="e">
        <f t="shared" si="77"/>
        <v>#REF!</v>
      </c>
      <c r="CA160" s="70" t="e">
        <f t="shared" si="78"/>
        <v>#REF!</v>
      </c>
      <c r="CB160" s="71" t="e">
        <f t="shared" si="79"/>
        <v>#REF!</v>
      </c>
      <c r="CC160" s="270" t="e">
        <f t="shared" si="80"/>
        <v>#REF!</v>
      </c>
      <c r="CD160" s="201"/>
      <c r="CE160" s="69" t="e">
        <f t="shared" si="86"/>
        <v>#REF!</v>
      </c>
      <c r="CF160" s="71" t="e">
        <f t="shared" si="87"/>
        <v>#REF!</v>
      </c>
    </row>
    <row r="161" spans="1:84" ht="15" customHeight="1">
      <c r="A161" s="35">
        <f t="shared" si="69"/>
        <v>99</v>
      </c>
      <c r="B161" s="87"/>
      <c r="C161" s="36">
        <v>46266</v>
      </c>
      <c r="D161" s="75">
        <v>0</v>
      </c>
      <c r="E161" s="110">
        <v>0</v>
      </c>
      <c r="F161" s="110">
        <v>0</v>
      </c>
      <c r="G161" s="110">
        <v>0</v>
      </c>
      <c r="H161" s="76">
        <v>0</v>
      </c>
      <c r="I161" s="76">
        <v>0</v>
      </c>
      <c r="J161" s="77">
        <v>0</v>
      </c>
      <c r="K161" s="69">
        <f>+'Fluxo Consolidado'!D156</f>
        <v>449587.95857142855</v>
      </c>
      <c r="L161" s="78">
        <f>+'Fluxo Consolidado'!E156</f>
        <v>107774.9</v>
      </c>
      <c r="M161" s="78">
        <f>+'Fluxo Consolidado'!F156</f>
        <v>0</v>
      </c>
      <c r="N161" s="70">
        <v>0</v>
      </c>
      <c r="O161" s="242">
        <f t="shared" si="71"/>
        <v>0.05</v>
      </c>
      <c r="P161" s="70">
        <f>+'Fluxo Consolidado'!H156</f>
        <v>-5388.7449999999999</v>
      </c>
      <c r="Q161" s="70">
        <f>+'Fluxo Consolidado'!I156</f>
        <v>5543.2560000000003</v>
      </c>
      <c r="R161" s="79">
        <f>'Fluxo Consolidado'!J156</f>
        <v>273296.50583877065</v>
      </c>
      <c r="S161" s="79">
        <f>'Fluxo Consolidado'!K156</f>
        <v>80</v>
      </c>
      <c r="T161" s="79">
        <f t="shared" si="83"/>
        <v>0</v>
      </c>
      <c r="U161" s="79">
        <v>8</v>
      </c>
      <c r="V161" s="79">
        <f t="shared" si="81"/>
        <v>830813.87541019928</v>
      </c>
      <c r="W161" s="79">
        <v>0</v>
      </c>
      <c r="X161" s="79">
        <v>0</v>
      </c>
      <c r="Y161" s="71">
        <v>0</v>
      </c>
      <c r="Z161" s="38">
        <f t="shared" si="70"/>
        <v>0</v>
      </c>
      <c r="AA161" s="80">
        <v>0</v>
      </c>
      <c r="AB161" s="81">
        <f>+'Fluxo Consolidado'!P156</f>
        <v>0</v>
      </c>
      <c r="AC161" s="208">
        <f>'Fluxo Consolidado'!Q156</f>
        <v>0</v>
      </c>
      <c r="AD161" s="81">
        <f>+'Fluxo Consolidado'!R156</f>
        <v>0</v>
      </c>
      <c r="AE161" s="81">
        <f>+'Fluxo Consolidado'!S156</f>
        <v>0</v>
      </c>
      <c r="AF161" s="208">
        <f>'Fluxo Consolidado'!T156</f>
        <v>0</v>
      </c>
      <c r="AG161" s="81">
        <f>+'Fluxo Consolidado'!U156</f>
        <v>0</v>
      </c>
      <c r="AH161" s="246">
        <f>+'Fluxo Consolidado'!V156</f>
        <v>0</v>
      </c>
      <c r="AI161" s="125" t="e">
        <f>+'Fluxo Consolidado'!#REF!</f>
        <v>#REF!</v>
      </c>
      <c r="AJ161" s="82">
        <f>+'Fluxo Consolidado'!X156</f>
        <v>0</v>
      </c>
      <c r="AK161" s="85">
        <v>0</v>
      </c>
      <c r="AL161" s="85">
        <f>+'Fluxo Consolidado'!Y156+'Fluxo Consolidado'!Z156+'Fluxo Consolidado'!AA156</f>
        <v>0</v>
      </c>
      <c r="AM161" s="85">
        <f>+'Fluxo Consolidado'!AB156+'Fluxo Consolidado'!AC156</f>
        <v>-11044.223660714286</v>
      </c>
      <c r="AN161" s="103">
        <f>+'Fluxo Consolidado'!AD156</f>
        <v>0</v>
      </c>
      <c r="AO161" s="85">
        <f>+'Fluxo Consolidado'!AF156+'Fluxo Consolidado'!AF156</f>
        <v>0</v>
      </c>
      <c r="AP161" s="83">
        <f>+'Fluxo Consolidado'!AG156</f>
        <v>0</v>
      </c>
      <c r="AQ161" s="119">
        <f>+'Fluxo Consolidado'!AH156</f>
        <v>-55550.637854869048</v>
      </c>
      <c r="AR161" s="85">
        <f>+'Fluxo Consolidado'!AI156</f>
        <v>-9209.81</v>
      </c>
      <c r="AS161" s="85">
        <f>+'Fluxo Consolidado'!AJ156</f>
        <v>-1000</v>
      </c>
      <c r="AT161" s="85">
        <v>0</v>
      </c>
      <c r="AU161" s="85">
        <f>+'Fluxo Consolidado'!AK156</f>
        <v>-3031.2357829604762</v>
      </c>
      <c r="AV161" s="84">
        <f>+'Fluxo Consolidado'!AL156</f>
        <v>0</v>
      </c>
      <c r="AW161" s="82">
        <f t="shared" si="89"/>
        <v>-11110.127570973811</v>
      </c>
      <c r="AX161" s="82">
        <v>0</v>
      </c>
      <c r="AY161" s="82">
        <f>(-V160*$AY$1)+'Fluxo Consolidado'!AO156</f>
        <v>-37033.758569912701</v>
      </c>
      <c r="AZ161" s="84">
        <v>0</v>
      </c>
      <c r="BA161" s="122">
        <v>0</v>
      </c>
      <c r="BB161" s="81">
        <v>0</v>
      </c>
      <c r="BC161" s="81">
        <f>+'Fluxo Consolidado'!AP156</f>
        <v>0</v>
      </c>
      <c r="BD161" s="125">
        <f>+'Fluxo Consolidado'!AQ156</f>
        <v>0</v>
      </c>
      <c r="BE161" s="133"/>
      <c r="BF161" s="78">
        <f t="shared" si="84"/>
        <v>830813.87541019928</v>
      </c>
      <c r="BG161" s="70" t="e">
        <f t="shared" si="85"/>
        <v>#REF!</v>
      </c>
      <c r="BH161" s="70" t="e">
        <f t="shared" si="72"/>
        <v>#REF!</v>
      </c>
      <c r="BI161" s="71" t="e">
        <f t="shared" si="73"/>
        <v>#REF!</v>
      </c>
      <c r="BJ161" s="201" t="e">
        <f t="shared" si="88"/>
        <v>#REF!</v>
      </c>
      <c r="BQ161" s="82">
        <v>0</v>
      </c>
      <c r="BR161" s="223">
        <v>-559890.60474951216</v>
      </c>
      <c r="BS161" s="223">
        <v>-18917.480246489849</v>
      </c>
      <c r="BT161" s="223">
        <v>0</v>
      </c>
      <c r="BU161" s="223">
        <v>-978527.28596654849</v>
      </c>
      <c r="BV161" s="223">
        <v>1073317.9691393159</v>
      </c>
      <c r="BW161" s="223">
        <f t="shared" si="90"/>
        <v>-578808.08499600203</v>
      </c>
      <c r="BX161" s="83">
        <f t="shared" si="82"/>
        <v>-578808.08499600203</v>
      </c>
      <c r="BY161" s="78">
        <f t="shared" si="91"/>
        <v>346796.47358696465</v>
      </c>
      <c r="BZ161" s="70" t="e">
        <f t="shared" si="77"/>
        <v>#REF!</v>
      </c>
      <c r="CA161" s="70" t="e">
        <f t="shared" si="78"/>
        <v>#REF!</v>
      </c>
      <c r="CB161" s="71" t="e">
        <f t="shared" si="79"/>
        <v>#REF!</v>
      </c>
      <c r="CC161" s="270" t="e">
        <f t="shared" si="80"/>
        <v>#REF!</v>
      </c>
      <c r="CD161" s="201"/>
      <c r="CE161" s="69" t="e">
        <f t="shared" si="86"/>
        <v>#REF!</v>
      </c>
      <c r="CF161" s="71" t="e">
        <f t="shared" si="87"/>
        <v>#REF!</v>
      </c>
    </row>
    <row r="162" spans="1:84" ht="15" customHeight="1">
      <c r="A162" s="35">
        <f t="shared" si="69"/>
        <v>100</v>
      </c>
      <c r="B162" s="87"/>
      <c r="C162" s="36">
        <v>46296</v>
      </c>
      <c r="D162" s="75">
        <v>0</v>
      </c>
      <c r="E162" s="110">
        <v>0</v>
      </c>
      <c r="F162" s="110">
        <v>0</v>
      </c>
      <c r="G162" s="110">
        <v>0</v>
      </c>
      <c r="H162" s="76">
        <v>0</v>
      </c>
      <c r="I162" s="76">
        <v>0</v>
      </c>
      <c r="J162" s="77">
        <v>0</v>
      </c>
      <c r="K162" s="69">
        <f>+'Fluxo Consolidado'!D157</f>
        <v>261115.17714285711</v>
      </c>
      <c r="L162" s="78">
        <f>+'Fluxo Consolidado'!E157</f>
        <v>105813.83</v>
      </c>
      <c r="M162" s="78">
        <f>+'Fluxo Consolidado'!F157</f>
        <v>0</v>
      </c>
      <c r="N162" s="70">
        <v>0</v>
      </c>
      <c r="O162" s="242">
        <f t="shared" si="71"/>
        <v>0.05</v>
      </c>
      <c r="P162" s="70">
        <f>+'Fluxo Consolidado'!H157</f>
        <v>-5290.6915000000008</v>
      </c>
      <c r="Q162" s="70">
        <f>+'Fluxo Consolidado'!I157</f>
        <v>5448.3450000000003</v>
      </c>
      <c r="R162" s="79">
        <f>'Fluxo Consolidado'!J157</f>
        <v>182653.68611616996</v>
      </c>
      <c r="S162" s="79">
        <f>'Fluxo Consolidado'!K157</f>
        <v>81</v>
      </c>
      <c r="T162" s="79">
        <f t="shared" si="83"/>
        <v>0</v>
      </c>
      <c r="U162" s="79">
        <v>8</v>
      </c>
      <c r="V162" s="79">
        <f t="shared" si="81"/>
        <v>549740.34675902699</v>
      </c>
      <c r="W162" s="79">
        <v>0</v>
      </c>
      <c r="X162" s="79">
        <v>0</v>
      </c>
      <c r="Y162" s="71">
        <v>0</v>
      </c>
      <c r="Z162" s="38">
        <f t="shared" si="70"/>
        <v>0</v>
      </c>
      <c r="AA162" s="80">
        <v>0</v>
      </c>
      <c r="AB162" s="81">
        <f>+'Fluxo Consolidado'!P157</f>
        <v>0</v>
      </c>
      <c r="AC162" s="208">
        <f>'Fluxo Consolidado'!Q157</f>
        <v>0</v>
      </c>
      <c r="AD162" s="81">
        <f>+'Fluxo Consolidado'!R157</f>
        <v>0</v>
      </c>
      <c r="AE162" s="81">
        <f>+'Fluxo Consolidado'!S157</f>
        <v>0</v>
      </c>
      <c r="AF162" s="208">
        <f>'Fluxo Consolidado'!T157</f>
        <v>0</v>
      </c>
      <c r="AG162" s="81">
        <f>+'Fluxo Consolidado'!U157</f>
        <v>0</v>
      </c>
      <c r="AH162" s="246">
        <f>+'Fluxo Consolidado'!V157</f>
        <v>0</v>
      </c>
      <c r="AI162" s="125" t="e">
        <f>+'Fluxo Consolidado'!#REF!</f>
        <v>#REF!</v>
      </c>
      <c r="AJ162" s="82">
        <f>+'Fluxo Consolidado'!X157</f>
        <v>0</v>
      </c>
      <c r="AK162" s="85">
        <v>0</v>
      </c>
      <c r="AL162" s="85">
        <f>+'Fluxo Consolidado'!Y157+'Fluxo Consolidado'!Z157+'Fluxo Consolidado'!AA157</f>
        <v>0</v>
      </c>
      <c r="AM162" s="85">
        <f>+'Fluxo Consolidado'!AB157+'Fluxo Consolidado'!AC157</f>
        <v>-6472.9654464285704</v>
      </c>
      <c r="AN162" s="103">
        <f>+'Fluxo Consolidado'!AD157</f>
        <v>0</v>
      </c>
      <c r="AO162" s="85">
        <f>+'Fluxo Consolidado'!AF157+'Fluxo Consolidado'!AF157</f>
        <v>0</v>
      </c>
      <c r="AP162" s="83">
        <f>+'Fluxo Consolidado'!AG157</f>
        <v>0</v>
      </c>
      <c r="AQ162" s="119">
        <f>+'Fluxo Consolidado'!AH157</f>
        <v>-49848.832524611957</v>
      </c>
      <c r="AR162" s="85">
        <f>+'Fluxo Consolidado'!AI157</f>
        <v>-9209.81</v>
      </c>
      <c r="AS162" s="85">
        <f>+'Fluxo Consolidado'!AJ157</f>
        <v>-1000</v>
      </c>
      <c r="AT162" s="85">
        <v>0</v>
      </c>
      <c r="AU162" s="85">
        <f>+'Fluxo Consolidado'!AK157</f>
        <v>-2840.1608277388596</v>
      </c>
      <c r="AV162" s="84">
        <f>+'Fluxo Consolidado'!AL157</f>
        <v>0</v>
      </c>
      <c r="AW162" s="82">
        <f t="shared" si="89"/>
        <v>-9969.7665049223924</v>
      </c>
      <c r="AX162" s="82">
        <v>0</v>
      </c>
      <c r="AY162" s="82">
        <f>(-V161*$AY$1)+'Fluxo Consolidado'!AO157</f>
        <v>-33232.555016407969</v>
      </c>
      <c r="AZ162" s="84">
        <v>0</v>
      </c>
      <c r="BA162" s="122">
        <v>0</v>
      </c>
      <c r="BB162" s="81">
        <v>0</v>
      </c>
      <c r="BC162" s="81">
        <f>+'Fluxo Consolidado'!AP157</f>
        <v>0</v>
      </c>
      <c r="BD162" s="125">
        <f>+'Fluxo Consolidado'!AQ157</f>
        <v>0</v>
      </c>
      <c r="BE162" s="133"/>
      <c r="BF162" s="78">
        <f t="shared" si="84"/>
        <v>549740.34675902699</v>
      </c>
      <c r="BG162" s="70" t="e">
        <f t="shared" si="85"/>
        <v>#REF!</v>
      </c>
      <c r="BH162" s="70" t="e">
        <f t="shared" si="72"/>
        <v>#REF!</v>
      </c>
      <c r="BI162" s="71" t="e">
        <f t="shared" si="73"/>
        <v>#REF!</v>
      </c>
      <c r="BJ162" s="201" t="e">
        <f t="shared" si="88"/>
        <v>#REF!</v>
      </c>
      <c r="BQ162" s="82">
        <v>0</v>
      </c>
      <c r="BR162" s="223">
        <v>-554790.99621828238</v>
      </c>
      <c r="BS162" s="223">
        <v>-18700.222373422432</v>
      </c>
      <c r="BT162" s="223">
        <v>0</v>
      </c>
      <c r="BU162" s="223">
        <v>-530347.91051748942</v>
      </c>
      <c r="BV162" s="223">
        <v>978527.28596654849</v>
      </c>
      <c r="BW162" s="223">
        <f t="shared" si="90"/>
        <v>-573491.21859170485</v>
      </c>
      <c r="BX162" s="83">
        <f t="shared" si="82"/>
        <v>-573491.21859170485</v>
      </c>
      <c r="BY162" s="78">
        <f t="shared" si="91"/>
        <v>424428.5036163812</v>
      </c>
      <c r="BZ162" s="70" t="e">
        <f t="shared" si="77"/>
        <v>#REF!</v>
      </c>
      <c r="CA162" s="70" t="e">
        <f t="shared" si="78"/>
        <v>#REF!</v>
      </c>
      <c r="CB162" s="71" t="e">
        <f t="shared" si="79"/>
        <v>#REF!</v>
      </c>
      <c r="CC162" s="270" t="e">
        <f t="shared" si="80"/>
        <v>#REF!</v>
      </c>
      <c r="CD162" s="201"/>
      <c r="CE162" s="69" t="e">
        <f t="shared" si="86"/>
        <v>#REF!</v>
      </c>
      <c r="CF162" s="71" t="e">
        <f t="shared" si="87"/>
        <v>#REF!</v>
      </c>
    </row>
    <row r="163" spans="1:84" ht="15" customHeight="1">
      <c r="A163" s="35">
        <f t="shared" si="69"/>
        <v>101</v>
      </c>
      <c r="B163" s="87"/>
      <c r="C163" s="36">
        <v>46327</v>
      </c>
      <c r="D163" s="75">
        <v>0</v>
      </c>
      <c r="E163" s="110">
        <v>0</v>
      </c>
      <c r="F163" s="110">
        <v>0</v>
      </c>
      <c r="G163" s="110">
        <v>0</v>
      </c>
      <c r="H163" s="76">
        <v>0</v>
      </c>
      <c r="I163" s="76">
        <v>0</v>
      </c>
      <c r="J163" s="77">
        <v>0</v>
      </c>
      <c r="K163" s="69">
        <f>+'Fluxo Consolidado'!D158</f>
        <v>237087.52345238096</v>
      </c>
      <c r="L163" s="78">
        <f>+'Fluxo Consolidado'!E158</f>
        <v>104699.06</v>
      </c>
      <c r="M163" s="78">
        <f>+'Fluxo Consolidado'!F158</f>
        <v>0</v>
      </c>
      <c r="N163" s="70">
        <v>0</v>
      </c>
      <c r="O163" s="242">
        <f t="shared" si="71"/>
        <v>0.05</v>
      </c>
      <c r="P163" s="70">
        <f>+'Fluxo Consolidado'!H158</f>
        <v>-5234.9530000000004</v>
      </c>
      <c r="Q163" s="70">
        <f>+'Fluxo Consolidado'!I158</f>
        <v>5388.7449999999999</v>
      </c>
      <c r="R163" s="79">
        <f>'Fluxo Consolidado'!J158</f>
        <v>172697.65555282461</v>
      </c>
      <c r="S163" s="79">
        <f>'Fluxo Consolidado'!K158</f>
        <v>82</v>
      </c>
      <c r="T163" s="79">
        <f t="shared" si="83"/>
        <v>0</v>
      </c>
      <c r="U163" s="79">
        <v>8</v>
      </c>
      <c r="V163" s="79">
        <f t="shared" si="81"/>
        <v>514638.03100520553</v>
      </c>
      <c r="W163" s="79">
        <v>0</v>
      </c>
      <c r="X163" s="79">
        <v>0</v>
      </c>
      <c r="Y163" s="71">
        <v>0</v>
      </c>
      <c r="Z163" s="38">
        <f t="shared" si="70"/>
        <v>0</v>
      </c>
      <c r="AA163" s="80">
        <v>0</v>
      </c>
      <c r="AB163" s="81">
        <f>+'Fluxo Consolidado'!P158</f>
        <v>0</v>
      </c>
      <c r="AC163" s="208">
        <f>'Fluxo Consolidado'!Q158</f>
        <v>0</v>
      </c>
      <c r="AD163" s="81">
        <f>+'Fluxo Consolidado'!R158</f>
        <v>0</v>
      </c>
      <c r="AE163" s="81">
        <f>+'Fluxo Consolidado'!S158</f>
        <v>0</v>
      </c>
      <c r="AF163" s="208">
        <f>'Fluxo Consolidado'!T158</f>
        <v>0</v>
      </c>
      <c r="AG163" s="81">
        <f>+'Fluxo Consolidado'!U158</f>
        <v>0</v>
      </c>
      <c r="AH163" s="246">
        <f>+'Fluxo Consolidado'!V158</f>
        <v>0</v>
      </c>
      <c r="AI163" s="125" t="e">
        <f>+'Fluxo Consolidado'!#REF!</f>
        <v>#REF!</v>
      </c>
      <c r="AJ163" s="82">
        <f>+'Fluxo Consolidado'!X158</f>
        <v>0</v>
      </c>
      <c r="AK163" s="85">
        <v>0</v>
      </c>
      <c r="AL163" s="85">
        <f>+'Fluxo Consolidado'!Y158+'Fluxo Consolidado'!Z158+'Fluxo Consolidado'!AA158</f>
        <v>0</v>
      </c>
      <c r="AM163" s="85">
        <f>+'Fluxo Consolidado'!AB158+'Fluxo Consolidado'!AC158</f>
        <v>-5844.8580803571422</v>
      </c>
      <c r="AN163" s="103">
        <f>+'Fluxo Consolidado'!AD158</f>
        <v>0</v>
      </c>
      <c r="AO163" s="85">
        <f>+'Fluxo Consolidado'!AF158+'Fluxo Consolidado'!AF158</f>
        <v>0</v>
      </c>
      <c r="AP163" s="83">
        <f>+'Fluxo Consolidado'!AG158</f>
        <v>0</v>
      </c>
      <c r="AQ163" s="119">
        <f>+'Fluxo Consolidado'!AH158</f>
        <v>-32984.420805541617</v>
      </c>
      <c r="AR163" s="85">
        <f>+'Fluxo Consolidado'!AI158</f>
        <v>-9209.81</v>
      </c>
      <c r="AS163" s="85">
        <f>+'Fluxo Consolidado'!AJ158</f>
        <v>-1000</v>
      </c>
      <c r="AT163" s="85">
        <v>0</v>
      </c>
      <c r="AU163" s="85">
        <f>+'Fluxo Consolidado'!AK158</f>
        <v>-2500.0776265839067</v>
      </c>
      <c r="AV163" s="84">
        <f>+'Fluxo Consolidado'!AL158</f>
        <v>0</v>
      </c>
      <c r="AW163" s="82">
        <f t="shared" si="89"/>
        <v>-6596.8841611083244</v>
      </c>
      <c r="AX163" s="82">
        <v>0</v>
      </c>
      <c r="AY163" s="82">
        <f>(-V162*$AY$1)+'Fluxo Consolidado'!AO158</f>
        <v>-21989.613870361081</v>
      </c>
      <c r="AZ163" s="84">
        <v>0</v>
      </c>
      <c r="BA163" s="122">
        <v>0</v>
      </c>
      <c r="BB163" s="81">
        <v>0</v>
      </c>
      <c r="BC163" s="81">
        <f>+'Fluxo Consolidado'!AP158</f>
        <v>0</v>
      </c>
      <c r="BD163" s="125">
        <f>+'Fluxo Consolidado'!AQ158</f>
        <v>0</v>
      </c>
      <c r="BE163" s="133"/>
      <c r="BF163" s="78">
        <f t="shared" si="84"/>
        <v>514638.03100520553</v>
      </c>
      <c r="BG163" s="70" t="e">
        <f t="shared" si="85"/>
        <v>#REF!</v>
      </c>
      <c r="BH163" s="70" t="e">
        <f t="shared" si="72"/>
        <v>#REF!</v>
      </c>
      <c r="BI163" s="71" t="e">
        <f t="shared" si="73"/>
        <v>#REF!</v>
      </c>
      <c r="BJ163" s="201" t="e">
        <f t="shared" si="88"/>
        <v>#REF!</v>
      </c>
      <c r="BQ163" s="82">
        <v>0</v>
      </c>
      <c r="BR163" s="223">
        <v>-549691.38768705272</v>
      </c>
      <c r="BS163" s="223">
        <v>-18489.124452996366</v>
      </c>
      <c r="BT163" s="223">
        <v>0</v>
      </c>
      <c r="BU163" s="223">
        <v>-416774.88992740231</v>
      </c>
      <c r="BV163" s="223">
        <v>530347.91051748942</v>
      </c>
      <c r="BW163" s="223">
        <f t="shared" si="90"/>
        <v>-568180.51214004913</v>
      </c>
      <c r="BX163" s="83">
        <f t="shared" si="82"/>
        <v>-568180.51214004913</v>
      </c>
      <c r="BY163" s="78">
        <f t="shared" si="91"/>
        <v>60030.539455243561</v>
      </c>
      <c r="BZ163" s="70" t="e">
        <f t="shared" si="77"/>
        <v>#REF!</v>
      </c>
      <c r="CA163" s="70" t="e">
        <f t="shared" si="78"/>
        <v>#REF!</v>
      </c>
      <c r="CB163" s="71" t="e">
        <f t="shared" si="79"/>
        <v>#REF!</v>
      </c>
      <c r="CC163" s="270" t="e">
        <f t="shared" si="80"/>
        <v>#REF!</v>
      </c>
      <c r="CD163" s="201"/>
      <c r="CE163" s="69" t="e">
        <f t="shared" si="86"/>
        <v>#REF!</v>
      </c>
      <c r="CF163" s="71" t="e">
        <f t="shared" si="87"/>
        <v>#REF!</v>
      </c>
    </row>
    <row r="164" spans="1:84" ht="15" customHeight="1">
      <c r="A164" s="35">
        <f t="shared" si="69"/>
        <v>102</v>
      </c>
      <c r="B164" s="87"/>
      <c r="C164" s="36">
        <v>46357</v>
      </c>
      <c r="D164" s="75">
        <v>0</v>
      </c>
      <c r="E164" s="110">
        <v>0</v>
      </c>
      <c r="F164" s="110">
        <v>0</v>
      </c>
      <c r="G164" s="110">
        <v>0</v>
      </c>
      <c r="H164" s="76">
        <v>0</v>
      </c>
      <c r="I164" s="76">
        <v>0</v>
      </c>
      <c r="J164" s="77">
        <v>0</v>
      </c>
      <c r="K164" s="69">
        <f>+'Fluxo Consolidado'!D159</f>
        <v>193538.05845238094</v>
      </c>
      <c r="L164" s="78">
        <f>+'Fluxo Consolidado'!E159</f>
        <v>104224.87</v>
      </c>
      <c r="M164" s="78">
        <f>+'Fluxo Consolidado'!F159</f>
        <v>0</v>
      </c>
      <c r="N164" s="70">
        <v>0</v>
      </c>
      <c r="O164" s="242">
        <f t="shared" si="71"/>
        <v>0.05</v>
      </c>
      <c r="P164" s="70">
        <f>+'Fluxo Consolidado'!H159</f>
        <v>-5211.2435000000005</v>
      </c>
      <c r="Q164" s="70">
        <f>+'Fluxo Consolidado'!I159</f>
        <v>5388.7449999999999</v>
      </c>
      <c r="R164" s="79">
        <f>'Fluxo Consolidado'!J159</f>
        <v>152694.49957735022</v>
      </c>
      <c r="S164" s="79">
        <f>'Fluxo Consolidado'!K159</f>
        <v>83</v>
      </c>
      <c r="T164" s="79">
        <f t="shared" si="83"/>
        <v>0</v>
      </c>
      <c r="U164" s="79">
        <v>8</v>
      </c>
      <c r="V164" s="79">
        <f t="shared" si="81"/>
        <v>450634.92952973116</v>
      </c>
      <c r="W164" s="79">
        <v>0</v>
      </c>
      <c r="X164" s="79">
        <v>0</v>
      </c>
      <c r="Y164" s="71">
        <v>0</v>
      </c>
      <c r="Z164" s="38">
        <f t="shared" si="70"/>
        <v>0</v>
      </c>
      <c r="AA164" s="80">
        <v>0</v>
      </c>
      <c r="AB164" s="81">
        <f>+'Fluxo Consolidado'!P159</f>
        <v>0</v>
      </c>
      <c r="AC164" s="208">
        <f>'Fluxo Consolidado'!Q159</f>
        <v>0</v>
      </c>
      <c r="AD164" s="81">
        <f>+'Fluxo Consolidado'!R159</f>
        <v>0</v>
      </c>
      <c r="AE164" s="81">
        <f>+'Fluxo Consolidado'!S159</f>
        <v>0</v>
      </c>
      <c r="AF164" s="208">
        <f>'Fluxo Consolidado'!T159</f>
        <v>0</v>
      </c>
      <c r="AG164" s="81">
        <f>+'Fluxo Consolidado'!U159</f>
        <v>0</v>
      </c>
      <c r="AH164" s="246">
        <f>+'Fluxo Consolidado'!V159</f>
        <v>0</v>
      </c>
      <c r="AI164" s="125" t="e">
        <f>+'Fluxo Consolidado'!#REF!</f>
        <v>#REF!</v>
      </c>
      <c r="AJ164" s="82">
        <f>+'Fluxo Consolidado'!X159</f>
        <v>0</v>
      </c>
      <c r="AK164" s="85">
        <v>0</v>
      </c>
      <c r="AL164" s="85">
        <f>+'Fluxo Consolidado'!Y159+'Fluxo Consolidado'!Z159+'Fluxo Consolidado'!AA159</f>
        <v>0</v>
      </c>
      <c r="AM164" s="85">
        <f>+'Fluxo Consolidado'!AB159+'Fluxo Consolidado'!AC159</f>
        <v>-4653.8846428571424</v>
      </c>
      <c r="AN164" s="103">
        <f>+'Fluxo Consolidado'!AD159</f>
        <v>0</v>
      </c>
      <c r="AO164" s="85">
        <f>+'Fluxo Consolidado'!AF159+'Fluxo Consolidado'!AF159</f>
        <v>0</v>
      </c>
      <c r="AP164" s="83">
        <f>+'Fluxo Consolidado'!AG159</f>
        <v>0</v>
      </c>
      <c r="AQ164" s="119">
        <f>+'Fluxo Consolidado'!AH159</f>
        <v>-30878.281860312331</v>
      </c>
      <c r="AR164" s="85">
        <f>+'Fluxo Consolidado'!AI159</f>
        <v>-9209.81</v>
      </c>
      <c r="AS164" s="85">
        <f>+'Fluxo Consolidado'!AJ159</f>
        <v>-1000</v>
      </c>
      <c r="AT164" s="85">
        <v>0</v>
      </c>
      <c r="AU164" s="85">
        <f>+'Fluxo Consolidado'!AK159</f>
        <v>-2368.2197287801305</v>
      </c>
      <c r="AV164" s="84">
        <f>+'Fluxo Consolidado'!AL159</f>
        <v>0</v>
      </c>
      <c r="AW164" s="82">
        <f t="shared" si="89"/>
        <v>-6175.6563720624663</v>
      </c>
      <c r="AX164" s="82">
        <v>0</v>
      </c>
      <c r="AY164" s="82">
        <f>(-V163*$AY$1)+'Fluxo Consolidado'!AO159</f>
        <v>-20585.521240208222</v>
      </c>
      <c r="AZ164" s="84">
        <v>0</v>
      </c>
      <c r="BA164" s="122">
        <v>0</v>
      </c>
      <c r="BB164" s="81">
        <v>0</v>
      </c>
      <c r="BC164" s="81">
        <f>+'Fluxo Consolidado'!AP159</f>
        <v>0</v>
      </c>
      <c r="BD164" s="125">
        <f>+'Fluxo Consolidado'!AQ159</f>
        <v>0</v>
      </c>
      <c r="BE164" s="133"/>
      <c r="BF164" s="78">
        <f t="shared" si="84"/>
        <v>450634.92952973116</v>
      </c>
      <c r="BG164" s="70" t="e">
        <f t="shared" si="85"/>
        <v>#REF!</v>
      </c>
      <c r="BH164" s="70" t="e">
        <f t="shared" si="72"/>
        <v>#REF!</v>
      </c>
      <c r="BI164" s="71" t="e">
        <f t="shared" si="73"/>
        <v>#REF!</v>
      </c>
      <c r="BJ164" s="201" t="e">
        <f t="shared" si="88"/>
        <v>#REF!</v>
      </c>
      <c r="BQ164" s="82">
        <v>0</v>
      </c>
      <c r="BR164" s="223">
        <v>-544591.77915582305</v>
      </c>
      <c r="BS164" s="223">
        <v>-18284.01183093556</v>
      </c>
      <c r="BT164" s="223">
        <v>0</v>
      </c>
      <c r="BU164" s="223">
        <v>-328377.01182565442</v>
      </c>
      <c r="BV164" s="223">
        <v>416774.88992740231</v>
      </c>
      <c r="BW164" s="223">
        <f t="shared" si="90"/>
        <v>-562875.79098675866</v>
      </c>
      <c r="BX164" s="83">
        <f t="shared" si="82"/>
        <v>-562875.79098675866</v>
      </c>
      <c r="BY164" s="78">
        <f t="shared" si="91"/>
        <v>-23842.983355279546</v>
      </c>
      <c r="BZ164" s="70" t="e">
        <f t="shared" si="77"/>
        <v>#REF!</v>
      </c>
      <c r="CA164" s="70" t="e">
        <f t="shared" si="78"/>
        <v>#REF!</v>
      </c>
      <c r="CB164" s="71" t="e">
        <f t="shared" si="79"/>
        <v>#REF!</v>
      </c>
      <c r="CC164" s="270" t="e">
        <f t="shared" si="80"/>
        <v>#REF!</v>
      </c>
      <c r="CD164" s="201"/>
      <c r="CE164" s="69" t="e">
        <f t="shared" si="86"/>
        <v>#REF!</v>
      </c>
      <c r="CF164" s="71" t="e">
        <f t="shared" si="87"/>
        <v>#REF!</v>
      </c>
    </row>
    <row r="165" spans="1:84" ht="15" customHeight="1">
      <c r="A165" s="35">
        <f t="shared" si="69"/>
        <v>103</v>
      </c>
      <c r="B165" s="87"/>
      <c r="C165" s="36">
        <v>46388</v>
      </c>
      <c r="D165" s="75">
        <v>0</v>
      </c>
      <c r="E165" s="110">
        <v>0</v>
      </c>
      <c r="F165" s="110">
        <v>0</v>
      </c>
      <c r="G165" s="110">
        <v>0</v>
      </c>
      <c r="H165" s="76">
        <v>0</v>
      </c>
      <c r="I165" s="76">
        <v>0</v>
      </c>
      <c r="J165" s="77">
        <v>0</v>
      </c>
      <c r="K165" s="69">
        <f>+'Fluxo Consolidado'!D160</f>
        <v>151935.88023809524</v>
      </c>
      <c r="L165" s="78">
        <f>+'Fluxo Consolidado'!E160</f>
        <v>102653.57</v>
      </c>
      <c r="M165" s="78">
        <f>+'Fluxo Consolidado'!F160</f>
        <v>0</v>
      </c>
      <c r="N165" s="70">
        <v>0</v>
      </c>
      <c r="O165" s="242">
        <f t="shared" si="71"/>
        <v>0.05</v>
      </c>
      <c r="P165" s="70">
        <f>+'Fluxo Consolidado'!H160</f>
        <v>-5132.6785000000009</v>
      </c>
      <c r="Q165" s="70">
        <f>+'Fluxo Consolidado'!I160</f>
        <v>5290.6915000000008</v>
      </c>
      <c r="R165" s="79">
        <f>'Fluxo Consolidado'!J160</f>
        <v>132480.61957073351</v>
      </c>
      <c r="S165" s="79">
        <f>'Fluxo Consolidado'!K160</f>
        <v>84</v>
      </c>
      <c r="T165" s="79">
        <f t="shared" si="83"/>
        <v>0</v>
      </c>
      <c r="U165" s="79">
        <v>8</v>
      </c>
      <c r="V165" s="79">
        <f t="shared" si="81"/>
        <v>387228.08280882874</v>
      </c>
      <c r="W165" s="79">
        <v>0</v>
      </c>
      <c r="X165" s="79">
        <v>0</v>
      </c>
      <c r="Y165" s="71">
        <v>0</v>
      </c>
      <c r="Z165" s="38">
        <f t="shared" si="70"/>
        <v>0</v>
      </c>
      <c r="AA165" s="80">
        <v>0</v>
      </c>
      <c r="AB165" s="81">
        <f>+'Fluxo Consolidado'!P160</f>
        <v>0</v>
      </c>
      <c r="AC165" s="208">
        <f>'Fluxo Consolidado'!Q160</f>
        <v>0</v>
      </c>
      <c r="AD165" s="81">
        <f>+'Fluxo Consolidado'!R160</f>
        <v>0</v>
      </c>
      <c r="AE165" s="81">
        <f>+'Fluxo Consolidado'!S160</f>
        <v>0</v>
      </c>
      <c r="AF165" s="208">
        <f>'Fluxo Consolidado'!T160</f>
        <v>0</v>
      </c>
      <c r="AG165" s="81">
        <f>+'Fluxo Consolidado'!U160</f>
        <v>0</v>
      </c>
      <c r="AH165" s="246">
        <f>+'Fluxo Consolidado'!V160</f>
        <v>0</v>
      </c>
      <c r="AI165" s="125" t="e">
        <f>+'Fluxo Consolidado'!#REF!</f>
        <v>#REF!</v>
      </c>
      <c r="AJ165" s="82">
        <f>+'Fluxo Consolidado'!X160</f>
        <v>0</v>
      </c>
      <c r="AK165" s="85">
        <v>0</v>
      </c>
      <c r="AL165" s="85">
        <f>+'Fluxo Consolidado'!Y160+'Fluxo Consolidado'!Z160+'Fluxo Consolidado'!AA160</f>
        <v>0</v>
      </c>
      <c r="AM165" s="85">
        <f>+'Fluxo Consolidado'!AB160+'Fluxo Consolidado'!AC160</f>
        <v>-3397.6699107142854</v>
      </c>
      <c r="AN165" s="103">
        <f>+'Fluxo Consolidado'!AD160</f>
        <v>0</v>
      </c>
      <c r="AO165" s="85">
        <f>+'Fluxo Consolidado'!AF160+'Fluxo Consolidado'!AF160</f>
        <v>0</v>
      </c>
      <c r="AP165" s="83">
        <f>+'Fluxo Consolidado'!AG160</f>
        <v>0</v>
      </c>
      <c r="AQ165" s="119">
        <f>+'Fluxo Consolidado'!AH160</f>
        <v>-27038.095771783868</v>
      </c>
      <c r="AR165" s="85">
        <f>+'Fluxo Consolidado'!AI160</f>
        <v>-9209.81</v>
      </c>
      <c r="AS165" s="85">
        <f>+'Fluxo Consolidado'!AJ160</f>
        <v>-1000</v>
      </c>
      <c r="AT165" s="85">
        <v>0</v>
      </c>
      <c r="AU165" s="85">
        <f>+'Fluxo Consolidado'!AK160</f>
        <v>-2205.3389088506515</v>
      </c>
      <c r="AV165" s="84">
        <f>+'Fluxo Consolidado'!AL160</f>
        <v>0</v>
      </c>
      <c r="AW165" s="82">
        <f t="shared" si="89"/>
        <v>-5407.6191543567738</v>
      </c>
      <c r="AX165" s="82">
        <v>0</v>
      </c>
      <c r="AY165" s="82">
        <f>(-V164*$AY$1)+'Fluxo Consolidado'!AO160</f>
        <v>-18025.397181189248</v>
      </c>
      <c r="AZ165" s="84">
        <v>0</v>
      </c>
      <c r="BA165" s="122">
        <v>0</v>
      </c>
      <c r="BB165" s="81">
        <v>0</v>
      </c>
      <c r="BC165" s="81">
        <f>+'Fluxo Consolidado'!AP160</f>
        <v>0</v>
      </c>
      <c r="BD165" s="125">
        <f>+'Fluxo Consolidado'!AQ160</f>
        <v>0</v>
      </c>
      <c r="BE165" s="133"/>
      <c r="BF165" s="78">
        <f t="shared" si="84"/>
        <v>387228.08280882874</v>
      </c>
      <c r="BG165" s="70" t="e">
        <f t="shared" si="85"/>
        <v>#REF!</v>
      </c>
      <c r="BH165" s="70" t="e">
        <f t="shared" si="72"/>
        <v>#REF!</v>
      </c>
      <c r="BI165" s="71" t="e">
        <f t="shared" si="73"/>
        <v>#REF!</v>
      </c>
      <c r="BJ165" s="201" t="e">
        <f t="shared" si="88"/>
        <v>#REF!</v>
      </c>
      <c r="BQ165" s="82">
        <v>0</v>
      </c>
      <c r="BR165" s="223">
        <v>-539492.17062459339</v>
      </c>
      <c r="BS165" s="223">
        <v>-18084.71480496892</v>
      </c>
      <c r="BT165" s="223">
        <v>0</v>
      </c>
      <c r="BU165" s="223">
        <v>-325921.09912945639</v>
      </c>
      <c r="BV165" s="223">
        <v>328377.01182565442</v>
      </c>
      <c r="BW165" s="223">
        <f t="shared" si="90"/>
        <v>-557576.8854295623</v>
      </c>
      <c r="BX165" s="83">
        <f t="shared" si="82"/>
        <v>-557576.8854295623</v>
      </c>
      <c r="BY165" s="78">
        <f t="shared" si="91"/>
        <v>-167892.88992453553</v>
      </c>
      <c r="BZ165" s="70" t="e">
        <f t="shared" si="77"/>
        <v>#REF!</v>
      </c>
      <c r="CA165" s="70" t="e">
        <f t="shared" si="78"/>
        <v>#REF!</v>
      </c>
      <c r="CB165" s="71" t="e">
        <f t="shared" si="79"/>
        <v>#REF!</v>
      </c>
      <c r="CC165" s="270" t="e">
        <f t="shared" si="80"/>
        <v>#REF!</v>
      </c>
      <c r="CD165" s="201"/>
      <c r="CE165" s="69" t="e">
        <f t="shared" si="86"/>
        <v>#REF!</v>
      </c>
      <c r="CF165" s="71" t="e">
        <f t="shared" si="87"/>
        <v>#REF!</v>
      </c>
    </row>
    <row r="166" spans="1:84" ht="15" customHeight="1">
      <c r="A166" s="35">
        <f t="shared" si="69"/>
        <v>104</v>
      </c>
      <c r="B166" s="87"/>
      <c r="C166" s="36">
        <v>46419</v>
      </c>
      <c r="D166" s="75">
        <v>0</v>
      </c>
      <c r="E166" s="110">
        <v>0</v>
      </c>
      <c r="F166" s="110">
        <v>0</v>
      </c>
      <c r="G166" s="110">
        <v>0</v>
      </c>
      <c r="H166" s="76">
        <v>0</v>
      </c>
      <c r="I166" s="76">
        <v>0</v>
      </c>
      <c r="J166" s="77">
        <v>0</v>
      </c>
      <c r="K166" s="69">
        <f>+'Fluxo Consolidado'!D161</f>
        <v>141519.29249999998</v>
      </c>
      <c r="L166" s="78">
        <f>+'Fluxo Consolidado'!E161</f>
        <v>93045.69</v>
      </c>
      <c r="M166" s="78">
        <f>+'Fluxo Consolidado'!F161</f>
        <v>0</v>
      </c>
      <c r="N166" s="70">
        <v>0</v>
      </c>
      <c r="O166" s="242">
        <f t="shared" si="71"/>
        <v>0.05</v>
      </c>
      <c r="P166" s="70">
        <f>+'Fluxo Consolidado'!H161</f>
        <v>-4652.2845000000007</v>
      </c>
      <c r="Q166" s="70">
        <f>+'Fluxo Consolidado'!I161</f>
        <v>5234.9530000000004</v>
      </c>
      <c r="R166" s="79">
        <f>'Fluxo Consolidado'!J161</f>
        <v>123843.62196652911</v>
      </c>
      <c r="S166" s="79">
        <f>'Fluxo Consolidado'!K161</f>
        <v>85</v>
      </c>
      <c r="T166" s="79">
        <f t="shared" si="83"/>
        <v>0</v>
      </c>
      <c r="U166" s="79">
        <v>9</v>
      </c>
      <c r="V166" s="79">
        <f t="shared" si="81"/>
        <v>358991.27296652907</v>
      </c>
      <c r="W166" s="79">
        <v>0</v>
      </c>
      <c r="X166" s="79">
        <v>0</v>
      </c>
      <c r="Y166" s="71">
        <v>0</v>
      </c>
      <c r="Z166" s="38">
        <f t="shared" si="70"/>
        <v>0</v>
      </c>
      <c r="AA166" s="80">
        <v>0</v>
      </c>
      <c r="AB166" s="81">
        <f>+'Fluxo Consolidado'!P161</f>
        <v>0</v>
      </c>
      <c r="AC166" s="208">
        <f>'Fluxo Consolidado'!Q161</f>
        <v>0</v>
      </c>
      <c r="AD166" s="81">
        <f>+'Fluxo Consolidado'!R161</f>
        <v>0</v>
      </c>
      <c r="AE166" s="81">
        <f>+'Fluxo Consolidado'!S161</f>
        <v>0</v>
      </c>
      <c r="AF166" s="208">
        <f>'Fluxo Consolidado'!T161</f>
        <v>0</v>
      </c>
      <c r="AG166" s="81">
        <f>+'Fluxo Consolidado'!U161</f>
        <v>0</v>
      </c>
      <c r="AH166" s="246">
        <f>+'Fluxo Consolidado'!V161</f>
        <v>0</v>
      </c>
      <c r="AI166" s="125" t="e">
        <f>+'Fluxo Consolidado'!#REF!</f>
        <v>#REF!</v>
      </c>
      <c r="AJ166" s="82">
        <f>+'Fluxo Consolidado'!X161</f>
        <v>0</v>
      </c>
      <c r="AK166" s="85">
        <v>0</v>
      </c>
      <c r="AL166" s="85">
        <f>+'Fluxo Consolidado'!Y161+'Fluxo Consolidado'!Z161+'Fluxo Consolidado'!AA161</f>
        <v>0</v>
      </c>
      <c r="AM166" s="85">
        <f>+'Fluxo Consolidado'!AB161+'Fluxo Consolidado'!AC161</f>
        <v>-2964.0021874999998</v>
      </c>
      <c r="AN166" s="103">
        <f>+'Fluxo Consolidado'!AD161</f>
        <v>0</v>
      </c>
      <c r="AO166" s="85">
        <f>+'Fluxo Consolidado'!AF161+'Fluxo Consolidado'!AF161</f>
        <v>0</v>
      </c>
      <c r="AP166" s="83">
        <f>+'Fluxo Consolidado'!AG161</f>
        <v>0</v>
      </c>
      <c r="AQ166" s="119">
        <f>+'Fluxo Consolidado'!AH161</f>
        <v>-23233.684968529724</v>
      </c>
      <c r="AR166" s="85">
        <f>+'Fluxo Consolidado'!AI161</f>
        <v>0</v>
      </c>
      <c r="AS166" s="85">
        <f>+'Fluxo Consolidado'!AJ161</f>
        <v>-1000</v>
      </c>
      <c r="AT166" s="85">
        <v>0</v>
      </c>
      <c r="AU166" s="85">
        <f>+'Fluxo Consolidado'!AK161</f>
        <v>-1999.5225326779496</v>
      </c>
      <c r="AV166" s="84">
        <f>+'Fluxo Consolidado'!AL161</f>
        <v>0</v>
      </c>
      <c r="AW166" s="82">
        <f t="shared" si="89"/>
        <v>-4646.7369937059448</v>
      </c>
      <c r="AX166" s="82">
        <v>0</v>
      </c>
      <c r="AY166" s="82">
        <f>(-V165*$AY$1)+'Fluxo Consolidado'!AO161</f>
        <v>-15489.123312353149</v>
      </c>
      <c r="AZ166" s="84">
        <v>0</v>
      </c>
      <c r="BA166" s="122">
        <v>0</v>
      </c>
      <c r="BB166" s="81">
        <v>0</v>
      </c>
      <c r="BC166" s="81">
        <f>+'Fluxo Consolidado'!AP161</f>
        <v>0</v>
      </c>
      <c r="BD166" s="125">
        <f>+'Fluxo Consolidado'!AQ161</f>
        <v>0</v>
      </c>
      <c r="BE166" s="133"/>
      <c r="BF166" s="78">
        <f t="shared" si="84"/>
        <v>358991.27296652907</v>
      </c>
      <c r="BG166" s="70" t="e">
        <f t="shared" si="85"/>
        <v>#REF!</v>
      </c>
      <c r="BH166" s="70" t="e">
        <f t="shared" si="72"/>
        <v>#REF!</v>
      </c>
      <c r="BI166" s="71" t="e">
        <f t="shared" si="73"/>
        <v>#REF!</v>
      </c>
      <c r="BJ166" s="201" t="e">
        <f t="shared" si="88"/>
        <v>#REF!</v>
      </c>
      <c r="BQ166" s="82">
        <v>0</v>
      </c>
      <c r="BR166" s="223">
        <v>-534392.56209336373</v>
      </c>
      <c r="BS166" s="223">
        <v>-17891.068484425206</v>
      </c>
      <c r="BT166" s="223">
        <v>0</v>
      </c>
      <c r="BU166" s="223">
        <v>-310435.47138804127</v>
      </c>
      <c r="BV166" s="223">
        <v>325921.09912945639</v>
      </c>
      <c r="BW166" s="223">
        <f t="shared" si="90"/>
        <v>-552283.63057778892</v>
      </c>
      <c r="BX166" s="83">
        <f t="shared" si="82"/>
        <v>-552283.63057778892</v>
      </c>
      <c r="BY166" s="78">
        <f t="shared" si="91"/>
        <v>-177806.72986984474</v>
      </c>
      <c r="BZ166" s="70" t="e">
        <f t="shared" si="77"/>
        <v>#REF!</v>
      </c>
      <c r="CA166" s="70" t="e">
        <f t="shared" si="78"/>
        <v>#REF!</v>
      </c>
      <c r="CB166" s="71" t="e">
        <f t="shared" si="79"/>
        <v>#REF!</v>
      </c>
      <c r="CC166" s="270" t="e">
        <f t="shared" si="80"/>
        <v>#REF!</v>
      </c>
      <c r="CD166" s="201"/>
      <c r="CE166" s="69" t="e">
        <f t="shared" si="86"/>
        <v>#REF!</v>
      </c>
      <c r="CF166" s="71" t="e">
        <f t="shared" si="87"/>
        <v>#REF!</v>
      </c>
    </row>
    <row r="167" spans="1:84" ht="15" customHeight="1">
      <c r="A167" s="35">
        <f t="shared" si="69"/>
        <v>105</v>
      </c>
      <c r="B167" s="87"/>
      <c r="C167" s="36">
        <v>46447</v>
      </c>
      <c r="D167" s="75">
        <v>0</v>
      </c>
      <c r="E167" s="110">
        <v>0</v>
      </c>
      <c r="F167" s="110">
        <v>0</v>
      </c>
      <c r="G167" s="110">
        <v>0</v>
      </c>
      <c r="H167" s="76">
        <v>0</v>
      </c>
      <c r="I167" s="76">
        <v>0</v>
      </c>
      <c r="J167" s="77">
        <v>0</v>
      </c>
      <c r="K167" s="69">
        <f>+'Fluxo Consolidado'!D162</f>
        <v>137343.73833333334</v>
      </c>
      <c r="L167" s="78">
        <f>+'Fluxo Consolidado'!E162</f>
        <v>86941.31</v>
      </c>
      <c r="M167" s="78">
        <f>+'Fluxo Consolidado'!F162</f>
        <v>0</v>
      </c>
      <c r="N167" s="70">
        <v>0</v>
      </c>
      <c r="O167" s="242">
        <f t="shared" si="71"/>
        <v>0.05</v>
      </c>
      <c r="P167" s="70">
        <f>+'Fluxo Consolidado'!H162</f>
        <v>-4347.0654999999997</v>
      </c>
      <c r="Q167" s="70">
        <f>+'Fluxo Consolidado'!I162</f>
        <v>5211.2435000000005</v>
      </c>
      <c r="R167" s="79">
        <f>'Fluxo Consolidado'!J162</f>
        <v>120129.61565743224</v>
      </c>
      <c r="S167" s="79">
        <f>'Fluxo Consolidado'!K162</f>
        <v>86</v>
      </c>
      <c r="T167" s="79">
        <f t="shared" si="83"/>
        <v>0</v>
      </c>
      <c r="U167" s="79">
        <v>9</v>
      </c>
      <c r="V167" s="79">
        <f t="shared" si="81"/>
        <v>345278.84199076559</v>
      </c>
      <c r="W167" s="79">
        <v>0</v>
      </c>
      <c r="X167" s="79">
        <v>0</v>
      </c>
      <c r="Y167" s="71">
        <v>0</v>
      </c>
      <c r="Z167" s="38">
        <f t="shared" si="70"/>
        <v>0</v>
      </c>
      <c r="AA167" s="80">
        <v>0</v>
      </c>
      <c r="AB167" s="81">
        <f>+'Fluxo Consolidado'!P162</f>
        <v>0</v>
      </c>
      <c r="AC167" s="208">
        <f>'Fluxo Consolidado'!Q162</f>
        <v>0</v>
      </c>
      <c r="AD167" s="81">
        <f>+'Fluxo Consolidado'!R162</f>
        <v>0</v>
      </c>
      <c r="AE167" s="81">
        <f>+'Fluxo Consolidado'!S162</f>
        <v>0</v>
      </c>
      <c r="AF167" s="208">
        <f>'Fluxo Consolidado'!T162</f>
        <v>0</v>
      </c>
      <c r="AG167" s="81">
        <f>+'Fluxo Consolidado'!U162</f>
        <v>0</v>
      </c>
      <c r="AH167" s="246">
        <f>+'Fluxo Consolidado'!V162</f>
        <v>0</v>
      </c>
      <c r="AI167" s="125" t="e">
        <f>+'Fluxo Consolidado'!#REF!</f>
        <v>#REF!</v>
      </c>
      <c r="AJ167" s="82">
        <f>+'Fluxo Consolidado'!X162</f>
        <v>0</v>
      </c>
      <c r="AK167" s="85">
        <v>0</v>
      </c>
      <c r="AL167" s="85">
        <f>+'Fluxo Consolidado'!Y162+'Fluxo Consolidado'!Z162+'Fluxo Consolidado'!AA162</f>
        <v>0</v>
      </c>
      <c r="AM167" s="85">
        <f>+'Fluxo Consolidado'!AB162+'Fluxo Consolidado'!AC162</f>
        <v>-2847.5887499999999</v>
      </c>
      <c r="AN167" s="103">
        <f>+'Fluxo Consolidado'!AD162</f>
        <v>0</v>
      </c>
      <c r="AO167" s="85">
        <f>+'Fluxo Consolidado'!AF162+'Fluxo Consolidado'!AF162</f>
        <v>0</v>
      </c>
      <c r="AP167" s="83">
        <f>+'Fluxo Consolidado'!AG162</f>
        <v>0</v>
      </c>
      <c r="AQ167" s="119">
        <f>+'Fluxo Consolidado'!AH162</f>
        <v>-21539.476377991745</v>
      </c>
      <c r="AR167" s="85">
        <f>+'Fluxo Consolidado'!AI162</f>
        <v>0</v>
      </c>
      <c r="AS167" s="85">
        <f>+'Fluxo Consolidado'!AJ162</f>
        <v>-1000</v>
      </c>
      <c r="AT167" s="85">
        <v>0</v>
      </c>
      <c r="AU167" s="85">
        <f>+'Fluxo Consolidado'!AK162</f>
        <v>-1847.8324275061261</v>
      </c>
      <c r="AV167" s="84">
        <f>+'Fluxo Consolidado'!AL162</f>
        <v>0</v>
      </c>
      <c r="AW167" s="82">
        <f t="shared" si="89"/>
        <v>-4307.8952755983491</v>
      </c>
      <c r="AX167" s="82">
        <v>0</v>
      </c>
      <c r="AY167" s="82">
        <f>(-V166*$AY$1)+'Fluxo Consolidado'!AO162</f>
        <v>-14359.650918661164</v>
      </c>
      <c r="AZ167" s="84">
        <v>0</v>
      </c>
      <c r="BA167" s="122">
        <v>0</v>
      </c>
      <c r="BB167" s="81">
        <v>0</v>
      </c>
      <c r="BC167" s="81">
        <f>+'Fluxo Consolidado'!AP162</f>
        <v>0</v>
      </c>
      <c r="BD167" s="125">
        <f>+'Fluxo Consolidado'!AQ162</f>
        <v>0</v>
      </c>
      <c r="BE167" s="133"/>
      <c r="BF167" s="78">
        <f t="shared" si="84"/>
        <v>345278.84199076559</v>
      </c>
      <c r="BG167" s="70" t="e">
        <f t="shared" si="85"/>
        <v>#REF!</v>
      </c>
      <c r="BH167" s="70" t="e">
        <f t="shared" si="72"/>
        <v>#REF!</v>
      </c>
      <c r="BI167" s="71" t="e">
        <f t="shared" si="73"/>
        <v>#REF!</v>
      </c>
      <c r="BJ167" s="201" t="e">
        <f t="shared" si="88"/>
        <v>#REF!</v>
      </c>
      <c r="BQ167" s="82">
        <v>0</v>
      </c>
      <c r="BR167" s="223">
        <v>-529292.95356213406</v>
      </c>
      <c r="BS167" s="223">
        <v>-17702.912653808871</v>
      </c>
      <c r="BT167" s="223">
        <v>0</v>
      </c>
      <c r="BU167" s="223">
        <v>-296459.08653503668</v>
      </c>
      <c r="BV167" s="223">
        <v>310435.47138804127</v>
      </c>
      <c r="BW167" s="223">
        <f t="shared" si="90"/>
        <v>-546995.86621594289</v>
      </c>
      <c r="BX167" s="83">
        <f t="shared" si="82"/>
        <v>-546995.86621594289</v>
      </c>
      <c r="BY167" s="78">
        <f t="shared" si="91"/>
        <v>-187740.63937217277</v>
      </c>
      <c r="BZ167" s="70" t="e">
        <f t="shared" si="77"/>
        <v>#REF!</v>
      </c>
      <c r="CA167" s="70" t="e">
        <f t="shared" si="78"/>
        <v>#REF!</v>
      </c>
      <c r="CB167" s="71" t="e">
        <f t="shared" si="79"/>
        <v>#REF!</v>
      </c>
      <c r="CC167" s="270" t="e">
        <f t="shared" si="80"/>
        <v>#REF!</v>
      </c>
      <c r="CD167" s="201"/>
      <c r="CE167" s="69" t="e">
        <f t="shared" si="86"/>
        <v>#REF!</v>
      </c>
      <c r="CF167" s="71" t="e">
        <f t="shared" si="87"/>
        <v>#REF!</v>
      </c>
    </row>
    <row r="168" spans="1:84" ht="15" customHeight="1">
      <c r="A168" s="35">
        <f t="shared" si="69"/>
        <v>106</v>
      </c>
      <c r="B168" s="87"/>
      <c r="C168" s="36">
        <v>46478</v>
      </c>
      <c r="D168" s="75">
        <v>0</v>
      </c>
      <c r="E168" s="110">
        <v>0</v>
      </c>
      <c r="F168" s="110">
        <v>0</v>
      </c>
      <c r="G168" s="110">
        <v>0</v>
      </c>
      <c r="H168" s="76">
        <v>0</v>
      </c>
      <c r="I168" s="76">
        <v>0</v>
      </c>
      <c r="J168" s="77">
        <v>0</v>
      </c>
      <c r="K168" s="69">
        <f>+'Fluxo Consolidado'!D163</f>
        <v>129751.82166666666</v>
      </c>
      <c r="L168" s="78">
        <f>+'Fluxo Consolidado'!E163</f>
        <v>64262.75</v>
      </c>
      <c r="M168" s="78">
        <f>+'Fluxo Consolidado'!F163</f>
        <v>0</v>
      </c>
      <c r="N168" s="70">
        <v>0</v>
      </c>
      <c r="O168" s="242">
        <f t="shared" si="71"/>
        <v>0.05</v>
      </c>
      <c r="P168" s="70">
        <f>+'Fluxo Consolidado'!H163</f>
        <v>-3213.1375000000003</v>
      </c>
      <c r="Q168" s="70">
        <f>+'Fluxo Consolidado'!I163</f>
        <v>5132.6785000000009</v>
      </c>
      <c r="R168" s="79">
        <f>'Fluxo Consolidado'!J163</f>
        <v>105406.05992010701</v>
      </c>
      <c r="S168" s="79">
        <f>'Fluxo Consolidado'!K163</f>
        <v>87</v>
      </c>
      <c r="T168" s="79">
        <f t="shared" si="83"/>
        <v>0</v>
      </c>
      <c r="U168" s="79">
        <v>9</v>
      </c>
      <c r="V168" s="79">
        <f t="shared" si="81"/>
        <v>301340.17258677364</v>
      </c>
      <c r="W168" s="79">
        <v>0</v>
      </c>
      <c r="X168" s="79">
        <v>0</v>
      </c>
      <c r="Y168" s="71">
        <v>0</v>
      </c>
      <c r="Z168" s="38">
        <f t="shared" si="70"/>
        <v>0</v>
      </c>
      <c r="AA168" s="80">
        <v>0</v>
      </c>
      <c r="AB168" s="81">
        <f>+'Fluxo Consolidado'!P163</f>
        <v>0</v>
      </c>
      <c r="AC168" s="208">
        <f>'Fluxo Consolidado'!Q163</f>
        <v>0</v>
      </c>
      <c r="AD168" s="81">
        <f>+'Fluxo Consolidado'!R163</f>
        <v>0</v>
      </c>
      <c r="AE168" s="81">
        <f>+'Fluxo Consolidado'!S163</f>
        <v>0</v>
      </c>
      <c r="AF168" s="208">
        <f>'Fluxo Consolidado'!T163</f>
        <v>0</v>
      </c>
      <c r="AG168" s="81">
        <f>+'Fluxo Consolidado'!U163</f>
        <v>0</v>
      </c>
      <c r="AH168" s="246">
        <f>+'Fluxo Consolidado'!V163</f>
        <v>0</v>
      </c>
      <c r="AI168" s="125" t="e">
        <f>+'Fluxo Consolidado'!#REF!</f>
        <v>#REF!</v>
      </c>
      <c r="AJ168" s="82">
        <f>+'Fluxo Consolidado'!X163</f>
        <v>0</v>
      </c>
      <c r="AK168" s="85">
        <v>0</v>
      </c>
      <c r="AL168" s="85">
        <f>+'Fluxo Consolidado'!Y163+'Fluxo Consolidado'!Z163+'Fluxo Consolidado'!AA163</f>
        <v>0</v>
      </c>
      <c r="AM168" s="85">
        <f>+'Fluxo Consolidado'!AB163+'Fluxo Consolidado'!AC163</f>
        <v>-2323.2284374999999</v>
      </c>
      <c r="AN168" s="103">
        <f>+'Fluxo Consolidado'!AD163</f>
        <v>0</v>
      </c>
      <c r="AO168" s="85">
        <f>+'Fluxo Consolidado'!AF163+'Fluxo Consolidado'!AF163</f>
        <v>0</v>
      </c>
      <c r="AP168" s="83">
        <f>+'Fluxo Consolidado'!AG163</f>
        <v>0</v>
      </c>
      <c r="AQ168" s="119">
        <f>+'Fluxo Consolidado'!AH163</f>
        <v>-20716.730519445933</v>
      </c>
      <c r="AR168" s="85">
        <f>+'Fluxo Consolidado'!AI163</f>
        <v>0</v>
      </c>
      <c r="AS168" s="85">
        <f>+'Fluxo Consolidado'!AJ163</f>
        <v>-1000</v>
      </c>
      <c r="AT168" s="85">
        <v>0</v>
      </c>
      <c r="AU168" s="85">
        <f>+'Fluxo Consolidado'!AK163</f>
        <v>-1588.8984948174877</v>
      </c>
      <c r="AV168" s="84">
        <f>+'Fluxo Consolidado'!AL163</f>
        <v>0</v>
      </c>
      <c r="AW168" s="82">
        <f t="shared" si="89"/>
        <v>-4143.3461038891874</v>
      </c>
      <c r="AX168" s="82">
        <v>0</v>
      </c>
      <c r="AY168" s="82">
        <f>(-V167*$AY$1)+'Fluxo Consolidado'!AO163</f>
        <v>-13811.153679630625</v>
      </c>
      <c r="AZ168" s="84">
        <v>0</v>
      </c>
      <c r="BA168" s="122">
        <v>0</v>
      </c>
      <c r="BB168" s="81">
        <v>0</v>
      </c>
      <c r="BC168" s="81">
        <f>+'Fluxo Consolidado'!AP163</f>
        <v>0</v>
      </c>
      <c r="BD168" s="125">
        <f>+'Fluxo Consolidado'!AQ163</f>
        <v>0</v>
      </c>
      <c r="BE168" s="133"/>
      <c r="BF168" s="78">
        <f t="shared" si="84"/>
        <v>301340.17258677364</v>
      </c>
      <c r="BG168" s="70" t="e">
        <f t="shared" si="85"/>
        <v>#REF!</v>
      </c>
      <c r="BH168" s="70" t="e">
        <f t="shared" si="72"/>
        <v>#REF!</v>
      </c>
      <c r="BI168" s="71" t="e">
        <f t="shared" si="73"/>
        <v>#REF!</v>
      </c>
      <c r="BJ168" s="201" t="e">
        <f t="shared" si="88"/>
        <v>#REF!</v>
      </c>
      <c r="BQ168" s="82">
        <v>0</v>
      </c>
      <c r="BR168" s="223">
        <v>-524193.34503090434</v>
      </c>
      <c r="BS168" s="223">
        <v>-17520.091640243932</v>
      </c>
      <c r="BT168" s="223">
        <v>0</v>
      </c>
      <c r="BU168" s="223">
        <v>-250123.82569506924</v>
      </c>
      <c r="BV168" s="223">
        <v>296459.08653503668</v>
      </c>
      <c r="BW168" s="223">
        <f t="shared" si="90"/>
        <v>-541713.43667114829</v>
      </c>
      <c r="BX168" s="83">
        <f t="shared" si="82"/>
        <v>-541713.43667114829</v>
      </c>
      <c r="BY168" s="78">
        <f t="shared" si="91"/>
        <v>-194038.00324440724</v>
      </c>
      <c r="BZ168" s="70" t="e">
        <f t="shared" si="77"/>
        <v>#REF!</v>
      </c>
      <c r="CA168" s="70" t="e">
        <f t="shared" si="78"/>
        <v>#REF!</v>
      </c>
      <c r="CB168" s="71" t="e">
        <f t="shared" si="79"/>
        <v>#REF!</v>
      </c>
      <c r="CC168" s="270" t="e">
        <f t="shared" si="80"/>
        <v>#REF!</v>
      </c>
      <c r="CD168" s="201"/>
      <c r="CE168" s="69" t="e">
        <f t="shared" si="86"/>
        <v>#REF!</v>
      </c>
      <c r="CF168" s="71" t="e">
        <f t="shared" si="87"/>
        <v>#REF!</v>
      </c>
    </row>
    <row r="169" spans="1:84" ht="15" customHeight="1">
      <c r="A169" s="35">
        <f t="shared" si="69"/>
        <v>107</v>
      </c>
      <c r="B169" s="87"/>
      <c r="C169" s="36">
        <v>46508</v>
      </c>
      <c r="D169" s="75">
        <v>0</v>
      </c>
      <c r="E169" s="110">
        <v>0</v>
      </c>
      <c r="F169" s="110">
        <v>0</v>
      </c>
      <c r="G169" s="110">
        <v>0</v>
      </c>
      <c r="H169" s="76">
        <v>0</v>
      </c>
      <c r="I169" s="76">
        <v>0</v>
      </c>
      <c r="J169" s="77">
        <v>0</v>
      </c>
      <c r="K169" s="69">
        <f>+'Fluxo Consolidado'!D164</f>
        <v>127853.8425</v>
      </c>
      <c r="L169" s="78">
        <f>+'Fluxo Consolidado'!E164</f>
        <v>52207.15</v>
      </c>
      <c r="M169" s="78">
        <f>+'Fluxo Consolidado'!F164</f>
        <v>0</v>
      </c>
      <c r="N169" s="70">
        <v>0</v>
      </c>
      <c r="O169" s="242">
        <f t="shared" si="71"/>
        <v>0.05</v>
      </c>
      <c r="P169" s="70">
        <f>+'Fluxo Consolidado'!H164</f>
        <v>-2610.3575000000001</v>
      </c>
      <c r="Q169" s="70">
        <f>+'Fluxo Consolidado'!I164</f>
        <v>4652.2845000000007</v>
      </c>
      <c r="R169" s="79">
        <f>'Fluxo Consolidado'!J164</f>
        <v>99214.659393176727</v>
      </c>
      <c r="S169" s="79">
        <f>'Fluxo Consolidado'!K164</f>
        <v>88</v>
      </c>
      <c r="T169" s="79">
        <f t="shared" si="83"/>
        <v>0</v>
      </c>
      <c r="U169" s="79">
        <v>9</v>
      </c>
      <c r="V169" s="79">
        <f t="shared" si="81"/>
        <v>281317.57889317675</v>
      </c>
      <c r="W169" s="79">
        <v>0</v>
      </c>
      <c r="X169" s="79">
        <v>0</v>
      </c>
      <c r="Y169" s="71">
        <v>0</v>
      </c>
      <c r="Z169" s="38">
        <f t="shared" si="70"/>
        <v>0</v>
      </c>
      <c r="AA169" s="80">
        <v>0</v>
      </c>
      <c r="AB169" s="81">
        <v>0</v>
      </c>
      <c r="AC169" s="208">
        <f>'Fluxo Consolidado'!Q164</f>
        <v>0</v>
      </c>
      <c r="AD169" s="81">
        <v>0</v>
      </c>
      <c r="AE169" s="81">
        <v>0</v>
      </c>
      <c r="AF169" s="208">
        <f>'Fluxo Consolidado'!T164</f>
        <v>0</v>
      </c>
      <c r="AG169" s="81">
        <v>0</v>
      </c>
      <c r="AH169" s="246">
        <v>0</v>
      </c>
      <c r="AI169" s="125" t="e">
        <f>+'Fluxo Consolidado'!#REF!</f>
        <v>#REF!</v>
      </c>
      <c r="AJ169" s="82">
        <f>+'Fluxo Consolidado'!X164</f>
        <v>0</v>
      </c>
      <c r="AK169" s="85">
        <v>0</v>
      </c>
      <c r="AL169" s="85">
        <f>+'Fluxo Consolidado'!Y164+'Fluxo Consolidado'!Z164+'Fluxo Consolidado'!AA164</f>
        <v>0</v>
      </c>
      <c r="AM169" s="85">
        <f>+'Fluxo Consolidado'!AB164+'Fluxo Consolidado'!AC164</f>
        <v>-1997.8881249999999</v>
      </c>
      <c r="AN169" s="103">
        <f>+'Fluxo Consolidado'!AD164</f>
        <v>0</v>
      </c>
      <c r="AO169" s="85">
        <f>+'Fluxo Consolidado'!AF164+'Fluxo Consolidado'!AF164</f>
        <v>0</v>
      </c>
      <c r="AP169" s="83">
        <f>+'Fluxo Consolidado'!AG164</f>
        <v>0</v>
      </c>
      <c r="AQ169" s="119">
        <f>+'Fluxo Consolidado'!AH164</f>
        <v>-18080.410355206419</v>
      </c>
      <c r="AR169" s="85">
        <f>+'Fluxo Consolidado'!AI164</f>
        <v>0</v>
      </c>
      <c r="AS169" s="85">
        <f>+'Fluxo Consolidado'!AJ164</f>
        <v>-1000</v>
      </c>
      <c r="AT169" s="85">
        <v>0</v>
      </c>
      <c r="AU169" s="85">
        <f>+'Fluxo Consolidado'!AK164</f>
        <v>-936.68956109666442</v>
      </c>
      <c r="AV169" s="84">
        <f>+'Fluxo Consolidado'!AL164</f>
        <v>0</v>
      </c>
      <c r="AW169" s="82">
        <f t="shared" si="89"/>
        <v>-3616.0820710412836</v>
      </c>
      <c r="AX169" s="82">
        <v>0</v>
      </c>
      <c r="AY169" s="82">
        <f>(-V168*$AY$1)+'Fluxo Consolidado'!AO164</f>
        <v>-12053.606903470945</v>
      </c>
      <c r="AZ169" s="84">
        <v>0</v>
      </c>
      <c r="BA169" s="122">
        <v>0</v>
      </c>
      <c r="BB169" s="81">
        <v>0</v>
      </c>
      <c r="BC169" s="81">
        <f>+'Fluxo Consolidado'!AP164</f>
        <v>0</v>
      </c>
      <c r="BD169" s="125">
        <f>+'Fluxo Consolidado'!AQ164</f>
        <v>0</v>
      </c>
      <c r="BE169" s="133"/>
      <c r="BF169" s="78">
        <f t="shared" si="84"/>
        <v>281317.57889317675</v>
      </c>
      <c r="BG169" s="70" t="e">
        <f t="shared" si="85"/>
        <v>#REF!</v>
      </c>
      <c r="BH169" s="70" t="e">
        <f t="shared" si="72"/>
        <v>#REF!</v>
      </c>
      <c r="BI169" s="71" t="e">
        <f t="shared" si="73"/>
        <v>#REF!</v>
      </c>
      <c r="BJ169" s="201" t="e">
        <f t="shared" si="88"/>
        <v>#REF!</v>
      </c>
      <c r="BQ169" s="82">
        <v>0</v>
      </c>
      <c r="BR169" s="223">
        <v>-519093.73649967473</v>
      </c>
      <c r="BS169" s="223">
        <v>-17342.45418467624</v>
      </c>
      <c r="BT169" s="223">
        <v>0</v>
      </c>
      <c r="BU169" s="223">
        <v>-229909.47583701505</v>
      </c>
      <c r="BV169" s="223">
        <v>250123.82569506924</v>
      </c>
      <c r="BW169" s="223">
        <f t="shared" si="90"/>
        <v>-536436.19068435102</v>
      </c>
      <c r="BX169" s="83">
        <f t="shared" si="82"/>
        <v>-536436.19068435102</v>
      </c>
      <c r="BY169" s="78">
        <f t="shared" si="91"/>
        <v>-234904.26193312</v>
      </c>
      <c r="BZ169" s="70" t="e">
        <f t="shared" si="77"/>
        <v>#REF!</v>
      </c>
      <c r="CA169" s="70" t="e">
        <f t="shared" si="78"/>
        <v>#REF!</v>
      </c>
      <c r="CB169" s="71" t="e">
        <f t="shared" si="79"/>
        <v>#REF!</v>
      </c>
      <c r="CC169" s="270" t="e">
        <f t="shared" si="80"/>
        <v>#REF!</v>
      </c>
      <c r="CD169" s="201"/>
      <c r="CE169" s="69" t="e">
        <f t="shared" si="86"/>
        <v>#REF!</v>
      </c>
      <c r="CF169" s="71" t="e">
        <f t="shared" si="87"/>
        <v>#REF!</v>
      </c>
    </row>
    <row r="170" spans="1:84" ht="15" customHeight="1">
      <c r="A170" s="35">
        <f t="shared" si="69"/>
        <v>108</v>
      </c>
      <c r="B170" s="87"/>
      <c r="C170" s="36">
        <v>46539</v>
      </c>
      <c r="D170" s="75">
        <v>0</v>
      </c>
      <c r="E170" s="110">
        <v>0</v>
      </c>
      <c r="F170" s="110">
        <v>0</v>
      </c>
      <c r="G170" s="110">
        <v>0</v>
      </c>
      <c r="H170" s="76">
        <v>0</v>
      </c>
      <c r="I170" s="76">
        <v>0</v>
      </c>
      <c r="J170" s="77">
        <v>0</v>
      </c>
      <c r="K170" s="69">
        <f>+'Fluxo Consolidado'!D165</f>
        <v>125955.86333333333</v>
      </c>
      <c r="L170" s="78">
        <f>+'Fluxo Consolidado'!E165</f>
        <v>43673.49</v>
      </c>
      <c r="M170" s="78">
        <f>+'Fluxo Consolidado'!F165</f>
        <v>0</v>
      </c>
      <c r="N170" s="70">
        <v>0</v>
      </c>
      <c r="O170" s="242">
        <f t="shared" si="71"/>
        <v>0.05</v>
      </c>
      <c r="P170" s="70">
        <f>+'Fluxo Consolidado'!H165</f>
        <v>-2183.6745000000001</v>
      </c>
      <c r="Q170" s="70">
        <f>+'Fluxo Consolidado'!I165</f>
        <v>4347.0654999999997</v>
      </c>
      <c r="R170" s="79">
        <f>'Fluxo Consolidado'!J165</f>
        <v>94782.245828248502</v>
      </c>
      <c r="S170" s="79">
        <f>'Fluxo Consolidado'!K165</f>
        <v>89</v>
      </c>
      <c r="T170" s="79">
        <f t="shared" si="83"/>
        <v>0</v>
      </c>
      <c r="U170" s="79">
        <v>9</v>
      </c>
      <c r="V170" s="79">
        <f t="shared" si="81"/>
        <v>266574.99016158184</v>
      </c>
      <c r="W170" s="79">
        <v>0</v>
      </c>
      <c r="X170" s="79">
        <v>0</v>
      </c>
      <c r="Y170" s="71">
        <v>0</v>
      </c>
      <c r="Z170" s="38">
        <f t="shared" si="70"/>
        <v>0</v>
      </c>
      <c r="AA170" s="80">
        <v>0</v>
      </c>
      <c r="AB170" s="81">
        <v>0</v>
      </c>
      <c r="AC170" s="208">
        <f>'Fluxo Consolidado'!Q165</f>
        <v>0</v>
      </c>
      <c r="AD170" s="81">
        <v>0</v>
      </c>
      <c r="AE170" s="81">
        <v>0</v>
      </c>
      <c r="AF170" s="208">
        <f>'Fluxo Consolidado'!T165</f>
        <v>0</v>
      </c>
      <c r="AG170" s="81">
        <v>0</v>
      </c>
      <c r="AH170" s="246">
        <v>0</v>
      </c>
      <c r="AI170" s="125" t="e">
        <f>+'Fluxo Consolidado'!#REF!</f>
        <v>#REF!</v>
      </c>
      <c r="AJ170" s="82">
        <f>+'Fluxo Consolidado'!X165</f>
        <v>0</v>
      </c>
      <c r="AK170" s="85">
        <v>0</v>
      </c>
      <c r="AL170" s="85">
        <f>+'Fluxo Consolidado'!Y165+'Fluxo Consolidado'!Z165+'Fluxo Consolidado'!AA165</f>
        <v>0</v>
      </c>
      <c r="AM170" s="85">
        <f>+'Fluxo Consolidado'!AB165+'Fluxo Consolidado'!AC165</f>
        <v>-1659.6443749999999</v>
      </c>
      <c r="AN170" s="103">
        <f>+'Fluxo Consolidado'!AD165</f>
        <v>0</v>
      </c>
      <c r="AO170" s="85">
        <f>+'Fluxo Consolidado'!AF165+'Fluxo Consolidado'!AF165</f>
        <v>0</v>
      </c>
      <c r="AP170" s="83">
        <f>+'Fluxo Consolidado'!AG165</f>
        <v>0</v>
      </c>
      <c r="AQ170" s="119">
        <f>+'Fluxo Consolidado'!AH165</f>
        <v>-16879.054733590605</v>
      </c>
      <c r="AR170" s="85">
        <f>+'Fluxo Consolidado'!AI165</f>
        <v>0</v>
      </c>
      <c r="AS170" s="85">
        <f>+'Fluxo Consolidado'!AJ165</f>
        <v>-1000</v>
      </c>
      <c r="AT170" s="85">
        <v>0</v>
      </c>
      <c r="AU170" s="85">
        <f>+'Fluxo Consolidado'!AK165</f>
        <v>-543.25821074650344</v>
      </c>
      <c r="AV170" s="84">
        <f>+'Fluxo Consolidado'!AL165</f>
        <v>0</v>
      </c>
      <c r="AW170" s="82">
        <f t="shared" si="89"/>
        <v>-3375.8109467181212</v>
      </c>
      <c r="AX170" s="82">
        <v>0</v>
      </c>
      <c r="AY170" s="82">
        <f>(-V169*$AY$1)+'Fluxo Consolidado'!AO165</f>
        <v>-11252.703155727069</v>
      </c>
      <c r="AZ170" s="84">
        <v>0</v>
      </c>
      <c r="BA170" s="122">
        <v>0</v>
      </c>
      <c r="BB170" s="81">
        <v>0</v>
      </c>
      <c r="BC170" s="81">
        <f>+'Fluxo Consolidado'!AP165</f>
        <v>0</v>
      </c>
      <c r="BD170" s="125">
        <f>+'Fluxo Consolidado'!AQ165</f>
        <v>0</v>
      </c>
      <c r="BE170" s="133"/>
      <c r="BF170" s="78">
        <f t="shared" ref="BF170:BF189" si="92">V170+Y170+W170+X170</f>
        <v>266574.99016158184</v>
      </c>
      <c r="BG170" s="70" t="e">
        <f t="shared" ref="BG170:BG190" si="93">+SUM(AA170:BD170)</f>
        <v>#REF!</v>
      </c>
      <c r="BH170" s="70" t="e">
        <f t="shared" si="72"/>
        <v>#REF!</v>
      </c>
      <c r="BI170" s="71" t="e">
        <f t="shared" si="73"/>
        <v>#REF!</v>
      </c>
      <c r="BJ170" s="201" t="e">
        <f t="shared" si="88"/>
        <v>#REF!</v>
      </c>
      <c r="BQ170" s="82">
        <v>0</v>
      </c>
      <c r="BR170" s="223">
        <v>-513994.12796844507</v>
      </c>
      <c r="BS170" s="223">
        <v>-17169.853316727567</v>
      </c>
      <c r="BT170" s="223">
        <v>0</v>
      </c>
      <c r="BU170" s="223">
        <v>-214954.40114339287</v>
      </c>
      <c r="BV170" s="223">
        <v>229909.47583701505</v>
      </c>
      <c r="BW170" s="223">
        <f t="shared" si="90"/>
        <v>-531163.98128517263</v>
      </c>
      <c r="BX170" s="83">
        <f t="shared" si="82"/>
        <v>-531163.98128517263</v>
      </c>
      <c r="BY170" s="78">
        <f t="shared" si="91"/>
        <v>-249633.91642996858</v>
      </c>
      <c r="BZ170" s="70" t="e">
        <f t="shared" si="77"/>
        <v>#REF!</v>
      </c>
      <c r="CA170" s="70" t="e">
        <f t="shared" si="78"/>
        <v>#REF!</v>
      </c>
      <c r="CB170" s="71" t="e">
        <f t="shared" si="79"/>
        <v>#REF!</v>
      </c>
      <c r="CC170" s="270" t="e">
        <f t="shared" si="80"/>
        <v>#REF!</v>
      </c>
      <c r="CD170" s="201"/>
      <c r="CE170" s="69" t="e">
        <f t="shared" ref="CE170:CE190" si="94">PV($CE$5,A170,,-BH170)</f>
        <v>#REF!</v>
      </c>
      <c r="CF170" s="71" t="e">
        <f t="shared" ref="CF170:CF190" si="95">PV($CE$5,A170,,-CA170)</f>
        <v>#REF!</v>
      </c>
    </row>
    <row r="171" spans="1:84" ht="15" customHeight="1">
      <c r="A171" s="35">
        <f t="shared" si="69"/>
        <v>109</v>
      </c>
      <c r="B171" s="87"/>
      <c r="C171" s="36">
        <v>46569</v>
      </c>
      <c r="D171" s="75">
        <v>0</v>
      </c>
      <c r="E171" s="110">
        <v>0</v>
      </c>
      <c r="F171" s="110">
        <v>0</v>
      </c>
      <c r="G171" s="110">
        <v>0</v>
      </c>
      <c r="H171" s="76">
        <v>0</v>
      </c>
      <c r="I171" s="76">
        <v>0</v>
      </c>
      <c r="J171" s="77">
        <v>0</v>
      </c>
      <c r="K171" s="69">
        <f>+'Fluxo Consolidado'!D166</f>
        <v>122159.90499999998</v>
      </c>
      <c r="L171" s="78">
        <f>+'Fluxo Consolidado'!E166</f>
        <v>21042.89</v>
      </c>
      <c r="M171" s="78">
        <f>+'Fluxo Consolidado'!F166</f>
        <v>0</v>
      </c>
      <c r="N171" s="70">
        <v>0</v>
      </c>
      <c r="O171" s="242">
        <f t="shared" si="71"/>
        <v>0.05</v>
      </c>
      <c r="P171" s="70">
        <f>+'Fluxo Consolidado'!H166</f>
        <v>-1052.1445000000001</v>
      </c>
      <c r="Q171" s="70">
        <f>+'Fluxo Consolidado'!I166</f>
        <v>3213.1375000000003</v>
      </c>
      <c r="R171" s="79">
        <f>'Fluxo Consolidado'!J166</f>
        <v>81132.213550858636</v>
      </c>
      <c r="S171" s="79">
        <f>'Fluxo Consolidado'!K166</f>
        <v>90</v>
      </c>
      <c r="T171" s="79">
        <f t="shared" si="83"/>
        <v>0</v>
      </c>
      <c r="U171" s="79">
        <v>9</v>
      </c>
      <c r="V171" s="79">
        <f t="shared" si="81"/>
        <v>226496.00155085861</v>
      </c>
      <c r="W171" s="79">
        <v>0</v>
      </c>
      <c r="X171" s="79">
        <v>0</v>
      </c>
      <c r="Y171" s="71">
        <v>0</v>
      </c>
      <c r="Z171" s="38">
        <f t="shared" si="70"/>
        <v>0</v>
      </c>
      <c r="AA171" s="80">
        <v>0</v>
      </c>
      <c r="AB171" s="81">
        <v>0</v>
      </c>
      <c r="AC171" s="208">
        <f>'Fluxo Consolidado'!Q166</f>
        <v>0</v>
      </c>
      <c r="AD171" s="81">
        <v>0</v>
      </c>
      <c r="AE171" s="81">
        <v>0</v>
      </c>
      <c r="AF171" s="208">
        <f>'Fluxo Consolidado'!T166</f>
        <v>0</v>
      </c>
      <c r="AG171" s="81">
        <v>0</v>
      </c>
      <c r="AH171" s="246">
        <v>0</v>
      </c>
      <c r="AI171" s="125" t="e">
        <f>+'Fluxo Consolidado'!#REF!</f>
        <v>#REF!</v>
      </c>
      <c r="AJ171" s="82">
        <f>+'Fluxo Consolidado'!X166</f>
        <v>0</v>
      </c>
      <c r="AK171" s="85">
        <v>0</v>
      </c>
      <c r="AL171" s="85">
        <f>+'Fluxo Consolidado'!Y166+'Fluxo Consolidado'!Z166+'Fluxo Consolidado'!AA166</f>
        <v>0</v>
      </c>
      <c r="AM171" s="85">
        <f>+'Fluxo Consolidado'!AB166+'Fluxo Consolidado'!AC166</f>
        <v>-264.87</v>
      </c>
      <c r="AN171" s="103">
        <f>+'Fluxo Consolidado'!AD166</f>
        <v>0</v>
      </c>
      <c r="AO171" s="85">
        <f>+'Fluxo Consolidado'!AF166+'Fluxo Consolidado'!AF166</f>
        <v>0</v>
      </c>
      <c r="AP171" s="83">
        <f>+'Fluxo Consolidado'!AG166</f>
        <v>0</v>
      </c>
      <c r="AQ171" s="119">
        <f>+'Fluxo Consolidado'!AH166</f>
        <v>-15994.49940969491</v>
      </c>
      <c r="AR171" s="85">
        <f>+'Fluxo Consolidado'!AI166</f>
        <v>0</v>
      </c>
      <c r="AS171" s="85">
        <f>+'Fluxo Consolidado'!AJ166</f>
        <v>-1000</v>
      </c>
      <c r="AT171" s="85">
        <v>0</v>
      </c>
      <c r="AU171" s="85">
        <f>+'Fluxo Consolidado'!AK166</f>
        <v>-291.84258191593267</v>
      </c>
      <c r="AV171" s="84">
        <f>+'Fluxo Consolidado'!AL166</f>
        <v>0</v>
      </c>
      <c r="AW171" s="82">
        <f t="shared" si="89"/>
        <v>-3198.8998819389822</v>
      </c>
      <c r="AX171" s="82">
        <v>0</v>
      </c>
      <c r="AY171" s="82">
        <f>(-V170*$AY$1)+'Fluxo Consolidado'!AO166</f>
        <v>-10662.999606463274</v>
      </c>
      <c r="AZ171" s="84">
        <v>0</v>
      </c>
      <c r="BA171" s="122">
        <v>0</v>
      </c>
      <c r="BB171" s="81">
        <v>0</v>
      </c>
      <c r="BC171" s="81">
        <f>+'Fluxo Consolidado'!AP166</f>
        <v>0</v>
      </c>
      <c r="BD171" s="125">
        <f>+'Fluxo Consolidado'!AQ166</f>
        <v>0</v>
      </c>
      <c r="BE171" s="133"/>
      <c r="BF171" s="78">
        <f t="shared" si="92"/>
        <v>226496.00155085861</v>
      </c>
      <c r="BG171" s="70" t="e">
        <f t="shared" si="93"/>
        <v>#REF!</v>
      </c>
      <c r="BH171" s="70" t="e">
        <f t="shared" si="72"/>
        <v>#REF!</v>
      </c>
      <c r="BI171" s="71" t="e">
        <f t="shared" si="73"/>
        <v>#REF!</v>
      </c>
      <c r="BJ171" s="201" t="e">
        <f t="shared" si="88"/>
        <v>#REF!</v>
      </c>
      <c r="BQ171" s="82">
        <v>0</v>
      </c>
      <c r="BR171" s="223">
        <v>-508894.51943721535</v>
      </c>
      <c r="BS171" s="223">
        <v>-17002.146233097999</v>
      </c>
      <c r="BT171" s="223">
        <v>0</v>
      </c>
      <c r="BU171" s="223">
        <v>-173891.63940336835</v>
      </c>
      <c r="BV171" s="223">
        <v>214954.40114339287</v>
      </c>
      <c r="BW171" s="223">
        <f t="shared" si="90"/>
        <v>-525896.66567031341</v>
      </c>
      <c r="BX171" s="83">
        <f t="shared" si="82"/>
        <v>-525896.66567031341</v>
      </c>
      <c r="BY171" s="78">
        <f t="shared" si="91"/>
        <v>-258337.90237943022</v>
      </c>
      <c r="BZ171" s="70" t="e">
        <f t="shared" si="77"/>
        <v>#REF!</v>
      </c>
      <c r="CA171" s="70" t="e">
        <f t="shared" si="78"/>
        <v>#REF!</v>
      </c>
      <c r="CB171" s="71" t="e">
        <f t="shared" si="79"/>
        <v>#REF!</v>
      </c>
      <c r="CC171" s="270" t="e">
        <f t="shared" si="80"/>
        <v>#REF!</v>
      </c>
      <c r="CD171" s="201"/>
      <c r="CE171" s="69" t="e">
        <f t="shared" si="94"/>
        <v>#REF!</v>
      </c>
      <c r="CF171" s="71" t="e">
        <f t="shared" si="95"/>
        <v>#REF!</v>
      </c>
    </row>
    <row r="172" spans="1:84" ht="15" customHeight="1">
      <c r="A172" s="35">
        <f t="shared" si="69"/>
        <v>110</v>
      </c>
      <c r="B172" s="87"/>
      <c r="C172" s="36">
        <v>46600</v>
      </c>
      <c r="D172" s="75">
        <v>0</v>
      </c>
      <c r="E172" s="110">
        <v>0</v>
      </c>
      <c r="F172" s="110">
        <v>0</v>
      </c>
      <c r="G172" s="110">
        <v>0</v>
      </c>
      <c r="H172" s="76">
        <v>0</v>
      </c>
      <c r="I172" s="76">
        <v>0</v>
      </c>
      <c r="J172" s="77">
        <v>0</v>
      </c>
      <c r="K172" s="69">
        <f>+'Fluxo Consolidado'!D167</f>
        <v>120261.92583333333</v>
      </c>
      <c r="L172" s="78">
        <f>+'Fluxo Consolidado'!E167</f>
        <v>10500.93</v>
      </c>
      <c r="M172" s="78">
        <f>+'Fluxo Consolidado'!F167</f>
        <v>0</v>
      </c>
      <c r="N172" s="70">
        <v>0</v>
      </c>
      <c r="O172" s="242">
        <f t="shared" si="71"/>
        <v>0.05</v>
      </c>
      <c r="P172" s="70">
        <f>+'Fluxo Consolidado'!H167</f>
        <v>-525.04650000000004</v>
      </c>
      <c r="Q172" s="70">
        <f>+'Fluxo Consolidado'!I167</f>
        <v>2610.3575000000001</v>
      </c>
      <c r="R172" s="79">
        <f>'Fluxo Consolidado'!J167</f>
        <v>75108.54362792059</v>
      </c>
      <c r="S172" s="79">
        <f>'Fluxo Consolidado'!K167</f>
        <v>91</v>
      </c>
      <c r="T172" s="79">
        <f t="shared" si="83"/>
        <v>0</v>
      </c>
      <c r="U172" s="79">
        <v>9</v>
      </c>
      <c r="V172" s="79">
        <f t="shared" si="81"/>
        <v>207956.71046125391</v>
      </c>
      <c r="W172" s="79">
        <v>0</v>
      </c>
      <c r="X172" s="79">
        <v>0</v>
      </c>
      <c r="Y172" s="71">
        <v>0</v>
      </c>
      <c r="Z172" s="38">
        <f t="shared" si="70"/>
        <v>0</v>
      </c>
      <c r="AA172" s="80">
        <v>0</v>
      </c>
      <c r="AB172" s="81">
        <v>0</v>
      </c>
      <c r="AC172" s="208">
        <f>'Fluxo Consolidado'!Q167</f>
        <v>0</v>
      </c>
      <c r="AD172" s="81">
        <v>0</v>
      </c>
      <c r="AE172" s="81">
        <v>0</v>
      </c>
      <c r="AF172" s="208">
        <f>'Fluxo Consolidado'!T167</f>
        <v>0</v>
      </c>
      <c r="AG172" s="81">
        <v>0</v>
      </c>
      <c r="AH172" s="246">
        <v>0</v>
      </c>
      <c r="AI172" s="125" t="e">
        <f>+'Fluxo Consolidado'!#REF!</f>
        <v>#REF!</v>
      </c>
      <c r="AJ172" s="82">
        <f>+'Fluxo Consolidado'!X167</f>
        <v>0</v>
      </c>
      <c r="AK172" s="85">
        <v>0</v>
      </c>
      <c r="AL172" s="85">
        <f>+'Fluxo Consolidado'!Y167+'Fluxo Consolidado'!Z167+'Fluxo Consolidado'!AA167</f>
        <v>0</v>
      </c>
      <c r="AM172" s="85">
        <f>+'Fluxo Consolidado'!AB167+'Fluxo Consolidado'!AC167</f>
        <v>-97.06</v>
      </c>
      <c r="AN172" s="103">
        <f>+'Fluxo Consolidado'!AD167</f>
        <v>0</v>
      </c>
      <c r="AO172" s="85">
        <f>+'Fluxo Consolidado'!AF167+'Fluxo Consolidado'!AF167</f>
        <v>0</v>
      </c>
      <c r="AP172" s="83">
        <f>+'Fluxo Consolidado'!AG167</f>
        <v>0</v>
      </c>
      <c r="AQ172" s="119">
        <f>+'Fluxo Consolidado'!AH167</f>
        <v>-13589.760093051516</v>
      </c>
      <c r="AR172" s="85">
        <f>+'Fluxo Consolidado'!AI167</f>
        <v>0</v>
      </c>
      <c r="AS172" s="85">
        <f>+'Fluxo Consolidado'!AJ167</f>
        <v>-1000</v>
      </c>
      <c r="AT172" s="85">
        <v>0</v>
      </c>
      <c r="AU172" s="85">
        <f>+'Fluxo Consolidado'!AK167</f>
        <v>-92.161636920103533</v>
      </c>
      <c r="AV172" s="84">
        <f>+'Fluxo Consolidado'!AL167</f>
        <v>0</v>
      </c>
      <c r="AW172" s="82">
        <f t="shared" si="89"/>
        <v>-2717.9520186103032</v>
      </c>
      <c r="AX172" s="82">
        <v>0</v>
      </c>
      <c r="AY172" s="82">
        <f>(-V171*$AY$1)+'Fluxo Consolidado'!AO167</f>
        <v>-9059.8400620343436</v>
      </c>
      <c r="AZ172" s="84">
        <v>0</v>
      </c>
      <c r="BA172" s="122">
        <v>0</v>
      </c>
      <c r="BB172" s="81">
        <v>0</v>
      </c>
      <c r="BC172" s="81">
        <f>+'Fluxo Consolidado'!AP167</f>
        <v>0</v>
      </c>
      <c r="BD172" s="125">
        <f>+'Fluxo Consolidado'!AQ167</f>
        <v>0</v>
      </c>
      <c r="BE172" s="133"/>
      <c r="BF172" s="78">
        <f t="shared" si="92"/>
        <v>207956.71046125391</v>
      </c>
      <c r="BG172" s="70" t="e">
        <f t="shared" si="93"/>
        <v>#REF!</v>
      </c>
      <c r="BH172" s="70" t="e">
        <f t="shared" si="72"/>
        <v>#REF!</v>
      </c>
      <c r="BI172" s="71" t="e">
        <f t="shared" si="73"/>
        <v>#REF!</v>
      </c>
      <c r="BJ172" s="201" t="e">
        <f t="shared" si="88"/>
        <v>#REF!</v>
      </c>
      <c r="BQ172" s="82">
        <v>0</v>
      </c>
      <c r="BR172" s="223">
        <v>-503794.91090598574</v>
      </c>
      <c r="BS172" s="223">
        <v>-32400.94716746379</v>
      </c>
      <c r="BT172" s="223">
        <v>0</v>
      </c>
      <c r="BU172" s="223">
        <v>-157413.95822367791</v>
      </c>
      <c r="BV172" s="223">
        <v>173891.63940336835</v>
      </c>
      <c r="BW172" s="223">
        <f t="shared" si="90"/>
        <v>-536195.85807344958</v>
      </c>
      <c r="BX172" s="83">
        <f t="shared" si="82"/>
        <v>-536195.85807344958</v>
      </c>
      <c r="BY172" s="78">
        <f t="shared" si="91"/>
        <v>-311761.46643250517</v>
      </c>
      <c r="BZ172" s="70" t="e">
        <f t="shared" si="77"/>
        <v>#REF!</v>
      </c>
      <c r="CA172" s="70" t="e">
        <f t="shared" si="78"/>
        <v>#REF!</v>
      </c>
      <c r="CB172" s="71" t="e">
        <f t="shared" si="79"/>
        <v>#REF!</v>
      </c>
      <c r="CC172" s="270" t="e">
        <f t="shared" si="80"/>
        <v>#REF!</v>
      </c>
      <c r="CD172" s="201"/>
      <c r="CE172" s="69" t="e">
        <f t="shared" si="94"/>
        <v>#REF!</v>
      </c>
      <c r="CF172" s="71" t="e">
        <f t="shared" si="95"/>
        <v>#REF!</v>
      </c>
    </row>
    <row r="173" spans="1:84" ht="15" customHeight="1">
      <c r="A173" s="35">
        <f t="shared" si="69"/>
        <v>111</v>
      </c>
      <c r="B173" s="87"/>
      <c r="C173" s="36">
        <v>46631</v>
      </c>
      <c r="D173" s="75">
        <v>0</v>
      </c>
      <c r="E173" s="110">
        <v>0</v>
      </c>
      <c r="F173" s="110">
        <v>0</v>
      </c>
      <c r="G173" s="110">
        <v>0</v>
      </c>
      <c r="H173" s="76">
        <v>0</v>
      </c>
      <c r="I173" s="76">
        <v>0</v>
      </c>
      <c r="J173" s="77">
        <v>0</v>
      </c>
      <c r="K173" s="69">
        <f>+'Fluxo Consolidado'!D168</f>
        <v>118363.94666666666</v>
      </c>
      <c r="L173" s="78">
        <f>+'Fluxo Consolidado'!E168</f>
        <v>6017.96</v>
      </c>
      <c r="M173" s="78">
        <f>+'Fluxo Consolidado'!F168</f>
        <v>0</v>
      </c>
      <c r="N173" s="70">
        <v>0</v>
      </c>
      <c r="O173" s="242">
        <f t="shared" si="71"/>
        <v>0.05</v>
      </c>
      <c r="P173" s="70">
        <f>+'Fluxo Consolidado'!H168</f>
        <v>-300.89800000000002</v>
      </c>
      <c r="Q173" s="70">
        <f>+'Fluxo Consolidado'!I168</f>
        <v>2183.6745000000001</v>
      </c>
      <c r="R173" s="79">
        <f>'Fluxo Consolidado'!J168</f>
        <v>72422.533058113404</v>
      </c>
      <c r="S173" s="79">
        <f>'Fluxo Consolidado'!K168</f>
        <v>92</v>
      </c>
      <c r="T173" s="79">
        <f t="shared" si="83"/>
        <v>0</v>
      </c>
      <c r="U173" s="79">
        <v>9</v>
      </c>
      <c r="V173" s="79">
        <f t="shared" si="81"/>
        <v>198687.21622478004</v>
      </c>
      <c r="W173" s="79">
        <v>0</v>
      </c>
      <c r="X173" s="79">
        <v>0</v>
      </c>
      <c r="Y173" s="71">
        <v>0</v>
      </c>
      <c r="Z173" s="38">
        <f t="shared" si="70"/>
        <v>0</v>
      </c>
      <c r="AA173" s="80">
        <v>0</v>
      </c>
      <c r="AB173" s="81">
        <v>0</v>
      </c>
      <c r="AC173" s="208">
        <f>'Fluxo Consolidado'!Q168</f>
        <v>0</v>
      </c>
      <c r="AD173" s="81">
        <v>0</v>
      </c>
      <c r="AE173" s="81">
        <v>0</v>
      </c>
      <c r="AF173" s="208">
        <f>'Fluxo Consolidado'!T168</f>
        <v>0</v>
      </c>
      <c r="AG173" s="81">
        <v>0</v>
      </c>
      <c r="AH173" s="246">
        <v>0</v>
      </c>
      <c r="AI173" s="125" t="e">
        <f>+'Fluxo Consolidado'!#REF!</f>
        <v>#REF!</v>
      </c>
      <c r="AJ173" s="82">
        <f>+'Fluxo Consolidado'!X168</f>
        <v>0</v>
      </c>
      <c r="AK173" s="85">
        <v>0</v>
      </c>
      <c r="AL173" s="85">
        <f>+'Fluxo Consolidado'!Y168+'Fluxo Consolidado'!Z168+'Fluxo Consolidado'!AA168</f>
        <v>0</v>
      </c>
      <c r="AM173" s="85">
        <v>0</v>
      </c>
      <c r="AN173" s="103">
        <f>+'Fluxo Consolidado'!AD168</f>
        <v>0</v>
      </c>
      <c r="AO173" s="85">
        <f>+'Fluxo Consolidado'!AF168+'Fluxo Consolidado'!AF168</f>
        <v>0</v>
      </c>
      <c r="AP173" s="83">
        <f>+'Fluxo Consolidado'!AG168</f>
        <v>0</v>
      </c>
      <c r="AQ173" s="119">
        <f>+'Fluxo Consolidado'!AH168</f>
        <v>-12477.402627675234</v>
      </c>
      <c r="AR173" s="85">
        <f>+'Fluxo Consolidado'!AI168</f>
        <v>0</v>
      </c>
      <c r="AS173" s="85">
        <f>+'Fluxo Consolidado'!AJ168</f>
        <v>-1000</v>
      </c>
      <c r="AT173" s="85">
        <v>0</v>
      </c>
      <c r="AU173" s="85">
        <f>+'Fluxo Consolidado'!AK168</f>
        <v>-47.753487769806128</v>
      </c>
      <c r="AV173" s="84">
        <f>+'Fluxo Consolidado'!AL168</f>
        <v>0</v>
      </c>
      <c r="AW173" s="82">
        <f t="shared" si="89"/>
        <v>-2495.480525535047</v>
      </c>
      <c r="AX173" s="82">
        <v>0</v>
      </c>
      <c r="AY173" s="82">
        <f>(-V172*$AY$1)+'Fluxo Consolidado'!AO168</f>
        <v>-8318.2684184501559</v>
      </c>
      <c r="AZ173" s="84">
        <v>0</v>
      </c>
      <c r="BA173" s="122">
        <v>0</v>
      </c>
      <c r="BB173" s="81">
        <v>0</v>
      </c>
      <c r="BC173" s="81">
        <f>+'Fluxo Consolidado'!AP168</f>
        <v>0</v>
      </c>
      <c r="BD173" s="125">
        <f>+'Fluxo Consolidado'!AQ168</f>
        <v>0</v>
      </c>
      <c r="BE173" s="133"/>
      <c r="BF173" s="78">
        <f t="shared" si="92"/>
        <v>198687.21622478004</v>
      </c>
      <c r="BG173" s="70" t="e">
        <f t="shared" si="93"/>
        <v>#REF!</v>
      </c>
      <c r="BH173" s="70" t="e">
        <f t="shared" si="72"/>
        <v>#REF!</v>
      </c>
      <c r="BI173" s="71" t="e">
        <f t="shared" si="73"/>
        <v>#REF!</v>
      </c>
      <c r="BJ173" s="201" t="e">
        <f t="shared" si="88"/>
        <v>#REF!</v>
      </c>
      <c r="BQ173" s="82">
        <v>0</v>
      </c>
      <c r="BR173" s="223">
        <v>-498695.30237475608</v>
      </c>
      <c r="BS173" s="223">
        <v>-16680.862335438309</v>
      </c>
      <c r="BT173" s="223">
        <v>0</v>
      </c>
      <c r="BU173" s="223">
        <v>-147904.93890195357</v>
      </c>
      <c r="BV173" s="223">
        <v>157413.95822367791</v>
      </c>
      <c r="BW173" s="223">
        <f t="shared" si="90"/>
        <v>-515376.1647101944</v>
      </c>
      <c r="BX173" s="83">
        <f t="shared" si="82"/>
        <v>-515376.1647101944</v>
      </c>
      <c r="BY173" s="78">
        <f t="shared" si="91"/>
        <v>-307179.92916368996</v>
      </c>
      <c r="BZ173" s="70" t="e">
        <f t="shared" si="77"/>
        <v>#REF!</v>
      </c>
      <c r="CA173" s="70" t="e">
        <f t="shared" si="78"/>
        <v>#REF!</v>
      </c>
      <c r="CB173" s="71" t="e">
        <f t="shared" si="79"/>
        <v>#REF!</v>
      </c>
      <c r="CC173" s="270" t="e">
        <f t="shared" si="80"/>
        <v>#REF!</v>
      </c>
      <c r="CD173" s="201"/>
      <c r="CE173" s="69" t="e">
        <f t="shared" si="94"/>
        <v>#REF!</v>
      </c>
      <c r="CF173" s="71" t="e">
        <f t="shared" si="95"/>
        <v>#REF!</v>
      </c>
    </row>
    <row r="174" spans="1:84" ht="15" customHeight="1">
      <c r="A174" s="35">
        <f t="shared" si="69"/>
        <v>112</v>
      </c>
      <c r="B174" s="87"/>
      <c r="C174" s="36">
        <v>46661</v>
      </c>
      <c r="D174" s="75">
        <v>0</v>
      </c>
      <c r="E174" s="110">
        <v>0</v>
      </c>
      <c r="F174" s="110">
        <v>0</v>
      </c>
      <c r="G174" s="110">
        <v>0</v>
      </c>
      <c r="H174" s="76">
        <v>0</v>
      </c>
      <c r="I174" s="76">
        <v>0</v>
      </c>
      <c r="J174" s="77">
        <v>0</v>
      </c>
      <c r="K174" s="69">
        <f>+'Fluxo Consolidado'!D169</f>
        <v>112670.00916666666</v>
      </c>
      <c r="L174" s="78">
        <f>+'Fluxo Consolidado'!E169</f>
        <v>2032.67</v>
      </c>
      <c r="M174" s="78">
        <f>+'Fluxo Consolidado'!F169</f>
        <v>0</v>
      </c>
      <c r="N174" s="70">
        <v>0</v>
      </c>
      <c r="O174" s="242">
        <f t="shared" si="71"/>
        <v>0.05</v>
      </c>
      <c r="P174" s="70">
        <f>+'Fluxo Consolidado'!H169</f>
        <v>-101.63350000000001</v>
      </c>
      <c r="Q174" s="70">
        <f>+'Fluxo Consolidado'!I169</f>
        <v>1052.1445000000001</v>
      </c>
      <c r="R174" s="79">
        <f>'Fluxo Consolidado'!J169</f>
        <v>67694.15891740947</v>
      </c>
      <c r="S174" s="79">
        <f>'Fluxo Consolidado'!K169</f>
        <v>93</v>
      </c>
      <c r="T174" s="79">
        <f t="shared" si="83"/>
        <v>0</v>
      </c>
      <c r="U174" s="79">
        <v>9</v>
      </c>
      <c r="V174" s="79">
        <f t="shared" si="81"/>
        <v>183347.34908407615</v>
      </c>
      <c r="W174" s="79">
        <v>0</v>
      </c>
      <c r="X174" s="79">
        <v>0</v>
      </c>
      <c r="Y174" s="71">
        <v>0</v>
      </c>
      <c r="Z174" s="38">
        <f t="shared" si="70"/>
        <v>0</v>
      </c>
      <c r="AA174" s="80">
        <v>0</v>
      </c>
      <c r="AB174" s="81">
        <v>0</v>
      </c>
      <c r="AC174" s="208">
        <f>'Fluxo Consolidado'!Q169</f>
        <v>0</v>
      </c>
      <c r="AD174" s="81">
        <v>0</v>
      </c>
      <c r="AE174" s="81">
        <v>0</v>
      </c>
      <c r="AF174" s="208">
        <f>'Fluxo Consolidado'!T169</f>
        <v>0</v>
      </c>
      <c r="AG174" s="81">
        <v>0</v>
      </c>
      <c r="AH174" s="246">
        <v>0</v>
      </c>
      <c r="AI174" s="125" t="e">
        <f>+'Fluxo Consolidado'!#REF!</f>
        <v>#REF!</v>
      </c>
      <c r="AJ174" s="82">
        <f>+'Fluxo Consolidado'!X169</f>
        <v>0</v>
      </c>
      <c r="AK174" s="85">
        <v>0</v>
      </c>
      <c r="AL174" s="85">
        <f>+'Fluxo Consolidado'!Y169+'Fluxo Consolidado'!Z169+'Fluxo Consolidado'!AA169</f>
        <v>0</v>
      </c>
      <c r="AM174" s="85">
        <f>+'Fluxo Consolidado'!AB169+'Fluxo Consolidado'!AC169</f>
        <v>0</v>
      </c>
      <c r="AN174" s="103">
        <f>+'Fluxo Consolidado'!AD169</f>
        <v>0</v>
      </c>
      <c r="AO174" s="85">
        <f>+'Fluxo Consolidado'!AF169+'Fluxo Consolidado'!AF169</f>
        <v>0</v>
      </c>
      <c r="AP174" s="83">
        <f>+'Fluxo Consolidado'!AG169</f>
        <v>0</v>
      </c>
      <c r="AQ174" s="119">
        <f>+'Fluxo Consolidado'!AH169</f>
        <v>-11921.232973486802</v>
      </c>
      <c r="AR174" s="85">
        <f>+'Fluxo Consolidado'!AI169</f>
        <v>0</v>
      </c>
      <c r="AS174" s="85">
        <f>+'Fluxo Consolidado'!AJ169</f>
        <v>-1000</v>
      </c>
      <c r="AT174" s="85">
        <v>0</v>
      </c>
      <c r="AU174" s="85">
        <f>+'Fluxo Consolidado'!AK169</f>
        <v>-18.032479461229666</v>
      </c>
      <c r="AV174" s="84">
        <f>+'Fluxo Consolidado'!AL169</f>
        <v>0</v>
      </c>
      <c r="AW174" s="82">
        <f t="shared" si="89"/>
        <v>-2384.2465946973607</v>
      </c>
      <c r="AX174" s="82">
        <v>0</v>
      </c>
      <c r="AY174" s="82">
        <f>(-V173*$AY$1)+'Fluxo Consolidado'!AO169</f>
        <v>-7947.4886489912024</v>
      </c>
      <c r="AZ174" s="84">
        <v>0</v>
      </c>
      <c r="BA174" s="122">
        <v>0</v>
      </c>
      <c r="BB174" s="81">
        <v>0</v>
      </c>
      <c r="BC174" s="81">
        <f>+'Fluxo Consolidado'!AP169</f>
        <v>0</v>
      </c>
      <c r="BD174" s="125">
        <f>+'Fluxo Consolidado'!AQ169</f>
        <v>0</v>
      </c>
      <c r="BE174" s="133"/>
      <c r="BF174" s="78">
        <f t="shared" si="92"/>
        <v>183347.34908407615</v>
      </c>
      <c r="BG174" s="70" t="e">
        <f t="shared" si="93"/>
        <v>#REF!</v>
      </c>
      <c r="BH174" s="70" t="e">
        <f t="shared" si="72"/>
        <v>#REF!</v>
      </c>
      <c r="BI174" s="71" t="e">
        <f t="shared" si="73"/>
        <v>#REF!</v>
      </c>
      <c r="BJ174" s="201" t="e">
        <f t="shared" si="88"/>
        <v>#REF!</v>
      </c>
      <c r="BQ174" s="82">
        <v>0</v>
      </c>
      <c r="BR174" s="223">
        <v>-493595.69384352636</v>
      </c>
      <c r="BS174" s="223">
        <v>-16527.019703505059</v>
      </c>
      <c r="BT174" s="223">
        <v>0</v>
      </c>
      <c r="BU174" s="223">
        <v>-136842.19225922169</v>
      </c>
      <c r="BV174" s="223">
        <v>147904.93890195357</v>
      </c>
      <c r="BW174" s="223">
        <f t="shared" si="90"/>
        <v>-510122.7135470314</v>
      </c>
      <c r="BX174" s="83">
        <f t="shared" si="82"/>
        <v>-510122.7135470314</v>
      </c>
      <c r="BY174" s="78">
        <f t="shared" si="91"/>
        <v>-315712.61782022333</v>
      </c>
      <c r="BZ174" s="70" t="e">
        <f t="shared" si="77"/>
        <v>#REF!</v>
      </c>
      <c r="CA174" s="70" t="e">
        <f t="shared" si="78"/>
        <v>#REF!</v>
      </c>
      <c r="CB174" s="71" t="e">
        <f t="shared" si="79"/>
        <v>#REF!</v>
      </c>
      <c r="CC174" s="270" t="e">
        <f t="shared" si="80"/>
        <v>#REF!</v>
      </c>
      <c r="CD174" s="201"/>
      <c r="CE174" s="69" t="e">
        <f t="shared" si="94"/>
        <v>#REF!</v>
      </c>
      <c r="CF174" s="71" t="e">
        <f t="shared" si="95"/>
        <v>#REF!</v>
      </c>
    </row>
    <row r="175" spans="1:84" ht="15" customHeight="1">
      <c r="A175" s="35">
        <f t="shared" si="69"/>
        <v>113</v>
      </c>
      <c r="B175" s="87"/>
      <c r="C175" s="36">
        <v>46692</v>
      </c>
      <c r="D175" s="75">
        <v>0</v>
      </c>
      <c r="E175" s="110">
        <v>0</v>
      </c>
      <c r="F175" s="110">
        <v>0</v>
      </c>
      <c r="G175" s="110">
        <v>0</v>
      </c>
      <c r="H175" s="76">
        <v>0</v>
      </c>
      <c r="I175" s="76">
        <v>0</v>
      </c>
      <c r="J175" s="77">
        <v>0</v>
      </c>
      <c r="K175" s="69">
        <f>+'Fluxo Consolidado'!D170</f>
        <v>106976.07166666666</v>
      </c>
      <c r="L175" s="78">
        <f>+'Fluxo Consolidado'!E170</f>
        <v>526.19000000000005</v>
      </c>
      <c r="M175" s="78">
        <f>+'Fluxo Consolidado'!F170</f>
        <v>0</v>
      </c>
      <c r="N175" s="70">
        <v>0</v>
      </c>
      <c r="O175" s="242">
        <f t="shared" si="71"/>
        <v>0.05</v>
      </c>
      <c r="P175" s="70">
        <f>+'Fluxo Consolidado'!H170</f>
        <v>-26.309500000000003</v>
      </c>
      <c r="Q175" s="70">
        <f>+'Fluxo Consolidado'!I170</f>
        <v>525.04650000000004</v>
      </c>
      <c r="R175" s="79">
        <f>'Fluxo Consolidado'!J170</f>
        <v>64299.418303927581</v>
      </c>
      <c r="S175" s="79">
        <f>'Fluxo Consolidado'!K170</f>
        <v>94</v>
      </c>
      <c r="T175" s="79">
        <f t="shared" si="83"/>
        <v>0</v>
      </c>
      <c r="U175" s="79">
        <v>9</v>
      </c>
      <c r="V175" s="79">
        <f t="shared" si="81"/>
        <v>172300.41697059423</v>
      </c>
      <c r="W175" s="79">
        <v>0</v>
      </c>
      <c r="X175" s="79">
        <v>0</v>
      </c>
      <c r="Y175" s="71">
        <v>0</v>
      </c>
      <c r="Z175" s="38">
        <f t="shared" si="70"/>
        <v>0</v>
      </c>
      <c r="AA175" s="80">
        <v>0</v>
      </c>
      <c r="AB175" s="81">
        <v>0</v>
      </c>
      <c r="AC175" s="208">
        <f>'Fluxo Consolidado'!Q170</f>
        <v>0</v>
      </c>
      <c r="AD175" s="81">
        <v>0</v>
      </c>
      <c r="AE175" s="81">
        <v>0</v>
      </c>
      <c r="AF175" s="208">
        <f>'Fluxo Consolidado'!T170</f>
        <v>0</v>
      </c>
      <c r="AG175" s="81">
        <v>0</v>
      </c>
      <c r="AH175" s="246">
        <v>0</v>
      </c>
      <c r="AI175" s="125" t="e">
        <f>+'Fluxo Consolidado'!#REF!</f>
        <v>#REF!</v>
      </c>
      <c r="AJ175" s="82">
        <f>+'Fluxo Consolidado'!X170</f>
        <v>0</v>
      </c>
      <c r="AK175" s="85">
        <v>0</v>
      </c>
      <c r="AL175" s="85">
        <f>+'Fluxo Consolidado'!Y170+'Fluxo Consolidado'!Z170+'Fluxo Consolidado'!AA170</f>
        <v>0</v>
      </c>
      <c r="AM175" s="85">
        <f>+'Fluxo Consolidado'!AB170+'Fluxo Consolidado'!AC170</f>
        <v>0</v>
      </c>
      <c r="AN175" s="103">
        <f>+'Fluxo Consolidado'!AD170</f>
        <v>0</v>
      </c>
      <c r="AO175" s="85">
        <f>+'Fluxo Consolidado'!AF170+'Fluxo Consolidado'!AF170</f>
        <v>0</v>
      </c>
      <c r="AP175" s="83">
        <f>+'Fluxo Consolidado'!AG170</f>
        <v>0</v>
      </c>
      <c r="AQ175" s="119">
        <f>+'Fluxo Consolidado'!AH170</f>
        <v>-11000.840945044569</v>
      </c>
      <c r="AR175" s="85">
        <f>+'Fluxo Consolidado'!AI170</f>
        <v>0</v>
      </c>
      <c r="AS175" s="85">
        <f>+'Fluxo Consolidado'!AJ170</f>
        <v>-1000</v>
      </c>
      <c r="AT175" s="85">
        <v>0</v>
      </c>
      <c r="AU175" s="85">
        <f>+'Fluxo Consolidado'!AK170</f>
        <v>-3.6578731530679836</v>
      </c>
      <c r="AV175" s="84">
        <f>+'Fluxo Consolidado'!AL170</f>
        <v>0</v>
      </c>
      <c r="AW175" s="82">
        <f t="shared" si="89"/>
        <v>-2200.1681890089139</v>
      </c>
      <c r="AX175" s="82">
        <v>0</v>
      </c>
      <c r="AY175" s="82">
        <f>(-V174*$AY$1)+'Fluxo Consolidado'!AO170</f>
        <v>-7333.8939633630462</v>
      </c>
      <c r="AZ175" s="84">
        <v>0</v>
      </c>
      <c r="BA175" s="122">
        <v>0</v>
      </c>
      <c r="BB175" s="81">
        <v>0</v>
      </c>
      <c r="BC175" s="81">
        <f>+'Fluxo Consolidado'!AP170</f>
        <v>0</v>
      </c>
      <c r="BD175" s="125">
        <f>+'Fluxo Consolidado'!AQ170</f>
        <v>0</v>
      </c>
      <c r="BE175" s="133"/>
      <c r="BF175" s="78">
        <f t="shared" si="92"/>
        <v>172300.41697059423</v>
      </c>
      <c r="BG175" s="70" t="e">
        <f t="shared" si="93"/>
        <v>#REF!</v>
      </c>
      <c r="BH175" s="70" t="e">
        <f t="shared" si="72"/>
        <v>#REF!</v>
      </c>
      <c r="BI175" s="71" t="e">
        <f t="shared" si="73"/>
        <v>#REF!</v>
      </c>
      <c r="BJ175" s="201" t="e">
        <f t="shared" si="88"/>
        <v>#REF!</v>
      </c>
      <c r="BQ175" s="82">
        <v>0</v>
      </c>
      <c r="BR175" s="223">
        <v>-488496.08531229669</v>
      </c>
      <c r="BS175" s="223">
        <v>-16377.539000157174</v>
      </c>
      <c r="BT175" s="223">
        <v>0</v>
      </c>
      <c r="BU175" s="223">
        <v>-109797.36029165366</v>
      </c>
      <c r="BV175" s="223">
        <v>136842.19225922169</v>
      </c>
      <c r="BW175" s="223">
        <f t="shared" si="90"/>
        <v>-504873.62431245385</v>
      </c>
      <c r="BX175" s="83">
        <f t="shared" si="82"/>
        <v>-504873.62431245385</v>
      </c>
      <c r="BY175" s="78">
        <f t="shared" si="91"/>
        <v>-305528.37537429156</v>
      </c>
      <c r="BZ175" s="70" t="e">
        <f t="shared" si="77"/>
        <v>#REF!</v>
      </c>
      <c r="CA175" s="70" t="e">
        <f t="shared" si="78"/>
        <v>#REF!</v>
      </c>
      <c r="CB175" s="71" t="e">
        <f t="shared" si="79"/>
        <v>#REF!</v>
      </c>
      <c r="CC175" s="270" t="e">
        <f t="shared" si="80"/>
        <v>#REF!</v>
      </c>
      <c r="CD175" s="201"/>
      <c r="CE175" s="69" t="e">
        <f t="shared" si="94"/>
        <v>#REF!</v>
      </c>
      <c r="CF175" s="71" t="e">
        <f t="shared" si="95"/>
        <v>#REF!</v>
      </c>
    </row>
    <row r="176" spans="1:84" ht="15" customHeight="1">
      <c r="A176" s="35">
        <f t="shared" si="69"/>
        <v>114</v>
      </c>
      <c r="B176" s="87"/>
      <c r="C176" s="36">
        <v>46722</v>
      </c>
      <c r="D176" s="75">
        <v>0</v>
      </c>
      <c r="E176" s="110">
        <v>0</v>
      </c>
      <c r="F176" s="110">
        <v>0</v>
      </c>
      <c r="G176" s="110">
        <v>0</v>
      </c>
      <c r="H176" s="76">
        <v>0</v>
      </c>
      <c r="I176" s="76">
        <v>0</v>
      </c>
      <c r="J176" s="77">
        <v>0</v>
      </c>
      <c r="K176" s="69">
        <f>+'Fluxo Consolidado'!D171</f>
        <v>89540.255000000005</v>
      </c>
      <c r="L176" s="78">
        <f>+'Fluxo Consolidado'!E171</f>
        <v>526.19000000000005</v>
      </c>
      <c r="M176" s="78">
        <f>+'Fluxo Consolidado'!F171</f>
        <v>0</v>
      </c>
      <c r="N176" s="70">
        <v>0</v>
      </c>
      <c r="O176" s="242">
        <f t="shared" si="71"/>
        <v>0.05</v>
      </c>
      <c r="P176" s="70">
        <f>+'Fluxo Consolidado'!H171</f>
        <v>-26.309500000000003</v>
      </c>
      <c r="Q176" s="70">
        <f>+'Fluxo Consolidado'!I171</f>
        <v>300.89800000000002</v>
      </c>
      <c r="R176" s="79">
        <f>'Fluxo Consolidado'!J171</f>
        <v>54590.366416656121</v>
      </c>
      <c r="S176" s="79">
        <f>'Fluxo Consolidado'!K171</f>
        <v>95</v>
      </c>
      <c r="T176" s="79">
        <f t="shared" si="83"/>
        <v>0</v>
      </c>
      <c r="U176" s="79">
        <v>9</v>
      </c>
      <c r="V176" s="79">
        <f t="shared" si="81"/>
        <v>144931.39991665614</v>
      </c>
      <c r="W176" s="79">
        <v>0</v>
      </c>
      <c r="X176" s="79">
        <v>0</v>
      </c>
      <c r="Y176" s="71">
        <v>0</v>
      </c>
      <c r="Z176" s="38">
        <f t="shared" si="70"/>
        <v>0</v>
      </c>
      <c r="AA176" s="80">
        <v>0</v>
      </c>
      <c r="AB176" s="81">
        <v>0</v>
      </c>
      <c r="AC176" s="208">
        <f>'Fluxo Consolidado'!Q171</f>
        <v>0</v>
      </c>
      <c r="AD176" s="81">
        <v>0</v>
      </c>
      <c r="AE176" s="81">
        <v>0</v>
      </c>
      <c r="AF176" s="208">
        <f>'Fluxo Consolidado'!T171</f>
        <v>0</v>
      </c>
      <c r="AG176" s="81">
        <v>0</v>
      </c>
      <c r="AH176" s="246">
        <v>0</v>
      </c>
      <c r="AI176" s="125" t="e">
        <f>+'Fluxo Consolidado'!#REF!</f>
        <v>#REF!</v>
      </c>
      <c r="AJ176" s="82">
        <f>+'Fluxo Consolidado'!X171</f>
        <v>0</v>
      </c>
      <c r="AK176" s="85">
        <v>0</v>
      </c>
      <c r="AL176" s="85">
        <f>+'Fluxo Consolidado'!Y171+'Fluxo Consolidado'!Z171+'Fluxo Consolidado'!AA171</f>
        <v>0</v>
      </c>
      <c r="AM176" s="85">
        <f>+'Fluxo Consolidado'!AB171+'Fluxo Consolidado'!AC171</f>
        <v>0</v>
      </c>
      <c r="AN176" s="103">
        <f>+'Fluxo Consolidado'!AD171</f>
        <v>0</v>
      </c>
      <c r="AO176" s="85">
        <f>+'Fluxo Consolidado'!AF171+'Fluxo Consolidado'!AF171</f>
        <v>0</v>
      </c>
      <c r="AP176" s="83">
        <f>+'Fluxo Consolidado'!AG171</f>
        <v>0</v>
      </c>
      <c r="AQ176" s="119">
        <f>+'Fluxo Consolidado'!AH171</f>
        <v>-10338.025018235654</v>
      </c>
      <c r="AR176" s="85">
        <f>+'Fluxo Consolidado'!AI171</f>
        <v>0</v>
      </c>
      <c r="AS176" s="85">
        <f>+'Fluxo Consolidado'!AJ171</f>
        <v>-1000</v>
      </c>
      <c r="AT176" s="85">
        <v>0</v>
      </c>
      <c r="AU176" s="85">
        <f>+'Fluxo Consolidado'!AK171</f>
        <v>-3.3904981445407358</v>
      </c>
      <c r="AV176" s="84">
        <f>+'Fluxo Consolidado'!AL171</f>
        <v>0</v>
      </c>
      <c r="AW176" s="82">
        <f t="shared" si="89"/>
        <v>-2067.6050036471306</v>
      </c>
      <c r="AX176" s="82">
        <v>0</v>
      </c>
      <c r="AY176" s="82">
        <f>(-V175*$AY$1)+'Fluxo Consolidado'!AO171</f>
        <v>-6892.0166788237693</v>
      </c>
      <c r="AZ176" s="84">
        <v>0</v>
      </c>
      <c r="BA176" s="122">
        <v>0</v>
      </c>
      <c r="BB176" s="81">
        <v>0</v>
      </c>
      <c r="BC176" s="81">
        <f>+'Fluxo Consolidado'!AP171</f>
        <v>0</v>
      </c>
      <c r="BD176" s="125">
        <f>+'Fluxo Consolidado'!AQ171</f>
        <v>0</v>
      </c>
      <c r="BE176" s="133"/>
      <c r="BF176" s="78">
        <f t="shared" si="92"/>
        <v>144931.39991665614</v>
      </c>
      <c r="BG176" s="70" t="e">
        <f t="shared" si="93"/>
        <v>#REF!</v>
      </c>
      <c r="BH176" s="70" t="e">
        <f t="shared" si="72"/>
        <v>#REF!</v>
      </c>
      <c r="BI176" s="71" t="e">
        <f t="shared" si="73"/>
        <v>#REF!</v>
      </c>
      <c r="BJ176" s="201" t="e">
        <f t="shared" si="88"/>
        <v>#REF!</v>
      </c>
      <c r="BQ176" s="82">
        <v>0</v>
      </c>
      <c r="BR176" s="223">
        <v>-483396.47678106703</v>
      </c>
      <c r="BS176" s="223">
        <v>-16232.296550827052</v>
      </c>
      <c r="BT176" s="223">
        <v>0</v>
      </c>
      <c r="BU176" s="223">
        <v>-47053.346034436268</v>
      </c>
      <c r="BV176" s="223">
        <v>109797.36029165366</v>
      </c>
      <c r="BW176" s="223">
        <f t="shared" si="90"/>
        <v>-499628.77333189407</v>
      </c>
      <c r="BX176" s="83">
        <f t="shared" si="82"/>
        <v>-499628.77333189407</v>
      </c>
      <c r="BY176" s="78">
        <f t="shared" si="91"/>
        <v>-291953.35915802052</v>
      </c>
      <c r="BZ176" s="70" t="e">
        <f t="shared" si="77"/>
        <v>#REF!</v>
      </c>
      <c r="CA176" s="70" t="e">
        <f t="shared" si="78"/>
        <v>#REF!</v>
      </c>
      <c r="CB176" s="71" t="e">
        <f t="shared" si="79"/>
        <v>#REF!</v>
      </c>
      <c r="CC176" s="270" t="e">
        <f t="shared" si="80"/>
        <v>#REF!</v>
      </c>
      <c r="CD176" s="201"/>
      <c r="CE176" s="69" t="e">
        <f t="shared" si="94"/>
        <v>#REF!</v>
      </c>
      <c r="CF176" s="71" t="e">
        <f t="shared" si="95"/>
        <v>#REF!</v>
      </c>
    </row>
    <row r="177" spans="1:84" ht="15" customHeight="1">
      <c r="A177" s="35">
        <f t="shared" si="69"/>
        <v>115</v>
      </c>
      <c r="B177" s="87"/>
      <c r="C177" s="36">
        <v>46753</v>
      </c>
      <c r="D177" s="75">
        <v>0</v>
      </c>
      <c r="E177" s="110">
        <v>0</v>
      </c>
      <c r="F177" s="110">
        <v>0</v>
      </c>
      <c r="G177" s="110">
        <v>0</v>
      </c>
      <c r="H177" s="76">
        <v>0</v>
      </c>
      <c r="I177" s="76">
        <v>0</v>
      </c>
      <c r="J177" s="77">
        <v>0</v>
      </c>
      <c r="K177" s="69">
        <f>+'Fluxo Consolidado'!D172</f>
        <v>38883.404999999999</v>
      </c>
      <c r="L177" s="78">
        <f>+'Fluxo Consolidado'!E172</f>
        <v>526.19000000000005</v>
      </c>
      <c r="M177" s="78">
        <f>+'Fluxo Consolidado'!F172</f>
        <v>0</v>
      </c>
      <c r="N177" s="70">
        <v>0</v>
      </c>
      <c r="O177" s="242">
        <f t="shared" si="71"/>
        <v>0.05</v>
      </c>
      <c r="P177" s="70">
        <f>+'Fluxo Consolidado'!H172</f>
        <v>-26.309500000000003</v>
      </c>
      <c r="Q177" s="70">
        <f>+'Fluxo Consolidado'!I172</f>
        <v>101.63350000000001</v>
      </c>
      <c r="R177" s="79">
        <f>'Fluxo Consolidado'!J172</f>
        <v>24203.115412644831</v>
      </c>
      <c r="S177" s="79">
        <f>'Fluxo Consolidado'!K172</f>
        <v>96</v>
      </c>
      <c r="T177" s="79">
        <f t="shared" si="83"/>
        <v>0</v>
      </c>
      <c r="U177" s="79">
        <v>9</v>
      </c>
      <c r="V177" s="79">
        <f t="shared" si="81"/>
        <v>63688.034412644833</v>
      </c>
      <c r="W177" s="79">
        <v>0</v>
      </c>
      <c r="X177" s="79">
        <v>0</v>
      </c>
      <c r="Y177" s="71">
        <v>0</v>
      </c>
      <c r="Z177" s="38">
        <f t="shared" si="70"/>
        <v>0</v>
      </c>
      <c r="AA177" s="80">
        <v>0</v>
      </c>
      <c r="AB177" s="81">
        <v>0</v>
      </c>
      <c r="AC177" s="208">
        <f>'Fluxo Consolidado'!Q172</f>
        <v>0</v>
      </c>
      <c r="AD177" s="81">
        <v>0</v>
      </c>
      <c r="AE177" s="81">
        <v>0</v>
      </c>
      <c r="AF177" s="208">
        <f>'Fluxo Consolidado'!T172</f>
        <v>0</v>
      </c>
      <c r="AG177" s="81">
        <v>0</v>
      </c>
      <c r="AH177" s="246">
        <v>0</v>
      </c>
      <c r="AI177" s="125" t="e">
        <f>+'Fluxo Consolidado'!#REF!</f>
        <v>#REF!</v>
      </c>
      <c r="AJ177" s="82">
        <f>+'Fluxo Consolidado'!X172</f>
        <v>0</v>
      </c>
      <c r="AK177" s="85">
        <v>0</v>
      </c>
      <c r="AL177" s="85">
        <f>+'Fluxo Consolidado'!Y172+'Fluxo Consolidado'!Z172+'Fluxo Consolidado'!AA172</f>
        <v>0</v>
      </c>
      <c r="AM177" s="85">
        <f>+'Fluxo Consolidado'!AB172+'Fluxo Consolidado'!AC172</f>
        <v>0</v>
      </c>
      <c r="AN177" s="103">
        <f>+'Fluxo Consolidado'!AD172</f>
        <v>0</v>
      </c>
      <c r="AO177" s="85">
        <f>+'Fluxo Consolidado'!AF172+'Fluxo Consolidado'!AF172</f>
        <v>0</v>
      </c>
      <c r="AP177" s="83">
        <f>+'Fluxo Consolidado'!AG172</f>
        <v>0</v>
      </c>
      <c r="AQ177" s="119">
        <f>+'Fluxo Consolidado'!AH172</f>
        <v>-8695.883994999369</v>
      </c>
      <c r="AR177" s="85">
        <f>+'Fluxo Consolidado'!AI172</f>
        <v>0</v>
      </c>
      <c r="AS177" s="85">
        <f>+'Fluxo Consolidado'!AJ172</f>
        <v>-1000</v>
      </c>
      <c r="AT177" s="85">
        <v>0</v>
      </c>
      <c r="AU177" s="85">
        <f>+'Fluxo Consolidado'!AK172</f>
        <v>-2.859612100899382</v>
      </c>
      <c r="AV177" s="84">
        <f>+'Fluxo Consolidado'!AL172</f>
        <v>0</v>
      </c>
      <c r="AW177" s="82">
        <f t="shared" si="89"/>
        <v>-1739.1767989998737</v>
      </c>
      <c r="AX177" s="82">
        <v>0</v>
      </c>
      <c r="AY177" s="82">
        <f>(-V176*$AY$1)+'Fluxo Consolidado'!AO172</f>
        <v>-5797.2559966662457</v>
      </c>
      <c r="AZ177" s="84">
        <v>0</v>
      </c>
      <c r="BA177" s="122">
        <v>0</v>
      </c>
      <c r="BB177" s="81">
        <v>0</v>
      </c>
      <c r="BC177" s="81">
        <f>+'Fluxo Consolidado'!AP172</f>
        <v>0</v>
      </c>
      <c r="BD177" s="125">
        <f>+'Fluxo Consolidado'!AQ172</f>
        <v>0</v>
      </c>
      <c r="BE177" s="133"/>
      <c r="BF177" s="78">
        <f t="shared" si="92"/>
        <v>63688.034412644833</v>
      </c>
      <c r="BG177" s="70" t="e">
        <f t="shared" si="93"/>
        <v>#REF!</v>
      </c>
      <c r="BH177" s="70" t="e">
        <f t="shared" si="72"/>
        <v>#REF!</v>
      </c>
      <c r="BI177" s="71" t="e">
        <f t="shared" si="73"/>
        <v>#REF!</v>
      </c>
      <c r="BJ177" s="201" t="e">
        <f t="shared" si="88"/>
        <v>#REF!</v>
      </c>
      <c r="BQ177" s="82">
        <v>0</v>
      </c>
      <c r="BR177" s="223">
        <v>-478296.86824983737</v>
      </c>
      <c r="BS177" s="223">
        <v>-16091.172187514963</v>
      </c>
      <c r="BT177" s="223">
        <v>0</v>
      </c>
      <c r="BU177" s="223">
        <v>-35261.341395965872</v>
      </c>
      <c r="BV177" s="223">
        <v>47053.346034436268</v>
      </c>
      <c r="BW177" s="223">
        <f t="shared" si="90"/>
        <v>-494388.04043735232</v>
      </c>
      <c r="BX177" s="83">
        <f t="shared" si="82"/>
        <v>-494388.04043735232</v>
      </c>
      <c r="BY177" s="78">
        <f t="shared" si="91"/>
        <v>-418908.0013862371</v>
      </c>
      <c r="BZ177" s="70" t="e">
        <f t="shared" si="77"/>
        <v>#REF!</v>
      </c>
      <c r="CA177" s="70" t="e">
        <f t="shared" si="78"/>
        <v>#REF!</v>
      </c>
      <c r="CB177" s="71" t="e">
        <f t="shared" si="79"/>
        <v>#REF!</v>
      </c>
      <c r="CC177" s="270" t="e">
        <f t="shared" si="80"/>
        <v>#REF!</v>
      </c>
      <c r="CD177" s="201"/>
      <c r="CE177" s="69" t="e">
        <f t="shared" si="94"/>
        <v>#REF!</v>
      </c>
      <c r="CF177" s="71" t="e">
        <f t="shared" si="95"/>
        <v>#REF!</v>
      </c>
    </row>
    <row r="178" spans="1:84" ht="15" customHeight="1">
      <c r="A178" s="35">
        <f t="shared" ref="A178:A189" si="96">A177+1</f>
        <v>116</v>
      </c>
      <c r="B178" s="87"/>
      <c r="C178" s="36">
        <v>46784</v>
      </c>
      <c r="D178" s="75">
        <v>0</v>
      </c>
      <c r="E178" s="110">
        <v>0</v>
      </c>
      <c r="F178" s="110">
        <v>0</v>
      </c>
      <c r="G178" s="110">
        <v>0</v>
      </c>
      <c r="H178" s="76">
        <v>0</v>
      </c>
      <c r="I178" s="76">
        <v>0</v>
      </c>
      <c r="J178" s="77">
        <v>0</v>
      </c>
      <c r="K178" s="69">
        <f>+'Fluxo Consolidado'!D173</f>
        <v>31500.48</v>
      </c>
      <c r="L178" s="78">
        <f>+'Fluxo Consolidado'!E173</f>
        <v>0</v>
      </c>
      <c r="M178" s="78">
        <f>+'Fluxo Consolidado'!F173</f>
        <v>0</v>
      </c>
      <c r="N178" s="70">
        <v>0</v>
      </c>
      <c r="O178" s="242">
        <f t="shared" si="71"/>
        <v>0.05</v>
      </c>
      <c r="P178" s="70">
        <f>+'Fluxo Consolidado'!H173</f>
        <v>0</v>
      </c>
      <c r="Q178" s="70">
        <f>+'Fluxo Consolidado'!I173</f>
        <v>26.309500000000003</v>
      </c>
      <c r="R178" s="79">
        <f>'Fluxo Consolidado'!J173</f>
        <v>19600.021455541635</v>
      </c>
      <c r="S178" s="79">
        <f>'Fluxo Consolidado'!K173</f>
        <v>97</v>
      </c>
      <c r="T178" s="79">
        <f t="shared" si="83"/>
        <v>0</v>
      </c>
      <c r="U178" s="79">
        <v>9</v>
      </c>
      <c r="V178" s="79">
        <f t="shared" si="81"/>
        <v>51126.81095554163</v>
      </c>
      <c r="W178" s="79">
        <v>0</v>
      </c>
      <c r="X178" s="79">
        <v>0</v>
      </c>
      <c r="Y178" s="71">
        <v>0</v>
      </c>
      <c r="Z178" s="38">
        <f t="shared" ref="Z178:Z190" si="97">IFERROR(SUM(AA178:AH178)/SUM($AA$8:$AH$8),0)</f>
        <v>0</v>
      </c>
      <c r="AA178" s="80">
        <v>0</v>
      </c>
      <c r="AB178" s="81">
        <v>0</v>
      </c>
      <c r="AC178" s="208">
        <f>'Fluxo Consolidado'!Q173</f>
        <v>0</v>
      </c>
      <c r="AD178" s="81">
        <v>0</v>
      </c>
      <c r="AE178" s="81">
        <v>0</v>
      </c>
      <c r="AF178" s="208">
        <f>'Fluxo Consolidado'!T173</f>
        <v>0</v>
      </c>
      <c r="AG178" s="81">
        <v>0</v>
      </c>
      <c r="AH178" s="246">
        <v>0</v>
      </c>
      <c r="AI178" s="125" t="e">
        <f>+'Fluxo Consolidado'!#REF!</f>
        <v>#REF!</v>
      </c>
      <c r="AJ178" s="82">
        <f>+'Fluxo Consolidado'!X173</f>
        <v>0</v>
      </c>
      <c r="AK178" s="85">
        <v>0</v>
      </c>
      <c r="AL178" s="85">
        <f>+'Fluxo Consolidado'!Y173+'Fluxo Consolidado'!Z173+'Fluxo Consolidado'!AA173</f>
        <v>0</v>
      </c>
      <c r="AM178" s="85">
        <f>+'Fluxo Consolidado'!AB173+'Fluxo Consolidado'!AC173</f>
        <v>0</v>
      </c>
      <c r="AN178" s="103">
        <f>+'Fluxo Consolidado'!AD173</f>
        <v>0</v>
      </c>
      <c r="AO178" s="85">
        <f>+'Fluxo Consolidado'!AF173+'Fluxo Consolidado'!AF173</f>
        <v>0</v>
      </c>
      <c r="AP178" s="83">
        <f>+'Fluxo Consolidado'!AG173</f>
        <v>0</v>
      </c>
      <c r="AQ178" s="119">
        <f>+'Fluxo Consolidado'!AH173</f>
        <v>-3821.28206475869</v>
      </c>
      <c r="AR178" s="85">
        <f>+'Fluxo Consolidado'!AI173</f>
        <v>0</v>
      </c>
      <c r="AS178" s="85">
        <f>+'Fluxo Consolidado'!AJ173</f>
        <v>0</v>
      </c>
      <c r="AT178" s="85">
        <v>0</v>
      </c>
      <c r="AU178" s="85">
        <f>+'Fluxo Consolidado'!AK173</f>
        <v>-2.8596121008292985</v>
      </c>
      <c r="AV178" s="84">
        <f>+'Fluxo Consolidado'!AL173</f>
        <v>0</v>
      </c>
      <c r="AW178" s="82">
        <f t="shared" si="89"/>
        <v>-764.25641295173796</v>
      </c>
      <c r="AX178" s="82">
        <v>0</v>
      </c>
      <c r="AY178" s="82">
        <f>(-V177*$AY$1)+'Fluxo Consolidado'!AO173</f>
        <v>-2547.5213765057933</v>
      </c>
      <c r="AZ178" s="84">
        <v>0</v>
      </c>
      <c r="BA178" s="122">
        <v>0</v>
      </c>
      <c r="BB178" s="81">
        <v>0</v>
      </c>
      <c r="BC178" s="81">
        <f>+'Fluxo Consolidado'!AP173</f>
        <v>0</v>
      </c>
      <c r="BD178" s="125">
        <f>+'Fluxo Consolidado'!AQ173</f>
        <v>0</v>
      </c>
      <c r="BE178" s="133"/>
      <c r="BF178" s="78">
        <f t="shared" si="92"/>
        <v>51126.81095554163</v>
      </c>
      <c r="BG178" s="70" t="e">
        <f t="shared" si="93"/>
        <v>#REF!</v>
      </c>
      <c r="BH178" s="70" t="e">
        <f t="shared" si="72"/>
        <v>#REF!</v>
      </c>
      <c r="BI178" s="71" t="e">
        <f t="shared" si="73"/>
        <v>#REF!</v>
      </c>
      <c r="BJ178" s="201" t="e">
        <f t="shared" si="88"/>
        <v>#REF!</v>
      </c>
      <c r="BQ178" s="82">
        <v>0</v>
      </c>
      <c r="BR178" s="223">
        <v>-473197.2597186077</v>
      </c>
      <c r="BS178" s="223">
        <v>-15954.049149366696</v>
      </c>
      <c r="BT178" s="223">
        <v>0</v>
      </c>
      <c r="BU178" s="223">
        <v>-22494.561233733457</v>
      </c>
      <c r="BV178" s="223">
        <v>35261.341395965872</v>
      </c>
      <c r="BW178" s="223">
        <f t="shared" si="90"/>
        <v>-489151.30886797438</v>
      </c>
      <c r="BX178" s="83">
        <f t="shared" si="82"/>
        <v>-489151.30886797438</v>
      </c>
      <c r="BY178" s="78">
        <f t="shared" si="91"/>
        <v>-425257.7177502003</v>
      </c>
      <c r="BZ178" s="70" t="e">
        <f t="shared" si="77"/>
        <v>#REF!</v>
      </c>
      <c r="CA178" s="70" t="e">
        <f t="shared" si="78"/>
        <v>#REF!</v>
      </c>
      <c r="CB178" s="71" t="e">
        <f t="shared" si="79"/>
        <v>#REF!</v>
      </c>
      <c r="CC178" s="270" t="e">
        <f t="shared" si="80"/>
        <v>#REF!</v>
      </c>
      <c r="CD178" s="201"/>
      <c r="CE178" s="69" t="e">
        <f t="shared" si="94"/>
        <v>#REF!</v>
      </c>
      <c r="CF178" s="71" t="e">
        <f t="shared" si="95"/>
        <v>#REF!</v>
      </c>
    </row>
    <row r="179" spans="1:84" ht="15" customHeight="1">
      <c r="A179" s="35">
        <f t="shared" si="96"/>
        <v>117</v>
      </c>
      <c r="B179" s="87"/>
      <c r="C179" s="36">
        <v>46813</v>
      </c>
      <c r="D179" s="75">
        <v>0</v>
      </c>
      <c r="E179" s="110">
        <v>0</v>
      </c>
      <c r="F179" s="110">
        <v>0</v>
      </c>
      <c r="G179" s="110">
        <v>0</v>
      </c>
      <c r="H179" s="76">
        <v>0</v>
      </c>
      <c r="I179" s="76">
        <v>0</v>
      </c>
      <c r="J179" s="77">
        <v>0</v>
      </c>
      <c r="K179" s="69">
        <f>+'Fluxo Consolidado'!D174</f>
        <v>21656.58</v>
      </c>
      <c r="L179" s="78">
        <f>+'Fluxo Consolidado'!E174</f>
        <v>0</v>
      </c>
      <c r="M179" s="78">
        <f>+'Fluxo Consolidado'!F174</f>
        <v>0</v>
      </c>
      <c r="N179" s="70">
        <v>0</v>
      </c>
      <c r="O179" s="242">
        <f t="shared" ref="O179:O189" si="98">+O178</f>
        <v>0.05</v>
      </c>
      <c r="P179" s="70">
        <f>+'Fluxo Consolidado'!H174</f>
        <v>0</v>
      </c>
      <c r="Q179" s="70">
        <f>+'Fluxo Consolidado'!I174</f>
        <v>26.309500000000003</v>
      </c>
      <c r="R179" s="79">
        <f>'Fluxo Consolidado'!J174</f>
        <v>13650.672724438293</v>
      </c>
      <c r="S179" s="79">
        <f>'Fluxo Consolidado'!K174</f>
        <v>98</v>
      </c>
      <c r="T179" s="79">
        <f t="shared" si="83"/>
        <v>0</v>
      </c>
      <c r="U179" s="79">
        <v>10</v>
      </c>
      <c r="V179" s="79">
        <f t="shared" si="81"/>
        <v>35333.562224438298</v>
      </c>
      <c r="W179" s="79">
        <v>0</v>
      </c>
      <c r="X179" s="79">
        <v>0</v>
      </c>
      <c r="Y179" s="71">
        <v>0</v>
      </c>
      <c r="Z179" s="38">
        <f t="shared" si="97"/>
        <v>0</v>
      </c>
      <c r="AA179" s="80">
        <v>0</v>
      </c>
      <c r="AB179" s="81">
        <v>0</v>
      </c>
      <c r="AC179" s="208">
        <f>'Fluxo Consolidado'!Q174</f>
        <v>0</v>
      </c>
      <c r="AD179" s="81">
        <v>0</v>
      </c>
      <c r="AE179" s="81">
        <v>0</v>
      </c>
      <c r="AF179" s="208">
        <f>'Fluxo Consolidado'!T174</f>
        <v>0</v>
      </c>
      <c r="AG179" s="81">
        <v>0</v>
      </c>
      <c r="AH179" s="246">
        <v>0</v>
      </c>
      <c r="AI179" s="125" t="e">
        <f>+'Fluxo Consolidado'!#REF!</f>
        <v>#REF!</v>
      </c>
      <c r="AJ179" s="82">
        <f>+'Fluxo Consolidado'!X174</f>
        <v>0</v>
      </c>
      <c r="AK179" s="85">
        <v>0</v>
      </c>
      <c r="AL179" s="85">
        <f>+'Fluxo Consolidado'!Y174+'Fluxo Consolidado'!Z174+'Fluxo Consolidado'!AA174</f>
        <v>0</v>
      </c>
      <c r="AM179" s="85">
        <f>+'Fluxo Consolidado'!AB174+'Fluxo Consolidado'!AC174</f>
        <v>0</v>
      </c>
      <c r="AN179" s="103">
        <f>+'Fluxo Consolidado'!AD174</f>
        <v>0</v>
      </c>
      <c r="AO179" s="85">
        <f>+'Fluxo Consolidado'!AF174+'Fluxo Consolidado'!AF174</f>
        <v>0</v>
      </c>
      <c r="AP179" s="83">
        <f>+'Fluxo Consolidado'!AG174</f>
        <v>0</v>
      </c>
      <c r="AQ179" s="119">
        <f>+'Fluxo Consolidado'!AH174</f>
        <v>-3067.6086573324978</v>
      </c>
      <c r="AR179" s="85">
        <f>+'Fluxo Consolidado'!AI174</f>
        <v>0</v>
      </c>
      <c r="AS179" s="85">
        <f>+'Fluxo Consolidado'!AJ174</f>
        <v>0</v>
      </c>
      <c r="AT179" s="85">
        <v>0</v>
      </c>
      <c r="AU179" s="85">
        <f>+'Fluxo Consolidado'!AK174</f>
        <v>-0.28596121010680992</v>
      </c>
      <c r="AV179" s="84">
        <f>+'Fluxo Consolidado'!AL174</f>
        <v>0</v>
      </c>
      <c r="AW179" s="82">
        <f t="shared" si="89"/>
        <v>-613.52173146649955</v>
      </c>
      <c r="AX179" s="82">
        <v>0</v>
      </c>
      <c r="AY179" s="82">
        <f>(-V178*$AY$1)+'Fluxo Consolidado'!AO174</f>
        <v>-2045.0724382216652</v>
      </c>
      <c r="AZ179" s="84">
        <v>0</v>
      </c>
      <c r="BA179" s="122">
        <v>0</v>
      </c>
      <c r="BB179" s="81">
        <v>0</v>
      </c>
      <c r="BC179" s="81">
        <f>+'Fluxo Consolidado'!AP174</f>
        <v>0</v>
      </c>
      <c r="BD179" s="125">
        <f>+'Fluxo Consolidado'!AQ174</f>
        <v>0</v>
      </c>
      <c r="BE179" s="133"/>
      <c r="BF179" s="78">
        <f t="shared" si="92"/>
        <v>35333.562224438298</v>
      </c>
      <c r="BG179" s="70" t="e">
        <f t="shared" si="93"/>
        <v>#REF!</v>
      </c>
      <c r="BH179" s="70" t="e">
        <f t="shared" si="72"/>
        <v>#REF!</v>
      </c>
      <c r="BI179" s="71" t="e">
        <f t="shared" si="73"/>
        <v>#REF!</v>
      </c>
      <c r="BJ179" s="201" t="e">
        <f t="shared" si="88"/>
        <v>#REF!</v>
      </c>
      <c r="BQ179" s="82">
        <v>0</v>
      </c>
      <c r="BR179" s="223">
        <v>-468097.65118737798</v>
      </c>
      <c r="BS179" s="223">
        <v>-15820.813986070119</v>
      </c>
      <c r="BT179" s="223">
        <v>0</v>
      </c>
      <c r="BU179" s="223">
        <v>-6477.9074978291792</v>
      </c>
      <c r="BV179" s="223">
        <v>22494.561233733457</v>
      </c>
      <c r="BW179" s="223">
        <f t="shared" si="90"/>
        <v>-483918.46517344809</v>
      </c>
      <c r="BX179" s="83">
        <f t="shared" si="82"/>
        <v>-483918.46517344809</v>
      </c>
      <c r="BY179" s="78">
        <f t="shared" si="91"/>
        <v>-432568.24921310553</v>
      </c>
      <c r="BZ179" s="70" t="e">
        <f t="shared" si="77"/>
        <v>#REF!</v>
      </c>
      <c r="CA179" s="70" t="e">
        <f t="shared" si="78"/>
        <v>#REF!</v>
      </c>
      <c r="CB179" s="71" t="e">
        <f t="shared" si="79"/>
        <v>#REF!</v>
      </c>
      <c r="CC179" s="270" t="e">
        <f t="shared" si="80"/>
        <v>#REF!</v>
      </c>
      <c r="CD179" s="201"/>
      <c r="CE179" s="69" t="e">
        <f t="shared" si="94"/>
        <v>#REF!</v>
      </c>
      <c r="CF179" s="71" t="e">
        <f t="shared" si="95"/>
        <v>#REF!</v>
      </c>
    </row>
    <row r="180" spans="1:84" ht="15" customHeight="1">
      <c r="A180" s="35">
        <f t="shared" si="96"/>
        <v>118</v>
      </c>
      <c r="B180" s="87" t="s">
        <v>38</v>
      </c>
      <c r="C180" s="36">
        <v>46844</v>
      </c>
      <c r="D180" s="75">
        <v>0</v>
      </c>
      <c r="E180" s="110">
        <v>0</v>
      </c>
      <c r="F180" s="110">
        <v>0</v>
      </c>
      <c r="G180" s="110">
        <v>0</v>
      </c>
      <c r="H180" s="76">
        <v>0</v>
      </c>
      <c r="I180" s="76">
        <v>0</v>
      </c>
      <c r="J180" s="77">
        <v>0</v>
      </c>
      <c r="K180" s="69">
        <f>+'Fluxo Consolidado'!D175</f>
        <v>17719.02</v>
      </c>
      <c r="L180" s="78">
        <f>+'Fluxo Consolidado'!E175</f>
        <v>0</v>
      </c>
      <c r="M180" s="78">
        <f>+'Fluxo Consolidado'!F175</f>
        <v>0</v>
      </c>
      <c r="N180" s="70">
        <v>0</v>
      </c>
      <c r="O180" s="242">
        <f t="shared" si="98"/>
        <v>0.05</v>
      </c>
      <c r="P180" s="70">
        <f>+'Fluxo Consolidado'!H175</f>
        <v>0</v>
      </c>
      <c r="Q180" s="70">
        <f>+'Fluxo Consolidado'!I175</f>
        <v>26.309500000000003</v>
      </c>
      <c r="R180" s="79">
        <f>'Fluxo Consolidado'!J175</f>
        <v>11313.170990231305</v>
      </c>
      <c r="S180" s="79">
        <f>'Fluxo Consolidado'!K175</f>
        <v>99</v>
      </c>
      <c r="T180" s="79">
        <f t="shared" si="83"/>
        <v>0</v>
      </c>
      <c r="U180" s="79">
        <v>10</v>
      </c>
      <c r="V180" s="79">
        <f>SUM(P180:R180,K180:N180)+T180</f>
        <v>29058.500490231305</v>
      </c>
      <c r="W180" s="79">
        <v>0</v>
      </c>
      <c r="X180" s="79">
        <v>0</v>
      </c>
      <c r="Y180" s="71">
        <v>0</v>
      </c>
      <c r="Z180" s="38">
        <f t="shared" si="97"/>
        <v>0</v>
      </c>
      <c r="AA180" s="80">
        <v>0</v>
      </c>
      <c r="AB180" s="81">
        <v>0</v>
      </c>
      <c r="AC180" s="208">
        <f>'Fluxo Consolidado'!Q175</f>
        <v>0</v>
      </c>
      <c r="AD180" s="81">
        <v>0</v>
      </c>
      <c r="AE180" s="81">
        <v>0</v>
      </c>
      <c r="AF180" s="208">
        <f>'Fluxo Consolidado'!T175</f>
        <v>0</v>
      </c>
      <c r="AG180" s="81">
        <v>0</v>
      </c>
      <c r="AH180" s="246">
        <v>0</v>
      </c>
      <c r="AI180" s="125" t="e">
        <f>+'Fluxo Consolidado'!#REF!</f>
        <v>#REF!</v>
      </c>
      <c r="AJ180" s="82">
        <f>+'Fluxo Consolidado'!X175</f>
        <v>0</v>
      </c>
      <c r="AK180" s="85">
        <v>0</v>
      </c>
      <c r="AL180" s="85">
        <f>+'Fluxo Consolidado'!Y175+'Fluxo Consolidado'!Z175+'Fluxo Consolidado'!AA175</f>
        <v>0</v>
      </c>
      <c r="AM180" s="85">
        <f>+'Fluxo Consolidado'!AB175+'Fluxo Consolidado'!AC175</f>
        <v>0</v>
      </c>
      <c r="AN180" s="103">
        <f>+'Fluxo Consolidado'!AD175</f>
        <v>0</v>
      </c>
      <c r="AO180" s="85">
        <f>+'Fluxo Consolidado'!AF175+'Fluxo Consolidado'!AF175</f>
        <v>0</v>
      </c>
      <c r="AP180" s="83">
        <f>+'Fluxo Consolidado'!AG175</f>
        <v>0</v>
      </c>
      <c r="AQ180" s="119">
        <f>+'Fluxo Consolidado'!AH175</f>
        <v>-2120.0137334662977</v>
      </c>
      <c r="AR180" s="85">
        <f>+'Fluxo Consolidado'!AI175</f>
        <v>0</v>
      </c>
      <c r="AS180" s="85">
        <f>+'Fluxo Consolidado'!AJ175</f>
        <v>0</v>
      </c>
      <c r="AT180" s="85">
        <v>0</v>
      </c>
      <c r="AU180" s="85">
        <f>+'Fluxo Consolidado'!AK175</f>
        <v>-0.28596121014561504</v>
      </c>
      <c r="AV180" s="84">
        <f>+'Fluxo Consolidado'!AL175</f>
        <v>0</v>
      </c>
      <c r="AW180" s="82">
        <f t="shared" si="89"/>
        <v>-424.00274669325955</v>
      </c>
      <c r="AX180" s="82">
        <v>0</v>
      </c>
      <c r="AY180" s="82">
        <f>(-V179*$AY$1)+'Fluxo Consolidado'!AO175</f>
        <v>-1413.342488977532</v>
      </c>
      <c r="AZ180" s="84">
        <v>0</v>
      </c>
      <c r="BA180" s="122">
        <v>0</v>
      </c>
      <c r="BB180" s="81">
        <v>0</v>
      </c>
      <c r="BC180" s="81">
        <f>+'Fluxo Consolidado'!AP175</f>
        <v>0</v>
      </c>
      <c r="BD180" s="125">
        <f>+'Fluxo Consolidado'!AQ175</f>
        <v>0</v>
      </c>
      <c r="BE180" s="133"/>
      <c r="BF180" s="78">
        <f t="shared" si="92"/>
        <v>29058.500490231305</v>
      </c>
      <c r="BG180" s="70" t="e">
        <f t="shared" si="93"/>
        <v>#REF!</v>
      </c>
      <c r="BH180" s="70" t="e">
        <f t="shared" si="72"/>
        <v>#REF!</v>
      </c>
      <c r="BI180" s="71" t="e">
        <f t="shared" si="73"/>
        <v>#REF!</v>
      </c>
      <c r="BJ180" s="201" t="e">
        <f t="shared" si="88"/>
        <v>#REF!</v>
      </c>
      <c r="BQ180" s="82">
        <v>0</v>
      </c>
      <c r="BR180" s="223">
        <v>-462998.04265614838</v>
      </c>
      <c r="BS180" s="223">
        <v>-15691.356463990782</v>
      </c>
      <c r="BT180" s="223">
        <v>0</v>
      </c>
      <c r="BU180" s="223">
        <v>-26.309500000000003</v>
      </c>
      <c r="BV180" s="223">
        <v>6477.9074978291792</v>
      </c>
      <c r="BW180" s="223">
        <f t="shared" si="90"/>
        <v>-478689.39912013913</v>
      </c>
      <c r="BX180" s="83">
        <f t="shared" si="82"/>
        <v>-478689.39912013913</v>
      </c>
      <c r="BY180" s="78">
        <f t="shared" si="91"/>
        <v>-443179.30063207861</v>
      </c>
      <c r="BZ180" s="70" t="e">
        <f t="shared" si="77"/>
        <v>#REF!</v>
      </c>
      <c r="CA180" s="70" t="e">
        <f t="shared" si="78"/>
        <v>#REF!</v>
      </c>
      <c r="CB180" s="71" t="e">
        <f t="shared" si="79"/>
        <v>#REF!</v>
      </c>
      <c r="CC180" s="270" t="e">
        <f t="shared" si="80"/>
        <v>#REF!</v>
      </c>
      <c r="CD180" s="201"/>
      <c r="CE180" s="69" t="e">
        <f t="shared" si="94"/>
        <v>#REF!</v>
      </c>
      <c r="CF180" s="71" t="e">
        <f t="shared" si="95"/>
        <v>#REF!</v>
      </c>
    </row>
    <row r="181" spans="1:84" ht="15" customHeight="1">
      <c r="A181" s="35">
        <f t="shared" si="96"/>
        <v>119</v>
      </c>
      <c r="B181" s="87"/>
      <c r="C181" s="36">
        <v>46874</v>
      </c>
      <c r="D181" s="75">
        <v>0</v>
      </c>
      <c r="E181" s="110">
        <v>0</v>
      </c>
      <c r="F181" s="110">
        <v>0</v>
      </c>
      <c r="G181" s="110">
        <v>0</v>
      </c>
      <c r="H181" s="76">
        <v>0</v>
      </c>
      <c r="I181" s="76">
        <v>0</v>
      </c>
      <c r="J181" s="77">
        <v>0</v>
      </c>
      <c r="K181" s="69">
        <f>+'Fluxo Consolidado'!D176</f>
        <v>0</v>
      </c>
      <c r="L181" s="78">
        <f>+'Fluxo Consolidado'!E176</f>
        <v>0</v>
      </c>
      <c r="M181" s="78">
        <f>+'Fluxo Consolidado'!F176</f>
        <v>0</v>
      </c>
      <c r="N181" s="70">
        <v>0</v>
      </c>
      <c r="O181" s="242">
        <f t="shared" si="98"/>
        <v>0.05</v>
      </c>
      <c r="P181" s="70">
        <f>+'Fluxo Consolidado'!H176</f>
        <v>0</v>
      </c>
      <c r="Q181" s="70">
        <f>+'Fluxo Consolidado'!I176</f>
        <v>0</v>
      </c>
      <c r="R181" s="79">
        <f>'Fluxo Consolidado'!J176</f>
        <v>0</v>
      </c>
      <c r="S181" s="79">
        <f>'Fluxo Consolidado'!K176</f>
        <v>100</v>
      </c>
      <c r="T181" s="79">
        <v>0</v>
      </c>
      <c r="U181" s="79">
        <v>10</v>
      </c>
      <c r="V181" s="79">
        <f t="shared" si="81"/>
        <v>0</v>
      </c>
      <c r="W181" s="79">
        <v>0</v>
      </c>
      <c r="X181" s="79">
        <v>0</v>
      </c>
      <c r="Y181" s="71">
        <v>0</v>
      </c>
      <c r="Z181" s="38">
        <f t="shared" si="97"/>
        <v>0</v>
      </c>
      <c r="AA181" s="80">
        <v>0</v>
      </c>
      <c r="AB181" s="81">
        <v>0</v>
      </c>
      <c r="AC181" s="208">
        <f>'Fluxo Consolidado'!Q176</f>
        <v>0</v>
      </c>
      <c r="AD181" s="81">
        <v>0</v>
      </c>
      <c r="AE181" s="81">
        <v>0</v>
      </c>
      <c r="AF181" s="208">
        <f>'Fluxo Consolidado'!T176</f>
        <v>0</v>
      </c>
      <c r="AG181" s="81">
        <v>0</v>
      </c>
      <c r="AH181" s="246">
        <v>0</v>
      </c>
      <c r="AI181" s="125" t="e">
        <f>+'Fluxo Consolidado'!#REF!</f>
        <v>#REF!</v>
      </c>
      <c r="AJ181" s="82">
        <f>+'Fluxo Consolidado'!X176</f>
        <v>0</v>
      </c>
      <c r="AK181" s="85">
        <v>0</v>
      </c>
      <c r="AL181" s="85">
        <f>+'Fluxo Consolidado'!Y176+'Fluxo Consolidado'!Z176+'Fluxo Consolidado'!AA176</f>
        <v>0</v>
      </c>
      <c r="AM181" s="85">
        <f>+'Fluxo Consolidado'!AB176+'Fluxo Consolidado'!AC176</f>
        <v>0</v>
      </c>
      <c r="AN181" s="103">
        <f>+'Fluxo Consolidado'!AD176</f>
        <v>0</v>
      </c>
      <c r="AO181" s="85">
        <f>+'Fluxo Consolidado'!AF176+'Fluxo Consolidado'!AF176</f>
        <v>0</v>
      </c>
      <c r="AP181" s="83">
        <f>+'Fluxo Consolidado'!AG176</f>
        <v>0</v>
      </c>
      <c r="AQ181" s="119">
        <f>+'Fluxo Consolidado'!AH176</f>
        <v>-1743.5100294138783</v>
      </c>
      <c r="AR181" s="85">
        <f>+'Fluxo Consolidado'!AI176</f>
        <v>0</v>
      </c>
      <c r="AS181" s="85">
        <f>+'Fluxo Consolidado'!AJ176</f>
        <v>0</v>
      </c>
      <c r="AT181" s="85">
        <v>0</v>
      </c>
      <c r="AU181" s="85">
        <f>+'Fluxo Consolidado'!AK176</f>
        <v>-0.28596121002919972</v>
      </c>
      <c r="AV181" s="84">
        <f>+'Fluxo Consolidado'!AL176</f>
        <v>0</v>
      </c>
      <c r="AW181" s="82">
        <f t="shared" si="89"/>
        <v>-348.70200588277567</v>
      </c>
      <c r="AX181" s="82">
        <v>0</v>
      </c>
      <c r="AY181" s="82">
        <f>(-V180*$AY$1)+'Fluxo Consolidado'!AO176</f>
        <v>-1162.3400196092523</v>
      </c>
      <c r="AZ181" s="84">
        <v>0</v>
      </c>
      <c r="BA181" s="122">
        <v>0</v>
      </c>
      <c r="BB181" s="81">
        <v>0</v>
      </c>
      <c r="BC181" s="81">
        <f>+'Fluxo Consolidado'!AP176</f>
        <v>0</v>
      </c>
      <c r="BD181" s="125">
        <f>+'Fluxo Consolidado'!AQ176</f>
        <v>0</v>
      </c>
      <c r="BE181" s="133"/>
      <c r="BF181" s="78">
        <f t="shared" si="92"/>
        <v>0</v>
      </c>
      <c r="BG181" s="70" t="e">
        <f t="shared" si="93"/>
        <v>#REF!</v>
      </c>
      <c r="BH181" s="70" t="e">
        <f t="shared" si="72"/>
        <v>#REF!</v>
      </c>
      <c r="BI181" s="71" t="e">
        <f t="shared" si="73"/>
        <v>#REF!</v>
      </c>
      <c r="BJ181" s="201" t="e">
        <f t="shared" si="88"/>
        <v>#REF!</v>
      </c>
      <c r="BQ181" s="82">
        <v>0</v>
      </c>
      <c r="BR181" s="223">
        <v>-457898.43412491865</v>
      </c>
      <c r="BS181" s="223">
        <v>-15565.569474968846</v>
      </c>
      <c r="BT181" s="223">
        <v>0</v>
      </c>
      <c r="BU181" s="223">
        <v>0</v>
      </c>
      <c r="BV181" s="223">
        <v>26.309500000000003</v>
      </c>
      <c r="BW181" s="223">
        <f t="shared" si="90"/>
        <v>-473464.00359988748</v>
      </c>
      <c r="BX181" s="83">
        <f t="shared" si="82"/>
        <v>-473464.00359988748</v>
      </c>
      <c r="BY181" s="78">
        <f t="shared" si="91"/>
        <v>-473437.69409988751</v>
      </c>
      <c r="BZ181" s="70" t="e">
        <f t="shared" si="77"/>
        <v>#REF!</v>
      </c>
      <c r="CA181" s="70" t="e">
        <f t="shared" si="78"/>
        <v>#REF!</v>
      </c>
      <c r="CB181" s="71" t="e">
        <f t="shared" si="79"/>
        <v>#REF!</v>
      </c>
      <c r="CC181" s="270" t="e">
        <f t="shared" si="80"/>
        <v>#REF!</v>
      </c>
      <c r="CD181" s="201"/>
      <c r="CE181" s="69" t="e">
        <f t="shared" si="94"/>
        <v>#REF!</v>
      </c>
      <c r="CF181" s="71" t="e">
        <f t="shared" si="95"/>
        <v>#REF!</v>
      </c>
    </row>
    <row r="182" spans="1:84" ht="15" customHeight="1">
      <c r="A182" s="35">
        <f t="shared" si="96"/>
        <v>120</v>
      </c>
      <c r="B182" s="87"/>
      <c r="C182" s="36">
        <v>46905</v>
      </c>
      <c r="D182" s="75">
        <v>0</v>
      </c>
      <c r="E182" s="110">
        <v>0</v>
      </c>
      <c r="F182" s="110">
        <v>0</v>
      </c>
      <c r="G182" s="110">
        <v>0</v>
      </c>
      <c r="H182" s="76">
        <v>0</v>
      </c>
      <c r="I182" s="76">
        <v>0</v>
      </c>
      <c r="J182" s="77">
        <v>0</v>
      </c>
      <c r="K182" s="69">
        <f>+'Fluxo Consolidado'!D177</f>
        <v>0</v>
      </c>
      <c r="L182" s="78">
        <f>+'Fluxo Consolidado'!E177</f>
        <v>0</v>
      </c>
      <c r="M182" s="78">
        <f>+'Fluxo Consolidado'!F177</f>
        <v>0</v>
      </c>
      <c r="N182" s="70">
        <v>0</v>
      </c>
      <c r="O182" s="242">
        <f t="shared" si="98"/>
        <v>0.05</v>
      </c>
      <c r="P182" s="70">
        <f>+'Fluxo Consolidado'!H177</f>
        <v>0</v>
      </c>
      <c r="Q182" s="70">
        <f>+'Fluxo Consolidado'!I177</f>
        <v>0</v>
      </c>
      <c r="R182" s="79">
        <f>'Fluxo Consolidado'!J177</f>
        <v>0</v>
      </c>
      <c r="S182" s="79">
        <f>'Fluxo Consolidado'!K177</f>
        <v>101</v>
      </c>
      <c r="T182" s="79">
        <v>0</v>
      </c>
      <c r="U182" s="79">
        <v>10</v>
      </c>
      <c r="V182" s="79">
        <f t="shared" si="81"/>
        <v>0</v>
      </c>
      <c r="W182" s="79">
        <v>0</v>
      </c>
      <c r="X182" s="79">
        <v>0</v>
      </c>
      <c r="Y182" s="71">
        <v>0</v>
      </c>
      <c r="Z182" s="38">
        <f t="shared" si="97"/>
        <v>0</v>
      </c>
      <c r="AA182" s="80">
        <v>0</v>
      </c>
      <c r="AB182" s="81">
        <v>0</v>
      </c>
      <c r="AC182" s="208">
        <f>'Fluxo Consolidado'!Q177</f>
        <v>0</v>
      </c>
      <c r="AD182" s="81">
        <v>0</v>
      </c>
      <c r="AE182" s="81">
        <v>0</v>
      </c>
      <c r="AF182" s="208">
        <f>'Fluxo Consolidado'!T177</f>
        <v>0</v>
      </c>
      <c r="AG182" s="81">
        <v>0</v>
      </c>
      <c r="AH182" s="246">
        <v>0</v>
      </c>
      <c r="AI182" s="125" t="e">
        <f>+'Fluxo Consolidado'!#REF!</f>
        <v>#REF!</v>
      </c>
      <c r="AJ182" s="82">
        <f>+'Fluxo Consolidado'!X177</f>
        <v>0</v>
      </c>
      <c r="AK182" s="85">
        <v>0</v>
      </c>
      <c r="AL182" s="85">
        <f>+'Fluxo Consolidado'!Y177+'Fluxo Consolidado'!Z177+'Fluxo Consolidado'!AA177</f>
        <v>0</v>
      </c>
      <c r="AM182" s="85">
        <f>+'Fluxo Consolidado'!AB177+'Fluxo Consolidado'!AC177</f>
        <v>0</v>
      </c>
      <c r="AN182" s="103">
        <f>+'Fluxo Consolidado'!AD177</f>
        <v>0</v>
      </c>
      <c r="AO182" s="85">
        <f>+'Fluxo Consolidado'!AF177+'Fluxo Consolidado'!AF177</f>
        <v>0</v>
      </c>
      <c r="AP182" s="83">
        <f>+'Fluxo Consolidado'!AG177</f>
        <v>0</v>
      </c>
      <c r="AQ182" s="119">
        <f>+'Fluxo Consolidado'!AH177</f>
        <v>0</v>
      </c>
      <c r="AR182" s="85">
        <f>+'Fluxo Consolidado'!AI177</f>
        <v>0</v>
      </c>
      <c r="AS182" s="85">
        <f>+'Fluxo Consolidado'!AJ177</f>
        <v>0</v>
      </c>
      <c r="AT182" s="85">
        <v>0</v>
      </c>
      <c r="AU182" s="85">
        <f>+'Fluxo Consolidado'!AK177</f>
        <v>0</v>
      </c>
      <c r="AV182" s="84">
        <f>+'Fluxo Consolidado'!AL177</f>
        <v>0</v>
      </c>
      <c r="AW182" s="82">
        <f t="shared" si="89"/>
        <v>0</v>
      </c>
      <c r="AX182" s="82">
        <v>0</v>
      </c>
      <c r="AY182" s="82">
        <f>(-V181*$AY$1)+'Fluxo Consolidado'!AO177</f>
        <v>0</v>
      </c>
      <c r="AZ182" s="84">
        <v>0</v>
      </c>
      <c r="BA182" s="122">
        <v>0</v>
      </c>
      <c r="BB182" s="81">
        <v>0</v>
      </c>
      <c r="BC182" s="81">
        <f>+'Fluxo Consolidado'!AP177</f>
        <v>0</v>
      </c>
      <c r="BD182" s="125">
        <f>+'Fluxo Consolidado'!AQ177</f>
        <v>0</v>
      </c>
      <c r="BE182" s="133"/>
      <c r="BF182" s="78">
        <f t="shared" si="92"/>
        <v>0</v>
      </c>
      <c r="BG182" s="70" t="e">
        <f t="shared" si="93"/>
        <v>#REF!</v>
      </c>
      <c r="BH182" s="70" t="e">
        <f t="shared" si="72"/>
        <v>#REF!</v>
      </c>
      <c r="BI182" s="71" t="e">
        <f t="shared" si="73"/>
        <v>#REF!</v>
      </c>
      <c r="BJ182" s="201" t="e">
        <f t="shared" si="88"/>
        <v>#REF!</v>
      </c>
      <c r="BQ182" s="82">
        <v>0</v>
      </c>
      <c r="BR182" s="223">
        <v>-452798.82559368899</v>
      </c>
      <c r="BS182" s="223">
        <v>-15443.348947701936</v>
      </c>
      <c r="BT182" s="223">
        <v>0</v>
      </c>
      <c r="BU182" s="223">
        <v>0</v>
      </c>
      <c r="BV182" s="223">
        <v>0</v>
      </c>
      <c r="BW182" s="223">
        <f t="shared" si="90"/>
        <v>-468242.17454139091</v>
      </c>
      <c r="BX182" s="83">
        <f t="shared" si="82"/>
        <v>-468242.17454139091</v>
      </c>
      <c r="BY182" s="78">
        <f t="shared" si="91"/>
        <v>-468242.17454139091</v>
      </c>
      <c r="BZ182" s="70" t="e">
        <f t="shared" si="77"/>
        <v>#REF!</v>
      </c>
      <c r="CA182" s="70" t="e">
        <f t="shared" si="78"/>
        <v>#REF!</v>
      </c>
      <c r="CB182" s="71" t="e">
        <f t="shared" si="79"/>
        <v>#REF!</v>
      </c>
      <c r="CC182" s="270" t="e">
        <f t="shared" si="80"/>
        <v>#REF!</v>
      </c>
      <c r="CD182" s="201"/>
      <c r="CE182" s="69" t="e">
        <f t="shared" si="94"/>
        <v>#REF!</v>
      </c>
      <c r="CF182" s="71" t="e">
        <f t="shared" si="95"/>
        <v>#REF!</v>
      </c>
    </row>
    <row r="183" spans="1:84" ht="15" customHeight="1">
      <c r="A183" s="35">
        <f t="shared" si="96"/>
        <v>121</v>
      </c>
      <c r="B183" s="87"/>
      <c r="C183" s="36">
        <v>46935</v>
      </c>
      <c r="D183" s="75">
        <v>0</v>
      </c>
      <c r="E183" s="110">
        <v>0</v>
      </c>
      <c r="F183" s="110">
        <v>0</v>
      </c>
      <c r="G183" s="110">
        <v>0</v>
      </c>
      <c r="H183" s="76">
        <v>0</v>
      </c>
      <c r="I183" s="76">
        <v>0</v>
      </c>
      <c r="J183" s="77">
        <v>0</v>
      </c>
      <c r="K183" s="69">
        <f>+'Fluxo Consolidado'!D178</f>
        <v>0</v>
      </c>
      <c r="L183" s="78">
        <f>+'Fluxo Consolidado'!E178</f>
        <v>0</v>
      </c>
      <c r="M183" s="78">
        <f>+'Fluxo Consolidado'!F178</f>
        <v>0</v>
      </c>
      <c r="N183" s="70">
        <v>0</v>
      </c>
      <c r="O183" s="242">
        <f t="shared" si="98"/>
        <v>0.05</v>
      </c>
      <c r="P183" s="70">
        <f>+'Fluxo Consolidado'!H178</f>
        <v>0</v>
      </c>
      <c r="Q183" s="70">
        <f>+'Fluxo Consolidado'!I178</f>
        <v>0</v>
      </c>
      <c r="R183" s="79">
        <f>'Fluxo Consolidado'!J178</f>
        <v>0</v>
      </c>
      <c r="S183" s="79">
        <f>'Fluxo Consolidado'!K178</f>
        <v>102</v>
      </c>
      <c r="T183" s="79">
        <v>0</v>
      </c>
      <c r="U183" s="79">
        <v>10</v>
      </c>
      <c r="V183" s="79">
        <f t="shared" si="81"/>
        <v>0</v>
      </c>
      <c r="W183" s="79">
        <v>0</v>
      </c>
      <c r="X183" s="79">
        <v>0</v>
      </c>
      <c r="Y183" s="71">
        <v>0</v>
      </c>
      <c r="Z183" s="38">
        <f t="shared" si="97"/>
        <v>0</v>
      </c>
      <c r="AA183" s="80">
        <v>0</v>
      </c>
      <c r="AB183" s="81">
        <v>0</v>
      </c>
      <c r="AC183" s="208">
        <f>'Fluxo Consolidado'!Q178</f>
        <v>0</v>
      </c>
      <c r="AD183" s="81">
        <v>0</v>
      </c>
      <c r="AE183" s="81">
        <v>0</v>
      </c>
      <c r="AF183" s="208">
        <f>'Fluxo Consolidado'!T178</f>
        <v>0</v>
      </c>
      <c r="AG183" s="81">
        <v>0</v>
      </c>
      <c r="AH183" s="246">
        <v>0</v>
      </c>
      <c r="AI183" s="125" t="e">
        <f>+'Fluxo Consolidado'!#REF!</f>
        <v>#REF!</v>
      </c>
      <c r="AJ183" s="82">
        <f>+'Fluxo Consolidado'!X178</f>
        <v>0</v>
      </c>
      <c r="AK183" s="85">
        <v>0</v>
      </c>
      <c r="AL183" s="85">
        <f>+'Fluxo Consolidado'!Y178+'Fluxo Consolidado'!Z178+'Fluxo Consolidado'!AA178</f>
        <v>0</v>
      </c>
      <c r="AM183" s="85">
        <f>+'Fluxo Consolidado'!AB178+'Fluxo Consolidado'!AC178</f>
        <v>0</v>
      </c>
      <c r="AN183" s="103">
        <f>+'Fluxo Consolidado'!AD178</f>
        <v>0</v>
      </c>
      <c r="AO183" s="85">
        <f>+'Fluxo Consolidado'!AF178+'Fluxo Consolidado'!AF178</f>
        <v>0</v>
      </c>
      <c r="AP183" s="83">
        <f>+'Fluxo Consolidado'!AG178</f>
        <v>0</v>
      </c>
      <c r="AQ183" s="119">
        <f>+'Fluxo Consolidado'!AH178</f>
        <v>0</v>
      </c>
      <c r="AR183" s="85">
        <f>+'Fluxo Consolidado'!AI178</f>
        <v>0</v>
      </c>
      <c r="AS183" s="85">
        <f>+'Fluxo Consolidado'!AJ178</f>
        <v>0</v>
      </c>
      <c r="AT183" s="85">
        <v>0</v>
      </c>
      <c r="AU183" s="85">
        <f>+'Fluxo Consolidado'!AK178</f>
        <v>0</v>
      </c>
      <c r="AV183" s="84">
        <f>+'Fluxo Consolidado'!AL178</f>
        <v>0</v>
      </c>
      <c r="AW183" s="82">
        <f t="shared" si="89"/>
        <v>0</v>
      </c>
      <c r="AX183" s="82">
        <v>0</v>
      </c>
      <c r="AY183" s="82">
        <f>(-V182*$AY$1)+'Fluxo Consolidado'!AO178</f>
        <v>0</v>
      </c>
      <c r="AZ183" s="84">
        <v>0</v>
      </c>
      <c r="BA183" s="122">
        <v>0</v>
      </c>
      <c r="BB183" s="81">
        <v>0</v>
      </c>
      <c r="BC183" s="81">
        <f>+'Fluxo Consolidado'!AP178</f>
        <v>0</v>
      </c>
      <c r="BD183" s="125">
        <f>+'Fluxo Consolidado'!AQ178</f>
        <v>0</v>
      </c>
      <c r="BE183" s="133"/>
      <c r="BF183" s="78">
        <f t="shared" si="92"/>
        <v>0</v>
      </c>
      <c r="BG183" s="70" t="e">
        <f t="shared" si="93"/>
        <v>#REF!</v>
      </c>
      <c r="BH183" s="70" t="e">
        <f t="shared" si="72"/>
        <v>#REF!</v>
      </c>
      <c r="BI183" s="71" t="e">
        <f t="shared" si="73"/>
        <v>#REF!</v>
      </c>
      <c r="BJ183" s="201" t="e">
        <f t="shared" si="88"/>
        <v>#REF!</v>
      </c>
      <c r="BQ183" s="82">
        <v>0</v>
      </c>
      <c r="BR183" s="223">
        <v>-447699.21706245933</v>
      </c>
      <c r="BS183" s="223">
        <v>-15324.593761640546</v>
      </c>
      <c r="BT183" s="223">
        <v>0</v>
      </c>
      <c r="BU183" s="223">
        <v>0</v>
      </c>
      <c r="BV183" s="223">
        <v>0</v>
      </c>
      <c r="BW183" s="223">
        <f t="shared" si="90"/>
        <v>-463023.81082409987</v>
      </c>
      <c r="BX183" s="83">
        <f t="shared" si="82"/>
        <v>-463023.81082409987</v>
      </c>
      <c r="BY183" s="78">
        <f t="shared" si="91"/>
        <v>-463023.81082409987</v>
      </c>
      <c r="BZ183" s="70" t="e">
        <f t="shared" si="77"/>
        <v>#REF!</v>
      </c>
      <c r="CA183" s="70" t="e">
        <f t="shared" si="78"/>
        <v>#REF!</v>
      </c>
      <c r="CB183" s="71" t="e">
        <f t="shared" si="79"/>
        <v>#REF!</v>
      </c>
      <c r="CC183" s="270" t="e">
        <f t="shared" si="80"/>
        <v>#REF!</v>
      </c>
      <c r="CD183" s="201"/>
      <c r="CE183" s="69" t="e">
        <f t="shared" si="94"/>
        <v>#REF!</v>
      </c>
      <c r="CF183" s="71" t="e">
        <f t="shared" si="95"/>
        <v>#REF!</v>
      </c>
    </row>
    <row r="184" spans="1:84" ht="15" customHeight="1">
      <c r="A184" s="35">
        <f t="shared" si="96"/>
        <v>122</v>
      </c>
      <c r="B184" s="87"/>
      <c r="C184" s="36">
        <v>46966</v>
      </c>
      <c r="D184" s="75">
        <v>0</v>
      </c>
      <c r="E184" s="110">
        <v>0</v>
      </c>
      <c r="F184" s="110">
        <v>0</v>
      </c>
      <c r="G184" s="110">
        <v>0</v>
      </c>
      <c r="H184" s="76">
        <v>0</v>
      </c>
      <c r="I184" s="76">
        <v>0</v>
      </c>
      <c r="J184" s="77">
        <v>0</v>
      </c>
      <c r="K184" s="69">
        <f>+'Fluxo Consolidado'!D179</f>
        <v>0</v>
      </c>
      <c r="L184" s="78">
        <f>+'Fluxo Consolidado'!E179</f>
        <v>0</v>
      </c>
      <c r="M184" s="78">
        <f>+'Fluxo Consolidado'!F179</f>
        <v>0</v>
      </c>
      <c r="N184" s="70">
        <v>0</v>
      </c>
      <c r="O184" s="242">
        <f t="shared" si="98"/>
        <v>0.05</v>
      </c>
      <c r="P184" s="70">
        <f>+'Fluxo Consolidado'!H179</f>
        <v>0</v>
      </c>
      <c r="Q184" s="70">
        <f>+'Fluxo Consolidado'!I179</f>
        <v>0</v>
      </c>
      <c r="R184" s="79">
        <f>'Fluxo Consolidado'!J179</f>
        <v>0</v>
      </c>
      <c r="S184" s="79">
        <f>'Fluxo Consolidado'!K179</f>
        <v>103</v>
      </c>
      <c r="T184" s="79">
        <v>0</v>
      </c>
      <c r="U184" s="79">
        <v>10</v>
      </c>
      <c r="V184" s="79">
        <f t="shared" si="81"/>
        <v>0</v>
      </c>
      <c r="W184" s="79">
        <v>0</v>
      </c>
      <c r="X184" s="79">
        <v>0</v>
      </c>
      <c r="Y184" s="71">
        <v>0</v>
      </c>
      <c r="Z184" s="38">
        <f t="shared" si="97"/>
        <v>0</v>
      </c>
      <c r="AA184" s="80">
        <v>0</v>
      </c>
      <c r="AB184" s="81">
        <v>0</v>
      </c>
      <c r="AC184" s="208">
        <f>'Fluxo Consolidado'!Q179</f>
        <v>0</v>
      </c>
      <c r="AD184" s="81">
        <v>0</v>
      </c>
      <c r="AE184" s="81">
        <v>0</v>
      </c>
      <c r="AF184" s="208">
        <f>'Fluxo Consolidado'!T179</f>
        <v>0</v>
      </c>
      <c r="AG184" s="81">
        <v>0</v>
      </c>
      <c r="AH184" s="246">
        <v>0</v>
      </c>
      <c r="AI184" s="125" t="e">
        <f>+'Fluxo Consolidado'!#REF!</f>
        <v>#REF!</v>
      </c>
      <c r="AJ184" s="82">
        <f>+'Fluxo Consolidado'!X179</f>
        <v>0</v>
      </c>
      <c r="AK184" s="85">
        <v>0</v>
      </c>
      <c r="AL184" s="85">
        <f>+'Fluxo Consolidado'!Y179+'Fluxo Consolidado'!Z179+'Fluxo Consolidado'!AA179</f>
        <v>0</v>
      </c>
      <c r="AM184" s="85">
        <f>+'Fluxo Consolidado'!AB179+'Fluxo Consolidado'!AC179</f>
        <v>0</v>
      </c>
      <c r="AN184" s="103">
        <f>+'Fluxo Consolidado'!AD179</f>
        <v>0</v>
      </c>
      <c r="AO184" s="85">
        <f>+'Fluxo Consolidado'!AF179+'Fluxo Consolidado'!AF179</f>
        <v>0</v>
      </c>
      <c r="AP184" s="83">
        <f>+'Fluxo Consolidado'!AG179</f>
        <v>0</v>
      </c>
      <c r="AQ184" s="119">
        <f>+'Fluxo Consolidado'!AH179</f>
        <v>0</v>
      </c>
      <c r="AR184" s="85">
        <f>+'Fluxo Consolidado'!AI179</f>
        <v>0</v>
      </c>
      <c r="AS184" s="85">
        <f>+'Fluxo Consolidado'!AJ179</f>
        <v>0</v>
      </c>
      <c r="AT184" s="85">
        <v>0</v>
      </c>
      <c r="AU184" s="85">
        <f>+'Fluxo Consolidado'!AK179</f>
        <v>0</v>
      </c>
      <c r="AV184" s="84">
        <f>+'Fluxo Consolidado'!AL179</f>
        <v>0</v>
      </c>
      <c r="AW184" s="82">
        <f t="shared" si="89"/>
        <v>0</v>
      </c>
      <c r="AX184" s="82">
        <v>0</v>
      </c>
      <c r="AY184" s="82">
        <f>(-V183*$AY$1)+'Fluxo Consolidado'!AO179</f>
        <v>0</v>
      </c>
      <c r="AZ184" s="84">
        <v>0</v>
      </c>
      <c r="BA184" s="122">
        <v>0</v>
      </c>
      <c r="BB184" s="81">
        <v>0</v>
      </c>
      <c r="BC184" s="81">
        <f>+'Fluxo Consolidado'!AP179</f>
        <v>0</v>
      </c>
      <c r="BD184" s="125">
        <f>+'Fluxo Consolidado'!AQ179</f>
        <v>0</v>
      </c>
      <c r="BE184" s="133"/>
      <c r="BF184" s="78">
        <f t="shared" si="92"/>
        <v>0</v>
      </c>
      <c r="BG184" s="70" t="e">
        <f t="shared" si="93"/>
        <v>#REF!</v>
      </c>
      <c r="BH184" s="70" t="e">
        <f t="shared" si="72"/>
        <v>#REF!</v>
      </c>
      <c r="BI184" s="71" t="e">
        <f t="shared" si="73"/>
        <v>#REF!</v>
      </c>
      <c r="BJ184" s="201" t="e">
        <f t="shared" si="88"/>
        <v>#REF!</v>
      </c>
      <c r="BQ184" s="82">
        <v>3000000</v>
      </c>
      <c r="BR184" s="223">
        <v>-442599.60853122966</v>
      </c>
      <c r="BS184" s="223">
        <v>-30770.958651372621</v>
      </c>
      <c r="BT184" s="223">
        <v>0</v>
      </c>
      <c r="BU184" s="223">
        <v>0</v>
      </c>
      <c r="BV184" s="223">
        <v>0</v>
      </c>
      <c r="BW184" s="223">
        <f t="shared" si="90"/>
        <v>2526629.4328173976</v>
      </c>
      <c r="BX184" s="83">
        <f t="shared" si="82"/>
        <v>-473370.5671826023</v>
      </c>
      <c r="BY184" s="78">
        <f t="shared" si="91"/>
        <v>2526629.4328173976</v>
      </c>
      <c r="BZ184" s="70" t="e">
        <f t="shared" si="77"/>
        <v>#REF!</v>
      </c>
      <c r="CA184" s="70" t="e">
        <f t="shared" si="78"/>
        <v>#REF!</v>
      </c>
      <c r="CB184" s="71" t="e">
        <f t="shared" si="79"/>
        <v>#REF!</v>
      </c>
      <c r="CC184" s="270" t="e">
        <f t="shared" si="80"/>
        <v>#REF!</v>
      </c>
      <c r="CD184" s="201"/>
      <c r="CE184" s="69" t="e">
        <f t="shared" si="94"/>
        <v>#REF!</v>
      </c>
      <c r="CF184" s="71" t="e">
        <f t="shared" si="95"/>
        <v>#REF!</v>
      </c>
    </row>
    <row r="185" spans="1:84" ht="15" customHeight="1">
      <c r="A185" s="35">
        <f t="shared" si="96"/>
        <v>123</v>
      </c>
      <c r="B185" s="87"/>
      <c r="C185" s="36">
        <v>46997</v>
      </c>
      <c r="D185" s="75">
        <v>0</v>
      </c>
      <c r="E185" s="110">
        <v>0</v>
      </c>
      <c r="F185" s="110">
        <v>0</v>
      </c>
      <c r="G185" s="110">
        <v>0</v>
      </c>
      <c r="H185" s="76">
        <v>0</v>
      </c>
      <c r="I185" s="76">
        <v>0</v>
      </c>
      <c r="J185" s="77">
        <v>0</v>
      </c>
      <c r="K185" s="69">
        <v>0</v>
      </c>
      <c r="L185" s="78">
        <v>0</v>
      </c>
      <c r="M185" s="78">
        <v>0</v>
      </c>
      <c r="N185" s="70">
        <v>0</v>
      </c>
      <c r="O185" s="242">
        <f t="shared" si="98"/>
        <v>0.05</v>
      </c>
      <c r="P185" s="70">
        <f>+'Fluxo Consolidado'!H180</f>
        <v>0</v>
      </c>
      <c r="Q185" s="70">
        <f>+'Fluxo Consolidado'!I180</f>
        <v>0</v>
      </c>
      <c r="R185" s="79">
        <f>'Fluxo Consolidado'!J180</f>
        <v>0</v>
      </c>
      <c r="S185" s="79">
        <f>'Fluxo Consolidado'!K180</f>
        <v>104</v>
      </c>
      <c r="T185" s="79">
        <v>0</v>
      </c>
      <c r="U185" s="79">
        <v>10</v>
      </c>
      <c r="V185" s="79">
        <f t="shared" si="81"/>
        <v>0</v>
      </c>
      <c r="W185" s="79">
        <v>0</v>
      </c>
      <c r="X185" s="79">
        <v>0</v>
      </c>
      <c r="Y185" s="71">
        <v>0</v>
      </c>
      <c r="Z185" s="38">
        <f t="shared" si="97"/>
        <v>0</v>
      </c>
      <c r="AA185" s="80">
        <v>0</v>
      </c>
      <c r="AB185" s="81">
        <v>0</v>
      </c>
      <c r="AC185" s="208">
        <f>'Fluxo Consolidado'!Q180</f>
        <v>0</v>
      </c>
      <c r="AD185" s="81">
        <v>0</v>
      </c>
      <c r="AE185" s="81">
        <v>0</v>
      </c>
      <c r="AF185" s="208">
        <f>'Fluxo Consolidado'!T180</f>
        <v>0</v>
      </c>
      <c r="AG185" s="81">
        <v>0</v>
      </c>
      <c r="AH185" s="246">
        <v>0</v>
      </c>
      <c r="AI185" s="125" t="e">
        <f>+'Fluxo Consolidado'!#REF!</f>
        <v>#REF!</v>
      </c>
      <c r="AJ185" s="82">
        <f>+'Fluxo Consolidado'!X180</f>
        <v>0</v>
      </c>
      <c r="AK185" s="85">
        <v>0</v>
      </c>
      <c r="AL185" s="85">
        <f>+'Fluxo Consolidado'!Y180+'Fluxo Consolidado'!Z180+'Fluxo Consolidado'!AA180</f>
        <v>0</v>
      </c>
      <c r="AM185" s="85">
        <f>+'Fluxo Consolidado'!AB180+'Fluxo Consolidado'!AC180</f>
        <v>0</v>
      </c>
      <c r="AN185" s="103">
        <f>+'Fluxo Consolidado'!AD180</f>
        <v>0</v>
      </c>
      <c r="AO185" s="85">
        <f>+'Fluxo Consolidado'!AF180+'Fluxo Consolidado'!AF180</f>
        <v>0</v>
      </c>
      <c r="AP185" s="83">
        <f>+'Fluxo Consolidado'!AG180</f>
        <v>0</v>
      </c>
      <c r="AQ185" s="119">
        <f>+'Fluxo Consolidado'!AH180</f>
        <v>0</v>
      </c>
      <c r="AR185" s="85">
        <f>+'Fluxo Consolidado'!AI180</f>
        <v>0</v>
      </c>
      <c r="AS185" s="85">
        <f>+'Fluxo Consolidado'!AJ180</f>
        <v>0</v>
      </c>
      <c r="AT185" s="85">
        <v>0</v>
      </c>
      <c r="AU185" s="85">
        <f>+'Fluxo Consolidado'!AK180</f>
        <v>0</v>
      </c>
      <c r="AV185" s="84">
        <f>+'Fluxo Consolidado'!AL180</f>
        <v>0</v>
      </c>
      <c r="AW185" s="82">
        <f t="shared" si="89"/>
        <v>0</v>
      </c>
      <c r="AX185" s="82">
        <v>0</v>
      </c>
      <c r="AY185" s="82">
        <f>(-V184*$AY$1)+'Fluxo Consolidado'!AO180</f>
        <v>0</v>
      </c>
      <c r="AZ185" s="84">
        <v>0</v>
      </c>
      <c r="BA185" s="122">
        <v>0</v>
      </c>
      <c r="BB185" s="81">
        <v>0</v>
      </c>
      <c r="BC185" s="81">
        <f>+'Fluxo Consolidado'!AP180</f>
        <v>0</v>
      </c>
      <c r="BD185" s="125">
        <f>+'Fluxo Consolidado'!AQ180</f>
        <v>0</v>
      </c>
      <c r="BE185" s="133"/>
      <c r="BF185" s="78">
        <f t="shared" si="92"/>
        <v>0</v>
      </c>
      <c r="BG185" s="70" t="e">
        <f t="shared" si="93"/>
        <v>#REF!</v>
      </c>
      <c r="BH185" s="70" t="e">
        <f t="shared" si="72"/>
        <v>#REF!</v>
      </c>
      <c r="BI185" s="71" t="e">
        <f t="shared" si="73"/>
        <v>#REF!</v>
      </c>
      <c r="BJ185" s="201" t="e">
        <f t="shared" si="88"/>
        <v>#REF!</v>
      </c>
      <c r="BQ185" s="82">
        <v>0</v>
      </c>
      <c r="BR185" s="223">
        <v>0</v>
      </c>
      <c r="BS185" s="223">
        <v>0</v>
      </c>
      <c r="BT185" s="223">
        <v>0</v>
      </c>
      <c r="BU185" s="223">
        <v>0</v>
      </c>
      <c r="BV185" s="223">
        <v>0</v>
      </c>
      <c r="BW185" s="223">
        <f t="shared" si="90"/>
        <v>0</v>
      </c>
      <c r="BX185" s="83">
        <f t="shared" si="82"/>
        <v>0</v>
      </c>
      <c r="BY185" s="78">
        <f t="shared" si="91"/>
        <v>0</v>
      </c>
      <c r="BZ185" s="70" t="e">
        <f t="shared" si="77"/>
        <v>#REF!</v>
      </c>
      <c r="CA185" s="70" t="e">
        <f t="shared" si="78"/>
        <v>#REF!</v>
      </c>
      <c r="CB185" s="71">
        <v>0</v>
      </c>
      <c r="CC185" s="270">
        <f t="shared" si="80"/>
        <v>7026198.54</v>
      </c>
      <c r="CD185" s="201"/>
      <c r="CE185" s="69" t="e">
        <f t="shared" si="94"/>
        <v>#REF!</v>
      </c>
      <c r="CF185" s="71" t="e">
        <f t="shared" si="95"/>
        <v>#REF!</v>
      </c>
    </row>
    <row r="186" spans="1:84" ht="15" customHeight="1">
      <c r="A186" s="35">
        <f t="shared" si="96"/>
        <v>124</v>
      </c>
      <c r="B186" s="87"/>
      <c r="C186" s="36">
        <v>47027</v>
      </c>
      <c r="D186" s="75">
        <v>0</v>
      </c>
      <c r="E186" s="110">
        <v>0</v>
      </c>
      <c r="F186" s="110">
        <v>0</v>
      </c>
      <c r="G186" s="110">
        <v>0</v>
      </c>
      <c r="H186" s="76">
        <v>0</v>
      </c>
      <c r="I186" s="76">
        <v>0</v>
      </c>
      <c r="J186" s="77">
        <v>0</v>
      </c>
      <c r="K186" s="69">
        <v>0</v>
      </c>
      <c r="L186" s="78">
        <v>0</v>
      </c>
      <c r="M186" s="78">
        <v>0</v>
      </c>
      <c r="N186" s="70">
        <v>0</v>
      </c>
      <c r="O186" s="242">
        <f t="shared" si="98"/>
        <v>0.05</v>
      </c>
      <c r="P186" s="70">
        <f>+'Fluxo Consolidado'!H181</f>
        <v>0</v>
      </c>
      <c r="Q186" s="70">
        <f>+'Fluxo Consolidado'!I181</f>
        <v>0</v>
      </c>
      <c r="R186" s="79">
        <f>'Fluxo Consolidado'!J181</f>
        <v>0</v>
      </c>
      <c r="S186" s="79">
        <f>'Fluxo Consolidado'!K181</f>
        <v>105</v>
      </c>
      <c r="T186" s="79">
        <v>0</v>
      </c>
      <c r="U186" s="79">
        <v>10</v>
      </c>
      <c r="V186" s="79">
        <f t="shared" si="81"/>
        <v>0</v>
      </c>
      <c r="W186" s="79">
        <v>0</v>
      </c>
      <c r="X186" s="79">
        <v>0</v>
      </c>
      <c r="Y186" s="71">
        <v>0</v>
      </c>
      <c r="Z186" s="38">
        <f t="shared" si="97"/>
        <v>0</v>
      </c>
      <c r="AA186" s="80">
        <v>0</v>
      </c>
      <c r="AB186" s="81">
        <v>0</v>
      </c>
      <c r="AC186" s="208">
        <f>'Fluxo Consolidado'!Q181</f>
        <v>0</v>
      </c>
      <c r="AD186" s="81">
        <v>0</v>
      </c>
      <c r="AE186" s="81">
        <v>0</v>
      </c>
      <c r="AF186" s="208">
        <f>'Fluxo Consolidado'!T181</f>
        <v>0</v>
      </c>
      <c r="AG186" s="81">
        <v>0</v>
      </c>
      <c r="AH186" s="246">
        <v>0</v>
      </c>
      <c r="AI186" s="125" t="e">
        <f>+'Fluxo Consolidado'!#REF!</f>
        <v>#REF!</v>
      </c>
      <c r="AJ186" s="82">
        <f>+'Fluxo Consolidado'!X181</f>
        <v>0</v>
      </c>
      <c r="AK186" s="85">
        <v>0</v>
      </c>
      <c r="AL186" s="85">
        <f>+'Fluxo Consolidado'!Y181+'Fluxo Consolidado'!Z181+'Fluxo Consolidado'!AA181</f>
        <v>0</v>
      </c>
      <c r="AM186" s="85">
        <f>+'Fluxo Consolidado'!AB181+'Fluxo Consolidado'!AC181</f>
        <v>0</v>
      </c>
      <c r="AN186" s="103">
        <f>+'Fluxo Consolidado'!AD181</f>
        <v>0</v>
      </c>
      <c r="AO186" s="85">
        <f>+'Fluxo Consolidado'!AF181+'Fluxo Consolidado'!AF181</f>
        <v>0</v>
      </c>
      <c r="AP186" s="83">
        <f>+'Fluxo Consolidado'!AG181</f>
        <v>0</v>
      </c>
      <c r="AQ186" s="119">
        <f>+'Fluxo Consolidado'!AH181</f>
        <v>0</v>
      </c>
      <c r="AR186" s="85">
        <f>+'Fluxo Consolidado'!AI181</f>
        <v>0</v>
      </c>
      <c r="AS186" s="85">
        <f>+'Fluxo Consolidado'!AJ181</f>
        <v>0</v>
      </c>
      <c r="AT186" s="85">
        <v>0</v>
      </c>
      <c r="AU186" s="85">
        <f>+'Fluxo Consolidado'!AK181</f>
        <v>0</v>
      </c>
      <c r="AV186" s="84">
        <f>+'Fluxo Consolidado'!AL181</f>
        <v>0</v>
      </c>
      <c r="AW186" s="82">
        <f t="shared" si="89"/>
        <v>0</v>
      </c>
      <c r="AX186" s="82">
        <v>0</v>
      </c>
      <c r="AY186" s="82">
        <f>(-V185*$AY$1)+'Fluxo Consolidado'!AO181</f>
        <v>0</v>
      </c>
      <c r="AZ186" s="84">
        <v>0</v>
      </c>
      <c r="BA186" s="122">
        <v>0</v>
      </c>
      <c r="BB186" s="81">
        <v>0</v>
      </c>
      <c r="BC186" s="81">
        <f>+'Fluxo Consolidado'!AP181</f>
        <v>0</v>
      </c>
      <c r="BD186" s="125">
        <f>+'Fluxo Consolidado'!AQ181</f>
        <v>0</v>
      </c>
      <c r="BE186" s="133"/>
      <c r="BF186" s="78">
        <f t="shared" si="92"/>
        <v>0</v>
      </c>
      <c r="BG186" s="70" t="e">
        <f t="shared" si="93"/>
        <v>#REF!</v>
      </c>
      <c r="BH186" s="70" t="e">
        <f t="shared" ref="BH186:BH189" si="99">SUM(BF186:BG186)</f>
        <v>#REF!</v>
      </c>
      <c r="BI186" s="71" t="e">
        <f t="shared" ref="BI186:BI189" si="100">BH186+BI185</f>
        <v>#REF!</v>
      </c>
      <c r="BJ186" s="201" t="e">
        <f t="shared" si="88"/>
        <v>#REF!</v>
      </c>
      <c r="BQ186" s="82">
        <v>0</v>
      </c>
      <c r="BR186" s="223" t="e">
        <f>-#REF!</f>
        <v>#REF!</v>
      </c>
      <c r="BS186" s="223">
        <v>0</v>
      </c>
      <c r="BT186" s="223">
        <v>0</v>
      </c>
      <c r="BU186" s="223">
        <v>0</v>
      </c>
      <c r="BV186" s="223">
        <v>0</v>
      </c>
      <c r="BW186" s="223" t="e">
        <f t="shared" si="90"/>
        <v>#REF!</v>
      </c>
      <c r="BX186" s="83" t="e">
        <f t="shared" si="82"/>
        <v>#REF!</v>
      </c>
      <c r="BY186" s="78" t="e">
        <f t="shared" si="91"/>
        <v>#REF!</v>
      </c>
      <c r="BZ186" s="70" t="e">
        <f t="shared" si="77"/>
        <v>#REF!</v>
      </c>
      <c r="CA186" s="70" t="e">
        <f t="shared" si="78"/>
        <v>#REF!</v>
      </c>
      <c r="CB186" s="71">
        <v>0</v>
      </c>
      <c r="CC186" s="270">
        <f t="shared" si="80"/>
        <v>7026198.54</v>
      </c>
      <c r="CD186" s="201"/>
      <c r="CE186" s="69" t="e">
        <f t="shared" si="94"/>
        <v>#REF!</v>
      </c>
      <c r="CF186" s="71" t="e">
        <f t="shared" si="95"/>
        <v>#REF!</v>
      </c>
    </row>
    <row r="187" spans="1:84" ht="15" customHeight="1">
      <c r="A187" s="35">
        <f t="shared" si="96"/>
        <v>125</v>
      </c>
      <c r="B187" s="87"/>
      <c r="C187" s="36">
        <v>47058</v>
      </c>
      <c r="D187" s="75">
        <v>0</v>
      </c>
      <c r="E187" s="110">
        <v>0</v>
      </c>
      <c r="F187" s="110">
        <v>0</v>
      </c>
      <c r="G187" s="110">
        <v>0</v>
      </c>
      <c r="H187" s="76">
        <v>0</v>
      </c>
      <c r="I187" s="76">
        <v>0</v>
      </c>
      <c r="J187" s="77">
        <v>0</v>
      </c>
      <c r="K187" s="69">
        <v>0</v>
      </c>
      <c r="L187" s="78">
        <v>0</v>
      </c>
      <c r="M187" s="78">
        <v>0</v>
      </c>
      <c r="N187" s="70">
        <v>0</v>
      </c>
      <c r="O187" s="242">
        <f t="shared" si="98"/>
        <v>0.05</v>
      </c>
      <c r="P187" s="70">
        <v>0</v>
      </c>
      <c r="Q187" s="70">
        <v>0</v>
      </c>
      <c r="R187" s="79">
        <f>'Fluxo Consolidado'!J182</f>
        <v>0</v>
      </c>
      <c r="S187" s="79">
        <f>'Fluxo Consolidado'!K182</f>
        <v>106</v>
      </c>
      <c r="T187" s="79">
        <v>0</v>
      </c>
      <c r="U187" s="79">
        <v>10</v>
      </c>
      <c r="V187" s="79">
        <f t="shared" si="81"/>
        <v>0</v>
      </c>
      <c r="W187" s="79">
        <v>0</v>
      </c>
      <c r="X187" s="79">
        <v>0</v>
      </c>
      <c r="Y187" s="71">
        <v>0</v>
      </c>
      <c r="Z187" s="38">
        <f t="shared" si="97"/>
        <v>0</v>
      </c>
      <c r="AA187" s="80">
        <v>0</v>
      </c>
      <c r="AB187" s="81">
        <v>0</v>
      </c>
      <c r="AC187" s="208">
        <f>'Fluxo Consolidado'!Q182</f>
        <v>0</v>
      </c>
      <c r="AD187" s="81">
        <v>0</v>
      </c>
      <c r="AE187" s="81">
        <v>0</v>
      </c>
      <c r="AF187" s="208">
        <f>'Fluxo Consolidado'!T182</f>
        <v>0</v>
      </c>
      <c r="AG187" s="81">
        <v>0</v>
      </c>
      <c r="AH187" s="246">
        <v>0</v>
      </c>
      <c r="AI187" s="125" t="e">
        <f>+'Fluxo Consolidado'!#REF!</f>
        <v>#REF!</v>
      </c>
      <c r="AJ187" s="82">
        <f>+'Fluxo Consolidado'!X182</f>
        <v>0</v>
      </c>
      <c r="AK187" s="85">
        <v>0</v>
      </c>
      <c r="AL187" s="85">
        <f>+'Fluxo Consolidado'!Y182+'Fluxo Consolidado'!Z182+'Fluxo Consolidado'!AA182</f>
        <v>0</v>
      </c>
      <c r="AM187" s="85">
        <f>+'Fluxo Consolidado'!AB182+'Fluxo Consolidado'!AC182</f>
        <v>0</v>
      </c>
      <c r="AN187" s="103">
        <f>+'Fluxo Consolidado'!AD182</f>
        <v>0</v>
      </c>
      <c r="AO187" s="85">
        <f>+'Fluxo Consolidado'!AF182+'Fluxo Consolidado'!AF182</f>
        <v>0</v>
      </c>
      <c r="AP187" s="83">
        <f>+'Fluxo Consolidado'!AG182</f>
        <v>0</v>
      </c>
      <c r="AQ187" s="119">
        <f>+'Fluxo Consolidado'!AH182</f>
        <v>0</v>
      </c>
      <c r="AR187" s="85">
        <f>+'Fluxo Consolidado'!AI182</f>
        <v>0</v>
      </c>
      <c r="AS187" s="85">
        <f>+'Fluxo Consolidado'!AJ182</f>
        <v>0</v>
      </c>
      <c r="AT187" s="85">
        <v>0</v>
      </c>
      <c r="AU187" s="85">
        <f>+'Fluxo Consolidado'!AK182</f>
        <v>0</v>
      </c>
      <c r="AV187" s="84">
        <f>+'Fluxo Consolidado'!AL182</f>
        <v>0</v>
      </c>
      <c r="AW187" s="82">
        <f t="shared" si="89"/>
        <v>0</v>
      </c>
      <c r="AX187" s="82">
        <v>0</v>
      </c>
      <c r="AY187" s="82">
        <f>(-V186*$AY$1)+'Fluxo Consolidado'!AO182</f>
        <v>0</v>
      </c>
      <c r="AZ187" s="84">
        <v>0</v>
      </c>
      <c r="BA187" s="122">
        <v>0</v>
      </c>
      <c r="BB187" s="81">
        <v>0</v>
      </c>
      <c r="BC187" s="81">
        <f>+'Fluxo Consolidado'!AP182</f>
        <v>0</v>
      </c>
      <c r="BD187" s="125">
        <f>+'Fluxo Consolidado'!AQ182</f>
        <v>0</v>
      </c>
      <c r="BE187" s="133"/>
      <c r="BF187" s="78">
        <f t="shared" si="92"/>
        <v>0</v>
      </c>
      <c r="BG187" s="70" t="e">
        <f t="shared" si="93"/>
        <v>#REF!</v>
      </c>
      <c r="BH187" s="70" t="e">
        <f t="shared" si="99"/>
        <v>#REF!</v>
      </c>
      <c r="BI187" s="71" t="e">
        <f t="shared" si="100"/>
        <v>#REF!</v>
      </c>
      <c r="BJ187" s="201" t="e">
        <f t="shared" si="88"/>
        <v>#REF!</v>
      </c>
      <c r="BQ187" s="82">
        <v>0</v>
      </c>
      <c r="BR187" s="223">
        <v>0</v>
      </c>
      <c r="BS187" s="223">
        <v>0</v>
      </c>
      <c r="BT187" s="223">
        <v>0</v>
      </c>
      <c r="BU187" s="223">
        <v>0</v>
      </c>
      <c r="BV187" s="223">
        <v>0</v>
      </c>
      <c r="BW187" s="223">
        <f t="shared" si="90"/>
        <v>0</v>
      </c>
      <c r="BX187" s="83">
        <f t="shared" si="82"/>
        <v>0</v>
      </c>
      <c r="BY187" s="78">
        <f t="shared" si="91"/>
        <v>0</v>
      </c>
      <c r="BZ187" s="70" t="e">
        <f t="shared" si="77"/>
        <v>#REF!</v>
      </c>
      <c r="CA187" s="70" t="e">
        <f t="shared" si="78"/>
        <v>#REF!</v>
      </c>
      <c r="CB187" s="71">
        <v>0</v>
      </c>
      <c r="CC187" s="270">
        <f t="shared" si="80"/>
        <v>7026198.54</v>
      </c>
      <c r="CD187" s="201"/>
      <c r="CE187" s="69" t="e">
        <f t="shared" si="94"/>
        <v>#REF!</v>
      </c>
      <c r="CF187" s="71" t="e">
        <f t="shared" si="95"/>
        <v>#REF!</v>
      </c>
    </row>
    <row r="188" spans="1:84" ht="15" customHeight="1">
      <c r="A188" s="35">
        <f t="shared" si="96"/>
        <v>126</v>
      </c>
      <c r="B188" s="87"/>
      <c r="C188" s="36">
        <v>47088</v>
      </c>
      <c r="D188" s="75">
        <v>0</v>
      </c>
      <c r="E188" s="110">
        <v>0</v>
      </c>
      <c r="F188" s="110">
        <v>0</v>
      </c>
      <c r="G188" s="110">
        <v>0</v>
      </c>
      <c r="H188" s="76">
        <v>0</v>
      </c>
      <c r="I188" s="76">
        <v>0</v>
      </c>
      <c r="J188" s="77">
        <v>0</v>
      </c>
      <c r="K188" s="69">
        <v>0</v>
      </c>
      <c r="L188" s="78">
        <v>0</v>
      </c>
      <c r="M188" s="78">
        <v>0</v>
      </c>
      <c r="N188" s="70">
        <v>0</v>
      </c>
      <c r="O188" s="242">
        <f t="shared" si="98"/>
        <v>0.05</v>
      </c>
      <c r="P188" s="70">
        <v>0</v>
      </c>
      <c r="Q188" s="70">
        <v>0</v>
      </c>
      <c r="R188" s="79">
        <f>'Fluxo Consolidado'!J183</f>
        <v>0</v>
      </c>
      <c r="S188" s="79">
        <f>'Fluxo Consolidado'!K183</f>
        <v>107</v>
      </c>
      <c r="T188" s="79">
        <v>0</v>
      </c>
      <c r="U188" s="79">
        <v>10</v>
      </c>
      <c r="V188" s="79">
        <f t="shared" si="81"/>
        <v>0</v>
      </c>
      <c r="W188" s="79">
        <v>0</v>
      </c>
      <c r="X188" s="79">
        <v>0</v>
      </c>
      <c r="Y188" s="71">
        <v>0</v>
      </c>
      <c r="Z188" s="38">
        <f t="shared" si="97"/>
        <v>0</v>
      </c>
      <c r="AA188" s="80">
        <v>0</v>
      </c>
      <c r="AB188" s="81">
        <v>0</v>
      </c>
      <c r="AC188" s="208">
        <f>'Fluxo Consolidado'!Q183</f>
        <v>0</v>
      </c>
      <c r="AD188" s="81">
        <v>0</v>
      </c>
      <c r="AE188" s="81">
        <v>0</v>
      </c>
      <c r="AF188" s="208">
        <f>'Fluxo Consolidado'!T183</f>
        <v>0</v>
      </c>
      <c r="AG188" s="81">
        <v>0</v>
      </c>
      <c r="AH188" s="246">
        <v>0</v>
      </c>
      <c r="AI188" s="125" t="e">
        <f>+'Fluxo Consolidado'!#REF!</f>
        <v>#REF!</v>
      </c>
      <c r="AJ188" s="82">
        <f>+'Fluxo Consolidado'!X183</f>
        <v>0</v>
      </c>
      <c r="AK188" s="85">
        <v>0</v>
      </c>
      <c r="AL188" s="85">
        <f>+'Fluxo Consolidado'!Y183+'Fluxo Consolidado'!Z183+'Fluxo Consolidado'!AA183</f>
        <v>0</v>
      </c>
      <c r="AM188" s="85">
        <f>+'Fluxo Consolidado'!AB183+'Fluxo Consolidado'!AC183</f>
        <v>0</v>
      </c>
      <c r="AN188" s="103">
        <f>+'Fluxo Consolidado'!AD183</f>
        <v>0</v>
      </c>
      <c r="AO188" s="85">
        <f>+'Fluxo Consolidado'!AF183+'Fluxo Consolidado'!AF183</f>
        <v>0</v>
      </c>
      <c r="AP188" s="83">
        <f>+'Fluxo Consolidado'!AG183</f>
        <v>0</v>
      </c>
      <c r="AQ188" s="119">
        <f>+'Fluxo Consolidado'!AH183</f>
        <v>0</v>
      </c>
      <c r="AR188" s="85">
        <f>+'Fluxo Consolidado'!AI183</f>
        <v>0</v>
      </c>
      <c r="AS188" s="85">
        <f>+'Fluxo Consolidado'!AJ183</f>
        <v>0</v>
      </c>
      <c r="AT188" s="85">
        <v>0</v>
      </c>
      <c r="AU188" s="85">
        <f>+'Fluxo Consolidado'!AK183</f>
        <v>0</v>
      </c>
      <c r="AV188" s="84">
        <f>+'Fluxo Consolidado'!AL183</f>
        <v>0</v>
      </c>
      <c r="AW188" s="82">
        <f t="shared" si="89"/>
        <v>0</v>
      </c>
      <c r="AX188" s="82">
        <v>0</v>
      </c>
      <c r="AY188" s="82">
        <f>(-V187*$AY$1)+'Fluxo Consolidado'!AO183</f>
        <v>0</v>
      </c>
      <c r="AZ188" s="84">
        <v>0</v>
      </c>
      <c r="BA188" s="122">
        <v>0</v>
      </c>
      <c r="BB188" s="81">
        <v>0</v>
      </c>
      <c r="BC188" s="81">
        <f>+'Fluxo Consolidado'!AP183</f>
        <v>0</v>
      </c>
      <c r="BD188" s="125">
        <f>+'Fluxo Consolidado'!AQ183</f>
        <v>0</v>
      </c>
      <c r="BE188" s="133"/>
      <c r="BF188" s="78">
        <f t="shared" si="92"/>
        <v>0</v>
      </c>
      <c r="BG188" s="70" t="e">
        <f t="shared" si="93"/>
        <v>#REF!</v>
      </c>
      <c r="BH188" s="70" t="e">
        <f t="shared" si="99"/>
        <v>#REF!</v>
      </c>
      <c r="BI188" s="71" t="e">
        <f t="shared" si="100"/>
        <v>#REF!</v>
      </c>
      <c r="BJ188" s="201" t="e">
        <f t="shared" si="88"/>
        <v>#REF!</v>
      </c>
      <c r="BQ188" s="82">
        <v>0</v>
      </c>
      <c r="BR188" s="223">
        <v>0</v>
      </c>
      <c r="BS188" s="223">
        <v>0</v>
      </c>
      <c r="BT188" s="223">
        <v>0</v>
      </c>
      <c r="BU188" s="223">
        <v>0</v>
      </c>
      <c r="BV188" s="223">
        <v>0</v>
      </c>
      <c r="BW188" s="223">
        <f t="shared" si="90"/>
        <v>0</v>
      </c>
      <c r="BX188" s="83">
        <f t="shared" si="82"/>
        <v>0</v>
      </c>
      <c r="BY188" s="78">
        <f t="shared" si="91"/>
        <v>0</v>
      </c>
      <c r="BZ188" s="70" t="e">
        <f t="shared" si="77"/>
        <v>#REF!</v>
      </c>
      <c r="CA188" s="70" t="e">
        <f t="shared" si="78"/>
        <v>#REF!</v>
      </c>
      <c r="CB188" s="71">
        <v>0</v>
      </c>
      <c r="CC188" s="270">
        <f t="shared" si="80"/>
        <v>7026198.54</v>
      </c>
      <c r="CD188" s="201"/>
      <c r="CE188" s="69" t="e">
        <f t="shared" si="94"/>
        <v>#REF!</v>
      </c>
      <c r="CF188" s="71" t="e">
        <f t="shared" si="95"/>
        <v>#REF!</v>
      </c>
    </row>
    <row r="189" spans="1:84" ht="15" customHeight="1">
      <c r="A189" s="35">
        <f t="shared" si="96"/>
        <v>127</v>
      </c>
      <c r="B189" s="87"/>
      <c r="C189" s="36">
        <v>47119</v>
      </c>
      <c r="D189" s="75">
        <v>0</v>
      </c>
      <c r="E189" s="110">
        <v>0</v>
      </c>
      <c r="F189" s="110">
        <v>0</v>
      </c>
      <c r="G189" s="110">
        <v>0</v>
      </c>
      <c r="H189" s="76">
        <v>0</v>
      </c>
      <c r="I189" s="76">
        <v>0</v>
      </c>
      <c r="J189" s="77">
        <v>0</v>
      </c>
      <c r="K189" s="69">
        <v>0</v>
      </c>
      <c r="L189" s="78">
        <v>0</v>
      </c>
      <c r="M189" s="78">
        <v>0</v>
      </c>
      <c r="N189" s="70">
        <v>0</v>
      </c>
      <c r="O189" s="242">
        <f t="shared" si="98"/>
        <v>0.05</v>
      </c>
      <c r="P189" s="70">
        <v>0</v>
      </c>
      <c r="Q189" s="70">
        <v>0</v>
      </c>
      <c r="R189" s="79">
        <f>'Fluxo Consolidado'!J184</f>
        <v>0</v>
      </c>
      <c r="S189" s="79">
        <f>'Fluxo Consolidado'!K184</f>
        <v>108</v>
      </c>
      <c r="T189" s="79">
        <v>0</v>
      </c>
      <c r="U189" s="79">
        <v>10</v>
      </c>
      <c r="V189" s="79">
        <f t="shared" si="81"/>
        <v>0</v>
      </c>
      <c r="W189" s="79">
        <v>0</v>
      </c>
      <c r="X189" s="79">
        <v>0</v>
      </c>
      <c r="Y189" s="71">
        <v>0</v>
      </c>
      <c r="Z189" s="38">
        <f t="shared" si="97"/>
        <v>0</v>
      </c>
      <c r="AA189" s="80">
        <v>0</v>
      </c>
      <c r="AB189" s="81">
        <v>0</v>
      </c>
      <c r="AC189" s="208">
        <f>'Fluxo Consolidado'!Q184</f>
        <v>0</v>
      </c>
      <c r="AD189" s="81">
        <v>0</v>
      </c>
      <c r="AE189" s="81">
        <v>0</v>
      </c>
      <c r="AF189" s="208">
        <f>'Fluxo Consolidado'!T184</f>
        <v>0</v>
      </c>
      <c r="AG189" s="81">
        <v>0</v>
      </c>
      <c r="AH189" s="246">
        <v>0</v>
      </c>
      <c r="AI189" s="125" t="e">
        <f>+'Fluxo Consolidado'!#REF!</f>
        <v>#REF!</v>
      </c>
      <c r="AJ189" s="82">
        <v>0</v>
      </c>
      <c r="AK189" s="85">
        <v>0</v>
      </c>
      <c r="AL189" s="85">
        <v>0</v>
      </c>
      <c r="AM189" s="85">
        <v>0</v>
      </c>
      <c r="AN189" s="103"/>
      <c r="AO189" s="85">
        <v>0</v>
      </c>
      <c r="AP189" s="83"/>
      <c r="AQ189" s="119">
        <f>+'Fluxo Consolidado'!AH184</f>
        <v>0</v>
      </c>
      <c r="AR189" s="85">
        <f>+'Fluxo Consolidado'!AI184</f>
        <v>0</v>
      </c>
      <c r="AS189" s="85">
        <f>+'Fluxo Consolidado'!AJ184</f>
        <v>0</v>
      </c>
      <c r="AT189" s="85">
        <v>0</v>
      </c>
      <c r="AU189" s="85">
        <f>+'Fluxo Consolidado'!AK184</f>
        <v>0</v>
      </c>
      <c r="AV189" s="84">
        <f>+'Fluxo Consolidado'!AL184</f>
        <v>0</v>
      </c>
      <c r="AW189" s="82">
        <f t="shared" si="89"/>
        <v>0</v>
      </c>
      <c r="AX189" s="82">
        <v>0</v>
      </c>
      <c r="AY189" s="82">
        <f>(-V188*$AY$1)+'Fluxo Consolidado'!AO184</f>
        <v>0</v>
      </c>
      <c r="AZ189" s="84">
        <v>0</v>
      </c>
      <c r="BA189" s="122">
        <v>0</v>
      </c>
      <c r="BB189" s="81">
        <v>0</v>
      </c>
      <c r="BC189" s="81">
        <v>0</v>
      </c>
      <c r="BD189" s="125">
        <v>0</v>
      </c>
      <c r="BE189" s="133"/>
      <c r="BF189" s="78">
        <f t="shared" si="92"/>
        <v>0</v>
      </c>
      <c r="BG189" s="70" t="e">
        <f t="shared" si="93"/>
        <v>#REF!</v>
      </c>
      <c r="BH189" s="70" t="e">
        <f t="shared" si="99"/>
        <v>#REF!</v>
      </c>
      <c r="BI189" s="71" t="e">
        <f t="shared" si="100"/>
        <v>#REF!</v>
      </c>
      <c r="BJ189" s="201" t="e">
        <f t="shared" si="88"/>
        <v>#REF!</v>
      </c>
      <c r="BQ189" s="82">
        <v>0</v>
      </c>
      <c r="BR189" s="223">
        <v>0</v>
      </c>
      <c r="BS189" s="223">
        <v>0</v>
      </c>
      <c r="BT189" s="223">
        <v>0</v>
      </c>
      <c r="BU189" s="223">
        <f>-V188</f>
        <v>0</v>
      </c>
      <c r="BV189" s="223">
        <f>-BU188</f>
        <v>0</v>
      </c>
      <c r="BW189" s="223">
        <f>SUM(BQ189:BU189)</f>
        <v>0</v>
      </c>
      <c r="BX189" s="83">
        <f t="shared" si="82"/>
        <v>0</v>
      </c>
      <c r="BY189" s="78">
        <f t="shared" si="91"/>
        <v>0</v>
      </c>
      <c r="BZ189" s="70" t="e">
        <f t="shared" si="77"/>
        <v>#REF!</v>
      </c>
      <c r="CA189" s="70" t="e">
        <f t="shared" si="78"/>
        <v>#REF!</v>
      </c>
      <c r="CB189" s="71">
        <v>0</v>
      </c>
      <c r="CC189" s="270">
        <f t="shared" si="80"/>
        <v>7026198.54</v>
      </c>
      <c r="CD189" s="201"/>
      <c r="CE189" s="69" t="e">
        <f t="shared" si="94"/>
        <v>#REF!</v>
      </c>
      <c r="CF189" s="71" t="e">
        <f t="shared" si="95"/>
        <v>#REF!</v>
      </c>
    </row>
    <row r="190" spans="1:84" ht="15" customHeight="1" thickBot="1">
      <c r="A190" s="39">
        <f>1+A189</f>
        <v>128</v>
      </c>
      <c r="B190" s="40"/>
      <c r="C190" s="36">
        <v>47150</v>
      </c>
      <c r="D190" s="90">
        <v>0</v>
      </c>
      <c r="E190" s="111">
        <v>0</v>
      </c>
      <c r="F190" s="111">
        <v>0</v>
      </c>
      <c r="G190" s="111">
        <v>0</v>
      </c>
      <c r="H190" s="91">
        <v>0</v>
      </c>
      <c r="I190" s="91">
        <v>0</v>
      </c>
      <c r="J190" s="92">
        <v>0</v>
      </c>
      <c r="K190" s="72">
        <v>0</v>
      </c>
      <c r="L190" s="93">
        <v>0</v>
      </c>
      <c r="M190" s="93">
        <v>0</v>
      </c>
      <c r="N190" s="73">
        <v>0</v>
      </c>
      <c r="O190" s="243">
        <f>+O189</f>
        <v>0.05</v>
      </c>
      <c r="P190" s="73">
        <v>0</v>
      </c>
      <c r="Q190" s="73">
        <v>0</v>
      </c>
      <c r="R190" s="94">
        <f>'Fluxo Consolidado'!J185</f>
        <v>0</v>
      </c>
      <c r="S190" s="94">
        <f>'Fluxo Consolidado'!K185</f>
        <v>109</v>
      </c>
      <c r="T190" s="94">
        <v>0</v>
      </c>
      <c r="U190" s="94"/>
      <c r="V190" s="94"/>
      <c r="W190" s="94">
        <v>0</v>
      </c>
      <c r="X190" s="94">
        <v>0</v>
      </c>
      <c r="Y190" s="74">
        <v>0</v>
      </c>
      <c r="Z190" s="42">
        <f t="shared" si="97"/>
        <v>0</v>
      </c>
      <c r="AA190" s="95">
        <v>0</v>
      </c>
      <c r="AB190" s="96">
        <v>0</v>
      </c>
      <c r="AC190" s="208">
        <f>'Fluxo Consolidado'!Q185</f>
        <v>0</v>
      </c>
      <c r="AD190" s="96">
        <v>0</v>
      </c>
      <c r="AE190" s="96">
        <v>0</v>
      </c>
      <c r="AF190" s="208">
        <f>'Fluxo Consolidado'!T185</f>
        <v>0</v>
      </c>
      <c r="AG190" s="96">
        <v>0</v>
      </c>
      <c r="AH190" s="247">
        <v>0</v>
      </c>
      <c r="AI190" s="126" t="e">
        <f>+'Fluxo Consolidado'!#REF!</f>
        <v>#REF!</v>
      </c>
      <c r="AJ190" s="97">
        <v>0</v>
      </c>
      <c r="AK190" s="100">
        <v>0</v>
      </c>
      <c r="AL190" s="100">
        <v>0</v>
      </c>
      <c r="AM190" s="100"/>
      <c r="AN190" s="104">
        <v>0</v>
      </c>
      <c r="AO190" s="100">
        <v>0</v>
      </c>
      <c r="AP190" s="98">
        <v>0</v>
      </c>
      <c r="AQ190" s="120">
        <f>IFERROR((($V$8*$AQ$2)-SUM($AQ$10:AQ189))*(BF190/SUM(BF190:$BF$190)),0)</f>
        <v>0</v>
      </c>
      <c r="AR190" s="100">
        <v>0</v>
      </c>
      <c r="AS190" s="100">
        <v>0</v>
      </c>
      <c r="AT190" s="100">
        <v>0</v>
      </c>
      <c r="AU190" s="100">
        <v>0</v>
      </c>
      <c r="AV190" s="99"/>
      <c r="AW190" s="97">
        <f>IFERROR((($V$8*$AW$2)-SUM($AW$10:AW189))*(BF190/SUM(BF190:$BF$190)),0)</f>
        <v>0</v>
      </c>
      <c r="AX190" s="97">
        <v>0</v>
      </c>
      <c r="AY190" s="97">
        <f>(-V189*$AY$1)+'Fluxo Consolidado'!AO185</f>
        <v>0</v>
      </c>
      <c r="AZ190" s="99">
        <v>0</v>
      </c>
      <c r="BA190" s="123">
        <v>0</v>
      </c>
      <c r="BB190" s="96">
        <v>0</v>
      </c>
      <c r="BC190" s="96">
        <v>0</v>
      </c>
      <c r="BD190" s="126">
        <v>0</v>
      </c>
      <c r="BE190" s="133"/>
      <c r="BF190" s="93">
        <f>V190+Y190+W190</f>
        <v>0</v>
      </c>
      <c r="BG190" s="73" t="e">
        <f t="shared" si="93"/>
        <v>#REF!</v>
      </c>
      <c r="BH190" s="73" t="e">
        <f t="shared" ref="BH190" si="101">SUM(BF190:BG190)</f>
        <v>#REF!</v>
      </c>
      <c r="BI190" s="74" t="e">
        <f>+BH190+BI189</f>
        <v>#REF!</v>
      </c>
      <c r="BJ190" s="201" t="e">
        <f t="shared" si="88"/>
        <v>#REF!</v>
      </c>
      <c r="BQ190" s="97">
        <v>0</v>
      </c>
      <c r="BR190" s="100">
        <v>0</v>
      </c>
      <c r="BS190" s="100">
        <v>0</v>
      </c>
      <c r="BT190" s="100">
        <v>0</v>
      </c>
      <c r="BU190" s="100">
        <f>-V189</f>
        <v>0</v>
      </c>
      <c r="BV190" s="100">
        <f>-BU189</f>
        <v>0</v>
      </c>
      <c r="BW190" s="100">
        <f>SUM(BQ190:BT190)</f>
        <v>0</v>
      </c>
      <c r="BX190" s="98">
        <f t="shared" si="82"/>
        <v>0</v>
      </c>
      <c r="BY190" s="93">
        <f t="shared" si="91"/>
        <v>0</v>
      </c>
      <c r="BZ190" s="73" t="e">
        <f t="shared" si="77"/>
        <v>#REF!</v>
      </c>
      <c r="CA190" s="73" t="e">
        <f t="shared" si="78"/>
        <v>#REF!</v>
      </c>
      <c r="CB190" s="74">
        <v>0</v>
      </c>
      <c r="CC190" s="270">
        <f t="shared" si="80"/>
        <v>7026198.54</v>
      </c>
      <c r="CD190" s="201"/>
      <c r="CE190" s="72" t="e">
        <f t="shared" si="94"/>
        <v>#REF!</v>
      </c>
      <c r="CF190" s="74" t="e">
        <f t="shared" si="95"/>
        <v>#REF!</v>
      </c>
    </row>
    <row r="192" spans="1:84" ht="15" customHeight="1">
      <c r="CB192" s="86"/>
    </row>
    <row r="193" spans="80:80" ht="15" customHeight="1">
      <c r="CB193" s="217"/>
    </row>
    <row r="194" spans="80:80" ht="15" customHeight="1">
      <c r="CB194" s="218"/>
    </row>
  </sheetData>
  <mergeCells count="14">
    <mergeCell ref="CE7:CF7"/>
    <mergeCell ref="Z7:AI7"/>
    <mergeCell ref="AZ7:BD7"/>
    <mergeCell ref="A4:C4"/>
    <mergeCell ref="D7:J7"/>
    <mergeCell ref="K7:Y7"/>
    <mergeCell ref="AJ7:AP7"/>
    <mergeCell ref="BQ7:BX7"/>
    <mergeCell ref="BY7:CB7"/>
    <mergeCell ref="A8:C8"/>
    <mergeCell ref="O9:P9"/>
    <mergeCell ref="BF7:BI7"/>
    <mergeCell ref="BK7:BO7"/>
    <mergeCell ref="AQ7:AU7"/>
  </mergeCells>
  <conditionalFormatting sqref="J42:J57 P48:P58 V10:X58 AD10:AF58 D51:AC60 D61:M62 U61:X62 AD61:AF62 AH61:AH62 D10:AH50 AB56:AH60 AD51:AH55 A10:C190 O61:S62 Z61:AA62 BE61:BI62 BJ10:BP190 AJ61:AK62 AJ10:BI60 D63:BI190">
    <cfRule type="expression" dxfId="70" priority="2932">
      <formula>#REF!=SMALL(#REF!,1)</formula>
    </cfRule>
  </conditionalFormatting>
  <conditionalFormatting sqref="N61:N62">
    <cfRule type="expression" dxfId="69" priority="171">
      <formula>#REF!=SMALL(#REF!,1)</formula>
    </cfRule>
  </conditionalFormatting>
  <conditionalFormatting sqref="T61:T62">
    <cfRule type="expression" dxfId="68" priority="164">
      <formula>#REF!=SMALL(#REF!,1)</formula>
    </cfRule>
  </conditionalFormatting>
  <conditionalFormatting sqref="Y61:Y62">
    <cfRule type="expression" dxfId="67" priority="157">
      <formula>#REF!=SMALL(#REF!,1)</formula>
    </cfRule>
  </conditionalFormatting>
  <conditionalFormatting sqref="AB61:AC62">
    <cfRule type="expression" dxfId="66" priority="150">
      <formula>#REF!=SMALL(#REF!,1)</formula>
    </cfRule>
  </conditionalFormatting>
  <conditionalFormatting sqref="AG61:AG62">
    <cfRule type="expression" dxfId="65" priority="143">
      <formula>#REF!=SMALL(#REF!,1)</formula>
    </cfRule>
  </conditionalFormatting>
  <conditionalFormatting sqref="AL61:AP62">
    <cfRule type="expression" dxfId="64" priority="136">
      <formula>#REF!=SMALL(#REF!,1)</formula>
    </cfRule>
  </conditionalFormatting>
  <conditionalFormatting sqref="AQ61:AU62">
    <cfRule type="expression" dxfId="63" priority="129">
      <formula>#REF!=SMALL(#REF!,1)</formula>
    </cfRule>
  </conditionalFormatting>
  <conditionalFormatting sqref="AV61:AY62">
    <cfRule type="expression" dxfId="62" priority="122">
      <formula>#REF!=SMALL(#REF!,1)</formula>
    </cfRule>
  </conditionalFormatting>
  <conditionalFormatting sqref="BC61:BC62">
    <cfRule type="expression" dxfId="61" priority="115">
      <formula>#REF!=SMALL(#REF!,1)</formula>
    </cfRule>
  </conditionalFormatting>
  <conditionalFormatting sqref="BD61:BD62">
    <cfRule type="expression" dxfId="60" priority="108">
      <formula>#REF!=SMALL(#REF!,1)</formula>
    </cfRule>
  </conditionalFormatting>
  <conditionalFormatting sqref="BB61:BB62">
    <cfRule type="expression" dxfId="59" priority="101">
      <formula>#REF!=SMALL(#REF!,1)</formula>
    </cfRule>
  </conditionalFormatting>
  <conditionalFormatting sqref="AZ61:AZ62">
    <cfRule type="expression" dxfId="58" priority="94">
      <formula>#REF!=SMALL(#REF!,1)</formula>
    </cfRule>
  </conditionalFormatting>
  <conditionalFormatting sqref="BA61:BA62">
    <cfRule type="expression" dxfId="57" priority="87">
      <formula>#REF!=SMALL(#REF!,1)</formula>
    </cfRule>
  </conditionalFormatting>
  <conditionalFormatting sqref="BY63:CB80 BY82:CB190">
    <cfRule type="expression" dxfId="56" priority="73">
      <formula>#REF!=SMALL(#REF!,1)</formula>
    </cfRule>
  </conditionalFormatting>
  <conditionalFormatting sqref="BQ64:BX65 BQ82:BX190 BQ67:BX80 BQ66:BU66 BW66:BX66">
    <cfRule type="expression" dxfId="55" priority="66">
      <formula>#REF!=SMALL(#REF!,1)</formula>
    </cfRule>
  </conditionalFormatting>
  <conditionalFormatting sqref="BY10:CB62">
    <cfRule type="expression" dxfId="54" priority="52">
      <formula>#REF!=SMALL(#REF!,1)</formula>
    </cfRule>
  </conditionalFormatting>
  <conditionalFormatting sqref="BQ56:BX62">
    <cfRule type="expression" dxfId="53" priority="45">
      <formula>#REF!=SMALL(#REF!,1)</formula>
    </cfRule>
  </conditionalFormatting>
  <conditionalFormatting sqref="BQ10:BX55">
    <cfRule type="expression" dxfId="52" priority="38">
      <formula>#REF!=SMALL(#REF!,1)</formula>
    </cfRule>
  </conditionalFormatting>
  <conditionalFormatting sqref="CE10:CF80 CE82:CF190">
    <cfRule type="expression" dxfId="51" priority="24">
      <formula>#REF!=SMALL(#REF!,1)</formula>
    </cfRule>
  </conditionalFormatting>
  <conditionalFormatting sqref="CC63:CD190">
    <cfRule type="expression" dxfId="50" priority="23">
      <formula>#REF!=SMALL(#REF!,1)</formula>
    </cfRule>
  </conditionalFormatting>
  <conditionalFormatting sqref="CC10:CD62">
    <cfRule type="expression" dxfId="49" priority="22">
      <formula>#REF!=SMALL(#REF!,1)</formula>
    </cfRule>
  </conditionalFormatting>
  <conditionalFormatting sqref="AI10:AI62">
    <cfRule type="expression" dxfId="48" priority="15">
      <formula>#REF!=SMALL(#REF!,1)</formula>
    </cfRule>
  </conditionalFormatting>
  <conditionalFormatting sqref="N61:N62 T61:T62 Y61:Y62 AB61:AC62 AG61:AG62 AL61:BD62">
    <cfRule type="expression" dxfId="47" priority="3481">
      <formula>$B61="FIM CARTEIRA"</formula>
    </cfRule>
    <cfRule type="expression" dxfId="46" priority="3482">
      <formula>$B61="INÍCIO OBRA"</formula>
    </cfRule>
    <cfRule type="expression" dxfId="45" priority="3483">
      <formula>$B61="FIM OBRA"</formula>
    </cfRule>
    <cfRule type="expression" dxfId="44" priority="3484">
      <formula>$BB61=SMALL($BB$10:$BB$190,1)</formula>
    </cfRule>
    <cfRule type="expression" dxfId="43" priority="3485">
      <formula>$B61="LANÇAMENTO"</formula>
    </cfRule>
    <cfRule type="expression" dxfId="42" priority="3486">
      <formula>$B61="ACOMPANHAMENTO"</formula>
    </cfRule>
  </conditionalFormatting>
  <conditionalFormatting sqref="A10:AH60 U61:X62 AD61:AF62 AH61:AH62 A61:M62 O61:S62 Z61:AA62 BE61:BI62 CE82:CF190 AJ61:AK62 AJ10:BI60 A63:BI190 BY63:CB80 BQ10:CB62 CE10:CF80 AI10:AI62 BQ64:BX65 BQ82:CB190 BQ67:BX80 BQ66:BU66 BW66:BX66">
    <cfRule type="expression" dxfId="41" priority="3559">
      <formula>$B10="FIM CARTEIRA"</formula>
    </cfRule>
    <cfRule type="expression" dxfId="40" priority="3560">
      <formula>$B10="INÍCIO OBRA"</formula>
    </cfRule>
    <cfRule type="expression" dxfId="39" priority="3561">
      <formula>$B10="FIM OBRA"</formula>
    </cfRule>
    <cfRule type="expression" dxfId="38" priority="3562">
      <formula>$BI10=SMALL($BI$10:$BI$190,1)</formula>
    </cfRule>
    <cfRule type="expression" dxfId="37" priority="3563">
      <formula>$B10="LANÇAMENTO"</formula>
    </cfRule>
    <cfRule type="expression" dxfId="36" priority="3564">
      <formula>$B10="ACOMPANHAMENTO"</formula>
    </cfRule>
  </conditionalFormatting>
  <conditionalFormatting sqref="BQ63:BX63">
    <cfRule type="expression" dxfId="35" priority="8">
      <formula>#REF!=SMALL(#REF!,1)</formula>
    </cfRule>
  </conditionalFormatting>
  <conditionalFormatting sqref="BQ63:BX63">
    <cfRule type="expression" dxfId="34" priority="9">
      <formula>$B63="FIM CARTEIRA"</formula>
    </cfRule>
    <cfRule type="expression" dxfId="33" priority="10">
      <formula>$B63="INÍCIO OBRA"</formula>
    </cfRule>
    <cfRule type="expression" dxfId="32" priority="11">
      <formula>$B63="FIM OBRA"</formula>
    </cfRule>
    <cfRule type="expression" dxfId="31" priority="12">
      <formula>$BI63=SMALL($BI$10:$BI$190,1)</formula>
    </cfRule>
    <cfRule type="expression" dxfId="30" priority="13">
      <formula>$B63="LANÇAMENTO"</formula>
    </cfRule>
    <cfRule type="expression" dxfId="29" priority="14">
      <formula>$B63="ACOMPANHAMENTO"</formula>
    </cfRule>
  </conditionalFormatting>
  <conditionalFormatting sqref="BV66">
    <cfRule type="expression" dxfId="28" priority="1">
      <formula>#REF!=SMALL(#REF!,1)</formula>
    </cfRule>
  </conditionalFormatting>
  <conditionalFormatting sqref="BV66">
    <cfRule type="expression" dxfId="27" priority="2">
      <formula>$B66="FIM CARTEIRA"</formula>
    </cfRule>
    <cfRule type="expression" dxfId="26" priority="3">
      <formula>$B66="INÍCIO OBRA"</formula>
    </cfRule>
    <cfRule type="expression" dxfId="25" priority="4">
      <formula>$B66="FIM OBRA"</formula>
    </cfRule>
    <cfRule type="expression" dxfId="24" priority="5">
      <formula>#REF!=SMALL(#REF!,1)</formula>
    </cfRule>
    <cfRule type="expression" dxfId="23" priority="6">
      <formula>$B66="LANÇAMENTO"</formula>
    </cfRule>
    <cfRule type="expression" dxfId="22" priority="7">
      <formula>$B66="ACOMPANHAMENTO"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Y8 T65:T180 AJ8:AO8 W8 AR8:AZ8 V24:V51 Z63:Z190 V63 BC8:BD8 Z10:Z61 AA8:AB8 BW186:BW189 BX185:BX190 BW8 AG8:AH8 BX64:BX184 BW63:BW68 BW10:BW61 V53:V61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673E-905B-4DE4-9CFC-14FCE07D7DC6}">
  <dimension ref="B2:L24"/>
  <sheetViews>
    <sheetView showGridLines="0" workbookViewId="0">
      <selection activeCell="K11" sqref="K11"/>
    </sheetView>
  </sheetViews>
  <sheetFormatPr defaultRowHeight="15"/>
  <cols>
    <col min="3" max="3" width="22.28515625" customWidth="1"/>
    <col min="4" max="4" width="20.42578125" customWidth="1"/>
    <col min="5" max="5" width="16" customWidth="1"/>
    <col min="6" max="6" width="19.140625" customWidth="1"/>
    <col min="8" max="8" width="10.85546875" customWidth="1"/>
    <col min="9" max="12" width="20" customWidth="1"/>
  </cols>
  <sheetData>
    <row r="2" spans="2:12" ht="15.75" thickBot="1"/>
    <row r="3" spans="2:12" ht="15.75" thickBot="1">
      <c r="B3" s="565" t="s">
        <v>21</v>
      </c>
      <c r="C3" s="566"/>
      <c r="D3" s="566"/>
      <c r="E3" s="566"/>
      <c r="F3" s="567"/>
      <c r="H3" s="565" t="s">
        <v>118</v>
      </c>
      <c r="I3" s="566"/>
      <c r="J3" s="566"/>
      <c r="K3" s="566"/>
      <c r="L3" s="567"/>
    </row>
    <row r="4" spans="2:12" ht="15.75" thickBot="1">
      <c r="B4" s="66"/>
      <c r="C4" s="63">
        <f>SUM(C6:C24)</f>
        <v>375452251.1730485</v>
      </c>
      <c r="D4" s="63">
        <f>SUM(D6:D24)</f>
        <v>-169815330.18958646</v>
      </c>
      <c r="E4" s="63">
        <f>+C4+D4</f>
        <v>205636920.98346204</v>
      </c>
      <c r="F4" s="65"/>
      <c r="H4" s="66"/>
      <c r="I4" s="63">
        <f>SUM(I6:I24)</f>
        <v>375452251.1730485</v>
      </c>
      <c r="J4" s="63">
        <f>SUM(J6:J24)</f>
        <v>-215089301.82367808</v>
      </c>
      <c r="K4" s="63">
        <f>+I4+J4</f>
        <v>160362949.34937042</v>
      </c>
      <c r="L4" s="65"/>
    </row>
    <row r="5" spans="2:12" ht="15.75" thickBot="1">
      <c r="B5" s="26" t="s">
        <v>35</v>
      </c>
      <c r="C5" s="29" t="s">
        <v>33</v>
      </c>
      <c r="D5" s="29" t="s">
        <v>10</v>
      </c>
      <c r="E5" s="29" t="s">
        <v>34</v>
      </c>
      <c r="F5" s="28" t="s">
        <v>11</v>
      </c>
      <c r="H5" s="26" t="s">
        <v>35</v>
      </c>
      <c r="I5" s="29" t="s">
        <v>33</v>
      </c>
      <c r="J5" s="29" t="s">
        <v>10</v>
      </c>
      <c r="K5" s="29" t="s">
        <v>34</v>
      </c>
      <c r="L5" s="28" t="s">
        <v>11</v>
      </c>
    </row>
    <row r="6" spans="2:12">
      <c r="B6" s="166">
        <v>2014</v>
      </c>
      <c r="C6" s="172">
        <f>SUMIFS('Fluxo Consolidado'!$AS$5:$AS$186,'Fluxo Consolidado'!$C$5:$C$186,"&gt;="&amp;DATE(B6,1,1),'Fluxo Consolidado'!$C$5:$C$186,"&lt;="&amp;DATE(B6,12,31))</f>
        <v>1964633.9600000004</v>
      </c>
      <c r="D6" s="172">
        <f>SUMIFS('Fluxo Consolidado'!$AT$5:$AT$186,'Fluxo Consolidado'!$C$5:$C$186,"&gt;="&amp;DATE(B6,1,1),'Fluxo Consolidado'!$C$5:$C$186,"&lt;="&amp;DATE(B6,12,31))</f>
        <v>-1896334.17</v>
      </c>
      <c r="E6" s="172">
        <f>SUM(C6:D6)</f>
        <v>68299.790000000503</v>
      </c>
      <c r="F6" s="167">
        <f>E6</f>
        <v>68299.790000000503</v>
      </c>
      <c r="H6" s="166">
        <v>2014</v>
      </c>
      <c r="I6" s="172">
        <f>C6</f>
        <v>1964633.9600000004</v>
      </c>
      <c r="J6" s="172">
        <f>SUMIFS('Fluxo Consolidado'!$BG$5:$BG$186,'Fluxo Consolidado'!$C$5:$C$186,"&gt;="&amp;DATE(B6,1,1),'Fluxo Consolidado'!$C$5:$C$186,"&lt;="&amp;DATE(B6,12,31))+SUMIFS('Fluxo Consolidado'!$BD$5:$BD$186,'Fluxo Consolidado'!$C$5:$C$186,"&gt;="&amp;DATE(B6,1,1),'Fluxo Consolidado'!$C$5:$C$186,"&lt;="&amp;DATE(B6,12,31))</f>
        <v>-1896334.17</v>
      </c>
      <c r="K6" s="172">
        <f>SUM(I6:J6)</f>
        <v>68299.790000000503</v>
      </c>
      <c r="L6" s="167">
        <f>K6</f>
        <v>68299.790000000503</v>
      </c>
    </row>
    <row r="7" spans="2:12">
      <c r="B7" s="168">
        <v>2015</v>
      </c>
      <c r="C7" s="173">
        <f>SUMIFS('Fluxo Consolidado'!$AS$5:$AS$186,'Fluxo Consolidado'!$C$5:$C$186,"&gt;="&amp;DATE(B7,1,1),'Fluxo Consolidado'!$C$5:$C$186,"&lt;="&amp;DATE(B7,12,31))</f>
        <v>5679311.6099999994</v>
      </c>
      <c r="D7" s="173">
        <f>SUMIFS('Fluxo Consolidado'!$AT$5:$AT$186,'Fluxo Consolidado'!$C$5:$C$186,"&gt;="&amp;DATE(B7,1,1),'Fluxo Consolidado'!$C$5:$C$186,"&lt;="&amp;DATE(B7,12,31))</f>
        <v>-5692558.54</v>
      </c>
      <c r="E7" s="173">
        <f t="shared" ref="E7:E24" si="0">SUM(C7:D7)</f>
        <v>-13246.930000000633</v>
      </c>
      <c r="F7" s="169">
        <f>+E7+F6</f>
        <v>55052.85999999987</v>
      </c>
      <c r="H7" s="168">
        <v>2015</v>
      </c>
      <c r="I7" s="173">
        <f t="shared" ref="I7:I20" si="1">C7</f>
        <v>5679311.6099999994</v>
      </c>
      <c r="J7" s="173">
        <f>SUMIFS('Fluxo Consolidado'!$BG$5:$BG$186,'Fluxo Consolidado'!$C$5:$C$186,"&gt;="&amp;DATE(B7,1,1),'Fluxo Consolidado'!$C$5:$C$186,"&lt;="&amp;DATE(B7,12,31))+SUMIFS('Fluxo Consolidado'!$BD$5:$BD$186,'Fluxo Consolidado'!$C$5:$C$186,"&gt;="&amp;DATE(B7,1,1),'Fluxo Consolidado'!$C$5:$C$186,"&lt;="&amp;DATE(B7,12,31))</f>
        <v>-5692558.54</v>
      </c>
      <c r="K7" s="173">
        <f t="shared" ref="K7:K24" si="2">SUM(I7:J7)</f>
        <v>-13246.930000000633</v>
      </c>
      <c r="L7" s="169">
        <f>+K7+L6</f>
        <v>55052.85999999987</v>
      </c>
    </row>
    <row r="8" spans="2:12">
      <c r="B8" s="168">
        <v>2016</v>
      </c>
      <c r="C8" s="173">
        <f>SUMIFS('Fluxo Consolidado'!$AS$5:$AS$186,'Fluxo Consolidado'!$C$5:$C$186,"&gt;="&amp;DATE(B8,1,1),'Fluxo Consolidado'!$C$5:$C$186,"&lt;="&amp;DATE(B8,12,31))</f>
        <v>10104710.630000001</v>
      </c>
      <c r="D8" s="173">
        <f>SUMIFS('Fluxo Consolidado'!$AT$5:$AT$186,'Fluxo Consolidado'!$C$5:$C$186,"&gt;="&amp;DATE(B8,1,1),'Fluxo Consolidado'!$C$5:$C$186,"&lt;="&amp;DATE(B8,12,31))</f>
        <v>-10062564.489999998</v>
      </c>
      <c r="E8" s="173">
        <f t="shared" si="0"/>
        <v>42146.140000002459</v>
      </c>
      <c r="F8" s="169">
        <f t="shared" ref="F8:F24" si="3">E8+F7</f>
        <v>97199.000000002328</v>
      </c>
      <c r="H8" s="168">
        <v>2016</v>
      </c>
      <c r="I8" s="173">
        <f t="shared" si="1"/>
        <v>10104710.630000001</v>
      </c>
      <c r="J8" s="173">
        <f>SUMIFS('Fluxo Consolidado'!$BG$5:$BG$186,'Fluxo Consolidado'!$C$5:$C$186,"&gt;="&amp;DATE(B8,1,1),'Fluxo Consolidado'!$C$5:$C$186,"&lt;="&amp;DATE(B8,12,31))+SUMIFS('Fluxo Consolidado'!$BD$5:$BD$186,'Fluxo Consolidado'!$C$5:$C$186,"&gt;="&amp;DATE(B8,1,1),'Fluxo Consolidado'!$C$5:$C$186,"&lt;="&amp;DATE(B8,12,31))</f>
        <v>-10062564.489999998</v>
      </c>
      <c r="K8" s="173">
        <f t="shared" si="2"/>
        <v>42146.140000002459</v>
      </c>
      <c r="L8" s="169">
        <f t="shared" ref="L8:L24" si="4">K8+L7</f>
        <v>97199.000000002328</v>
      </c>
    </row>
    <row r="9" spans="2:12">
      <c r="B9" s="168">
        <v>2017</v>
      </c>
      <c r="C9" s="173">
        <f>SUMIFS('Fluxo Consolidado'!$AS$5:$AS$186,'Fluxo Consolidado'!$C$5:$C$186,"&gt;="&amp;DATE(B9,1,1),'Fluxo Consolidado'!$C$5:$C$186,"&lt;="&amp;DATE(B9,12,31))</f>
        <v>19056114.219999999</v>
      </c>
      <c r="D9" s="173">
        <f>SUMIFS('Fluxo Consolidado'!$AT$5:$AT$186,'Fluxo Consolidado'!$C$5:$C$186,"&gt;="&amp;DATE(B9,1,1),'Fluxo Consolidado'!$C$5:$C$186,"&lt;="&amp;DATE(B9,12,31))</f>
        <v>-19083899.969999999</v>
      </c>
      <c r="E9" s="173">
        <f t="shared" si="0"/>
        <v>-27785.75</v>
      </c>
      <c r="F9" s="169">
        <f t="shared" si="3"/>
        <v>69413.250000002328</v>
      </c>
      <c r="H9" s="168">
        <v>2017</v>
      </c>
      <c r="I9" s="173">
        <f t="shared" si="1"/>
        <v>19056114.219999999</v>
      </c>
      <c r="J9" s="173">
        <f>SUMIFS('Fluxo Consolidado'!$BG$5:$BG$186,'Fluxo Consolidado'!$C$5:$C$186,"&gt;="&amp;DATE(B9,1,1),'Fluxo Consolidado'!$C$5:$C$186,"&lt;="&amp;DATE(B9,12,31))+SUMIFS('Fluxo Consolidado'!$BD$5:$BD$186,'Fluxo Consolidado'!$C$5:$C$186,"&gt;="&amp;DATE(B9,1,1),'Fluxo Consolidado'!$C$5:$C$186,"&lt;="&amp;DATE(B9,12,31))</f>
        <v>-19083899.969999999</v>
      </c>
      <c r="K9" s="173">
        <f t="shared" si="2"/>
        <v>-27785.75</v>
      </c>
      <c r="L9" s="169">
        <f t="shared" si="4"/>
        <v>69413.250000002328</v>
      </c>
    </row>
    <row r="10" spans="2:12">
      <c r="B10" s="168">
        <v>2018</v>
      </c>
      <c r="C10" s="173">
        <f>SUMIFS('Fluxo Consolidado'!$AS$5:$AS$186,'Fluxo Consolidado'!$C$5:$C$186,"&gt;="&amp;DATE(B10,1,1),'Fluxo Consolidado'!$C$5:$C$186,"&lt;="&amp;DATE(B10,12,31))</f>
        <v>24643362.857071426</v>
      </c>
      <c r="D10" s="173">
        <f>SUMIFS('Fluxo Consolidado'!$AT$5:$AT$186,'Fluxo Consolidado'!$C$5:$C$186,"&gt;="&amp;DATE(B10,1,1),'Fluxo Consolidado'!$C$5:$C$186,"&lt;="&amp;DATE(B10,12,31))</f>
        <v>-32079853.506936673</v>
      </c>
      <c r="E10" s="173">
        <f t="shared" si="0"/>
        <v>-7436490.6498652473</v>
      </c>
      <c r="F10" s="169">
        <f t="shared" si="3"/>
        <v>-7367077.3998652454</v>
      </c>
      <c r="H10" s="168">
        <v>2018</v>
      </c>
      <c r="I10" s="173">
        <f t="shared" si="1"/>
        <v>24643362.857071426</v>
      </c>
      <c r="J10" s="173">
        <f>SUMIFS('Fluxo Consolidado'!$BG$5:$BG$186,'Fluxo Consolidado'!$C$5:$C$186,"&gt;="&amp;DATE(B10,1,1),'Fluxo Consolidado'!$C$5:$C$186,"&lt;="&amp;DATE(B10,12,31))+SUMIFS('Fluxo Consolidado'!$BD$5:$BD$186,'Fluxo Consolidado'!$C$5:$C$186,"&gt;="&amp;DATE(B10,1,1),'Fluxo Consolidado'!$C$5:$C$186,"&lt;="&amp;DATE(B10,12,31))</f>
        <v>-20070213.064335495</v>
      </c>
      <c r="K10" s="173">
        <f t="shared" si="2"/>
        <v>4573149.7927359305</v>
      </c>
      <c r="L10" s="169">
        <f t="shared" si="4"/>
        <v>4642563.0427359324</v>
      </c>
    </row>
    <row r="11" spans="2:12">
      <c r="B11" s="168">
        <f t="shared" ref="B11:B24" si="5">B10+1</f>
        <v>2019</v>
      </c>
      <c r="C11" s="173">
        <f>SUMIFS('Fluxo Consolidado'!$AS$5:$AS$186,'Fluxo Consolidado'!$C$5:$C$186,"&gt;="&amp;DATE(B11,1,1),'Fluxo Consolidado'!$C$5:$C$186,"&lt;="&amp;DATE(B11,12,31))</f>
        <v>39597441.941571429</v>
      </c>
      <c r="D11" s="173">
        <f>SUMIFS('Fluxo Consolidado'!$AT$5:$AT$186,'Fluxo Consolidado'!$C$5:$C$186,"&gt;="&amp;DATE(B11,1,1),'Fluxo Consolidado'!$C$5:$C$186,"&lt;="&amp;DATE(B11,12,31))</f>
        <v>-48801906.40632309</v>
      </c>
      <c r="E11" s="173">
        <f t="shared" si="0"/>
        <v>-9204464.4647516608</v>
      </c>
      <c r="F11" s="169">
        <f t="shared" si="3"/>
        <v>-16571541.864616906</v>
      </c>
      <c r="H11" s="168">
        <f t="shared" ref="H11:H24" si="6">H10+1</f>
        <v>2019</v>
      </c>
      <c r="I11" s="173">
        <f t="shared" si="1"/>
        <v>39597441.941571429</v>
      </c>
      <c r="J11" s="173">
        <f>SUMIFS('Fluxo Consolidado'!$BG$5:$BG$186,'Fluxo Consolidado'!$C$5:$C$186,"&gt;="&amp;DATE(B11,1,1),'Fluxo Consolidado'!$C$5:$C$186,"&lt;="&amp;DATE(B11,12,31))+SUMIFS('Fluxo Consolidado'!$BD$5:$BD$186,'Fluxo Consolidado'!$C$5:$C$186,"&gt;="&amp;DATE(B11,1,1),'Fluxo Consolidado'!$C$5:$C$186,"&lt;="&amp;DATE(B11,12,31))</f>
        <v>-31972284.37956294</v>
      </c>
      <c r="K11" s="173">
        <f t="shared" si="2"/>
        <v>7625157.5620084889</v>
      </c>
      <c r="L11" s="169">
        <f t="shared" si="4"/>
        <v>12267720.604744421</v>
      </c>
    </row>
    <row r="12" spans="2:12">
      <c r="B12" s="168">
        <f t="shared" si="5"/>
        <v>2020</v>
      </c>
      <c r="C12" s="173">
        <f>SUMIFS('Fluxo Consolidado'!$AS$5:$AS$186,'Fluxo Consolidado'!$C$5:$C$186,"&gt;="&amp;DATE(B12,1,1),'Fluxo Consolidado'!$C$5:$C$186,"&lt;="&amp;DATE(B12,12,31))</f>
        <v>46601516.145596109</v>
      </c>
      <c r="D12" s="173">
        <f>SUMIFS('Fluxo Consolidado'!$AT$5:$AT$186,'Fluxo Consolidado'!$C$5:$C$186,"&gt;="&amp;DATE(B12,1,1),'Fluxo Consolidado'!$C$5:$C$186,"&lt;="&amp;DATE(B12,12,31))</f>
        <v>-19923191.54036323</v>
      </c>
      <c r="E12" s="173">
        <f t="shared" si="0"/>
        <v>26678324.60523288</v>
      </c>
      <c r="F12" s="169">
        <f t="shared" si="3"/>
        <v>10106782.740615973</v>
      </c>
      <c r="H12" s="168">
        <f t="shared" si="6"/>
        <v>2020</v>
      </c>
      <c r="I12" s="173">
        <f t="shared" si="1"/>
        <v>46601516.145596109</v>
      </c>
      <c r="J12" s="173">
        <f>SUMIFS('Fluxo Consolidado'!$BG$5:$BG$186,'Fluxo Consolidado'!$C$5:$C$186,"&gt;="&amp;DATE(B12,1,1),'Fluxo Consolidado'!$C$5:$C$186,"&lt;="&amp;DATE(B12,12,31))+SUMIFS('Fluxo Consolidado'!$BD$5:$BD$186,'Fluxo Consolidado'!$C$5:$C$186,"&gt;="&amp;DATE(B12,1,1),'Fluxo Consolidado'!$C$5:$C$186,"&lt;="&amp;DATE(B12,12,31))</f>
        <v>-28056363.330831654</v>
      </c>
      <c r="K12" s="173">
        <f t="shared" si="2"/>
        <v>18545152.814764455</v>
      </c>
      <c r="L12" s="169">
        <f t="shared" si="4"/>
        <v>30812873.419508874</v>
      </c>
    </row>
    <row r="13" spans="2:12">
      <c r="B13" s="168">
        <f t="shared" si="5"/>
        <v>2021</v>
      </c>
      <c r="C13" s="173">
        <f>SUMIFS('Fluxo Consolidado'!$AS$5:$AS$186,'Fluxo Consolidado'!$C$5:$C$186,"&gt;="&amp;DATE(B13,1,1),'Fluxo Consolidado'!$C$5:$C$186,"&lt;="&amp;DATE(B13,12,31))</f>
        <v>47152874.026827194</v>
      </c>
      <c r="D13" s="173">
        <f>SUMIFS('Fluxo Consolidado'!$AT$5:$AT$186,'Fluxo Consolidado'!$C$5:$C$186,"&gt;="&amp;DATE(B13,1,1),'Fluxo Consolidado'!$C$5:$C$186,"&lt;="&amp;DATE(B13,12,31))</f>
        <v>-6898787.7232061746</v>
      </c>
      <c r="E13" s="173">
        <f t="shared" si="0"/>
        <v>40254086.303621016</v>
      </c>
      <c r="F13" s="169">
        <f t="shared" si="3"/>
        <v>50360869.044236988</v>
      </c>
      <c r="H13" s="168">
        <f t="shared" si="6"/>
        <v>2021</v>
      </c>
      <c r="I13" s="173">
        <f t="shared" si="1"/>
        <v>47152874.026827194</v>
      </c>
      <c r="J13" s="173">
        <f>SUMIFS('Fluxo Consolidado'!$BG$5:$BG$186,'Fluxo Consolidado'!$C$5:$C$186,"&gt;="&amp;DATE(B13,1,1),'Fluxo Consolidado'!$C$5:$C$186,"&lt;="&amp;DATE(B13,12,31))+SUMIFS('Fluxo Consolidado'!$BD$5:$BD$186,'Fluxo Consolidado'!$C$5:$C$186,"&gt;="&amp;DATE(B13,1,1),'Fluxo Consolidado'!$C$5:$C$186,"&lt;="&amp;DATE(B13,12,31))</f>
        <v>-18227992.611977395</v>
      </c>
      <c r="K13" s="173">
        <f t="shared" si="2"/>
        <v>28924881.414849799</v>
      </c>
      <c r="L13" s="169">
        <f t="shared" si="4"/>
        <v>59737754.834358677</v>
      </c>
    </row>
    <row r="14" spans="2:12">
      <c r="B14" s="168">
        <f t="shared" si="5"/>
        <v>2022</v>
      </c>
      <c r="C14" s="173">
        <f>SUMIFS('Fluxo Consolidado'!$AS$5:$AS$186,'Fluxo Consolidado'!$C$5:$C$186,"&gt;="&amp;DATE(B14,1,1),'Fluxo Consolidado'!$C$5:$C$186,"&lt;="&amp;DATE(B14,12,31))</f>
        <v>46217630.484584868</v>
      </c>
      <c r="D14" s="173">
        <f>SUMIFS('Fluxo Consolidado'!$AT$5:$AT$186,'Fluxo Consolidado'!$C$5:$C$186,"&gt;="&amp;DATE(B14,1,1),'Fluxo Consolidado'!$C$5:$C$186,"&lt;="&amp;DATE(B14,12,31))</f>
        <v>-6510010.6919528926</v>
      </c>
      <c r="E14" s="173">
        <f t="shared" si="0"/>
        <v>39707619.792631976</v>
      </c>
      <c r="F14" s="169">
        <f t="shared" si="3"/>
        <v>90068488.836868972</v>
      </c>
      <c r="H14" s="168">
        <f t="shared" si="6"/>
        <v>2022</v>
      </c>
      <c r="I14" s="173">
        <f t="shared" si="1"/>
        <v>46217630.484584868</v>
      </c>
      <c r="J14" s="173">
        <f>SUMIFS('Fluxo Consolidado'!$BG$5:$BG$186,'Fluxo Consolidado'!$C$5:$C$186,"&gt;="&amp;DATE(B14,1,1),'Fluxo Consolidado'!$C$5:$C$186,"&lt;="&amp;DATE(B14,12,31))+SUMIFS('Fluxo Consolidado'!$BD$5:$BD$186,'Fluxo Consolidado'!$C$5:$C$186,"&gt;="&amp;DATE(B14,1,1),'Fluxo Consolidado'!$C$5:$C$186,"&lt;="&amp;DATE(B14,12,31))</f>
        <v>-16937328.946740158</v>
      </c>
      <c r="K14" s="173">
        <f t="shared" si="2"/>
        <v>29280301.53784471</v>
      </c>
      <c r="L14" s="169">
        <f t="shared" si="4"/>
        <v>89018056.37220338</v>
      </c>
    </row>
    <row r="15" spans="2:12">
      <c r="B15" s="168">
        <f t="shared" si="5"/>
        <v>2023</v>
      </c>
      <c r="C15" s="173">
        <f>SUMIFS('Fluxo Consolidado'!$AS$5:$AS$186,'Fluxo Consolidado'!$C$5:$C$186,"&gt;="&amp;DATE(B15,1,1),'Fluxo Consolidado'!$C$5:$C$186,"&lt;="&amp;DATE(B15,12,31))</f>
        <v>44413686.492121972</v>
      </c>
      <c r="D15" s="173">
        <f>SUMIFS('Fluxo Consolidado'!$AT$5:$AT$186,'Fluxo Consolidado'!$C$5:$C$186,"&gt;="&amp;DATE(B15,1,1),'Fluxo Consolidado'!$C$5:$C$186,"&lt;="&amp;DATE(B15,12,31))</f>
        <v>-6186941.3735641651</v>
      </c>
      <c r="E15" s="173">
        <f t="shared" si="0"/>
        <v>38226745.118557811</v>
      </c>
      <c r="F15" s="169">
        <f t="shared" si="3"/>
        <v>128295233.95542678</v>
      </c>
      <c r="H15" s="168">
        <f t="shared" si="6"/>
        <v>2023</v>
      </c>
      <c r="I15" s="173">
        <f t="shared" si="1"/>
        <v>44413686.492121972</v>
      </c>
      <c r="J15" s="173">
        <f>SUMIFS('Fluxo Consolidado'!$BG$5:$BG$186,'Fluxo Consolidado'!$C$5:$C$186,"&gt;="&amp;DATE(B15,1,1),'Fluxo Consolidado'!$C$5:$C$186,"&lt;="&amp;DATE(B15,12,31))+SUMIFS('Fluxo Consolidado'!$BD$5:$BD$186,'Fluxo Consolidado'!$C$5:$C$186,"&gt;="&amp;DATE(B15,1,1),'Fluxo Consolidado'!$C$5:$C$186,"&lt;="&amp;DATE(B15,12,31))</f>
        <v>-15761276.999286998</v>
      </c>
      <c r="K15" s="173">
        <f t="shared" si="2"/>
        <v>28652409.492834974</v>
      </c>
      <c r="L15" s="169">
        <f t="shared" si="4"/>
        <v>117670465.86503835</v>
      </c>
    </row>
    <row r="16" spans="2:12">
      <c r="B16" s="168">
        <f t="shared" si="5"/>
        <v>2024</v>
      </c>
      <c r="C16" s="173">
        <f>SUMIFS('Fluxo Consolidado'!$AS$5:$AS$186,'Fluxo Consolidado'!$C$5:$C$186,"&gt;="&amp;DATE(B16,1,1),'Fluxo Consolidado'!$C$5:$C$186,"&lt;="&amp;DATE(B16,12,31))</f>
        <v>42316319.264463358</v>
      </c>
      <c r="D16" s="173">
        <f>SUMIFS('Fluxo Consolidado'!$AT$5:$AT$186,'Fluxo Consolidado'!$C$5:$C$186,"&gt;="&amp;DATE(B16,1,1),'Fluxo Consolidado'!$C$5:$C$186,"&lt;="&amp;DATE(B16,12,31))</f>
        <v>-5836416.2649984891</v>
      </c>
      <c r="E16" s="173">
        <f t="shared" si="0"/>
        <v>36479902.999464869</v>
      </c>
      <c r="F16" s="169">
        <f t="shared" si="3"/>
        <v>164775136.95489165</v>
      </c>
      <c r="H16" s="168">
        <f t="shared" si="6"/>
        <v>2024</v>
      </c>
      <c r="I16" s="173">
        <f t="shared" si="1"/>
        <v>42316319.264463358</v>
      </c>
      <c r="J16" s="173">
        <f>SUMIFS('Fluxo Consolidado'!$BG$5:$BG$186,'Fluxo Consolidado'!$C$5:$C$186,"&gt;="&amp;DATE(B16,1,1),'Fluxo Consolidado'!$C$5:$C$186,"&lt;="&amp;DATE(B16,12,31))+SUMIFS('Fluxo Consolidado'!$BD$5:$BD$186,'Fluxo Consolidado'!$C$5:$C$186,"&gt;="&amp;DATE(B16,1,1),'Fluxo Consolidado'!$C$5:$C$186,"&lt;="&amp;DATE(B16,12,31))</f>
        <v>-14592398.712468833</v>
      </c>
      <c r="K16" s="173">
        <f t="shared" si="2"/>
        <v>27723920.551994525</v>
      </c>
      <c r="L16" s="169">
        <f t="shared" si="4"/>
        <v>145394386.41703287</v>
      </c>
    </row>
    <row r="17" spans="2:12">
      <c r="B17" s="168">
        <f t="shared" si="5"/>
        <v>2025</v>
      </c>
      <c r="C17" s="173">
        <f>SUMIFS('Fluxo Consolidado'!$AS$5:$AS$186,'Fluxo Consolidado'!$C$5:$C$186,"&gt;="&amp;DATE(B17,1,1),'Fluxo Consolidado'!$C$5:$C$186,"&lt;="&amp;DATE(B17,12,31))</f>
        <v>32113099.393410586</v>
      </c>
      <c r="D17" s="173">
        <f>SUMIFS('Fluxo Consolidado'!$AT$5:$AT$186,'Fluxo Consolidado'!$C$5:$C$186,"&gt;="&amp;DATE(B17,1,1),'Fluxo Consolidado'!$C$5:$C$186,"&lt;="&amp;DATE(B17,12,31))</f>
        <v>-4488386.0970235365</v>
      </c>
      <c r="E17" s="173">
        <f t="shared" si="0"/>
        <v>27624713.29638705</v>
      </c>
      <c r="F17" s="169">
        <f t="shared" si="3"/>
        <v>192399850.2512787</v>
      </c>
      <c r="H17" s="168">
        <f t="shared" si="6"/>
        <v>2025</v>
      </c>
      <c r="I17" s="173">
        <f t="shared" si="1"/>
        <v>32113099.393410586</v>
      </c>
      <c r="J17" s="173">
        <f>SUMIFS('Fluxo Consolidado'!$BG$5:$BG$186,'Fluxo Consolidado'!$C$5:$C$186,"&gt;="&amp;DATE(B17,1,1),'Fluxo Consolidado'!$C$5:$C$186,"&lt;="&amp;DATE(B17,12,31))+SUMIFS('Fluxo Consolidado'!$BD$5:$BD$186,'Fluxo Consolidado'!$C$5:$C$186,"&gt;="&amp;DATE(B17,1,1),'Fluxo Consolidado'!$C$5:$C$186,"&lt;="&amp;DATE(B17,12,31))</f>
        <v>-12450536.852068786</v>
      </c>
      <c r="K17" s="173">
        <f t="shared" si="2"/>
        <v>19662562.5413418</v>
      </c>
      <c r="L17" s="169">
        <f t="shared" si="4"/>
        <v>165056948.95837468</v>
      </c>
    </row>
    <row r="18" spans="2:12">
      <c r="B18" s="168">
        <f t="shared" si="5"/>
        <v>2026</v>
      </c>
      <c r="C18" s="173">
        <f>SUMIFS('Fluxo Consolidado'!$AS$5:$AS$186,'Fluxo Consolidado'!$C$5:$C$186,"&gt;="&amp;DATE(B18,1,1),'Fluxo Consolidado'!$C$5:$C$186,"&lt;="&amp;DATE(B18,12,31))</f>
        <v>12337893.205702819</v>
      </c>
      <c r="D18" s="173">
        <f>SUMIFS('Fluxo Consolidado'!$AT$5:$AT$186,'Fluxo Consolidado'!$C$5:$C$186,"&gt;="&amp;DATE(B18,1,1),'Fluxo Consolidado'!$C$5:$C$186,"&lt;="&amp;DATE(B18,12,31))</f>
        <v>-1892194.7480540688</v>
      </c>
      <c r="E18" s="173">
        <f t="shared" si="0"/>
        <v>10445698.45764875</v>
      </c>
      <c r="F18" s="169">
        <f t="shared" si="3"/>
        <v>202845548.70892745</v>
      </c>
      <c r="H18" s="168">
        <f t="shared" si="6"/>
        <v>2026</v>
      </c>
      <c r="I18" s="173">
        <f t="shared" si="1"/>
        <v>12337893.205702819</v>
      </c>
      <c r="J18" s="173">
        <f>SUMIFS('Fluxo Consolidado'!$BG$5:$BG$186,'Fluxo Consolidado'!$C$5:$C$186,"&gt;="&amp;DATE(B18,1,1),'Fluxo Consolidado'!$C$5:$C$186,"&lt;="&amp;DATE(B18,12,31))+SUMIFS('Fluxo Consolidado'!$BD$5:$BD$186,'Fluxo Consolidado'!$C$5:$C$186,"&gt;="&amp;DATE(B18,1,1),'Fluxo Consolidado'!$C$5:$C$186,"&lt;="&amp;DATE(B18,12,31))</f>
        <v>-9077877.7379986402</v>
      </c>
      <c r="K18" s="173">
        <f t="shared" si="2"/>
        <v>3260015.4677041788</v>
      </c>
      <c r="L18" s="169">
        <f t="shared" si="4"/>
        <v>168316964.42607886</v>
      </c>
    </row>
    <row r="19" spans="2:12">
      <c r="B19" s="168">
        <f t="shared" si="5"/>
        <v>2027</v>
      </c>
      <c r="C19" s="173">
        <f>SUMIFS('Fluxo Consolidado'!$AS$5:$AS$186,'Fluxo Consolidado'!$C$5:$C$186,"&gt;="&amp;DATE(B19,1,1),'Fluxo Consolidado'!$C$5:$C$186,"&lt;="&amp;DATE(B19,12,31))</f>
        <v>3074450.0336158741</v>
      </c>
      <c r="D19" s="173">
        <f>SUMIFS('Fluxo Consolidado'!$AT$5:$AT$186,'Fluxo Consolidado'!$C$5:$C$186,"&gt;="&amp;DATE(B19,1,1),'Fluxo Consolidado'!$C$5:$C$186,"&lt;="&amp;DATE(B19,12,31))</f>
        <v>-424974.59956041683</v>
      </c>
      <c r="E19" s="173">
        <f t="shared" si="0"/>
        <v>2649475.4340554574</v>
      </c>
      <c r="F19" s="169">
        <f t="shared" si="3"/>
        <v>205495024.1429829</v>
      </c>
      <c r="H19" s="168">
        <f t="shared" si="6"/>
        <v>2027</v>
      </c>
      <c r="I19" s="173">
        <f t="shared" si="1"/>
        <v>3074450.0336158741</v>
      </c>
      <c r="J19" s="173">
        <f>SUMIFS('Fluxo Consolidado'!$BG$5:$BG$186,'Fluxo Consolidado'!$C$5:$C$186,"&gt;="&amp;DATE(B19,1,1),'Fluxo Consolidado'!$C$5:$C$186,"&lt;="&amp;DATE(B19,12,31))+SUMIFS('Fluxo Consolidado'!$BD$5:$BD$186,'Fluxo Consolidado'!$C$5:$C$186,"&gt;="&amp;DATE(B19,1,1),'Fluxo Consolidado'!$C$5:$C$186,"&lt;="&amp;DATE(B19,12,31))</f>
        <v>-6846485.4077245854</v>
      </c>
      <c r="K19" s="173">
        <f t="shared" si="2"/>
        <v>-3772035.3741087113</v>
      </c>
      <c r="L19" s="169">
        <f t="shared" si="4"/>
        <v>164544929.05197015</v>
      </c>
    </row>
    <row r="20" spans="2:12">
      <c r="B20" s="168">
        <f t="shared" si="5"/>
        <v>2028</v>
      </c>
      <c r="C20" s="173">
        <f>SUMIFS('Fluxo Consolidado'!$AS$5:$AS$186,'Fluxo Consolidado'!$C$5:$C$186,"&gt;="&amp;DATE(B20,1,1),'Fluxo Consolidado'!$C$5:$C$186,"&lt;="&amp;DATE(B20,12,31))</f>
        <v>179206.90808285607</v>
      </c>
      <c r="D20" s="173">
        <f>SUMIFS('Fluxo Consolidado'!$AT$5:$AT$186,'Fluxo Consolidado'!$C$5:$C$186,"&gt;="&amp;DATE(B20,1,1),'Fluxo Consolidado'!$C$5:$C$186,"&lt;="&amp;DATE(B20,12,31))</f>
        <v>-37310.067603777381</v>
      </c>
      <c r="E20" s="173">
        <f t="shared" si="0"/>
        <v>141896.8404790787</v>
      </c>
      <c r="F20" s="169">
        <f t="shared" si="3"/>
        <v>205636920.98346198</v>
      </c>
      <c r="H20" s="168">
        <f t="shared" si="6"/>
        <v>2028</v>
      </c>
      <c r="I20" s="173">
        <f t="shared" si="1"/>
        <v>179206.90808285607</v>
      </c>
      <c r="J20" s="173">
        <f>SUMIFS('Fluxo Consolidado'!$BG$5:$BG$186,'Fluxo Consolidado'!$C$5:$C$186,"&gt;="&amp;DATE(B20,1,1),'Fluxo Consolidado'!$C$5:$C$186,"&lt;="&amp;DATE(B20,12,31))+SUMIFS('Fluxo Consolidado'!$BD$5:$BD$186,'Fluxo Consolidado'!$C$5:$C$186,"&gt;="&amp;DATE(B20,1,1),'Fluxo Consolidado'!$C$5:$C$186,"&lt;="&amp;DATE(B20,12,31))</f>
        <v>-4361186.6106825648</v>
      </c>
      <c r="K20" s="173">
        <f t="shared" si="2"/>
        <v>-4181979.7025997089</v>
      </c>
      <c r="L20" s="169">
        <f t="shared" si="4"/>
        <v>160362949.34937045</v>
      </c>
    </row>
    <row r="21" spans="2:12">
      <c r="B21" s="168">
        <f t="shared" si="5"/>
        <v>2029</v>
      </c>
      <c r="C21" s="173">
        <f>SUMIFS('Fluxo Consolidado'!$AS$5:$AS$186,'Fluxo Consolidado'!$C$5:$C$186,"&gt;="&amp;DATE(B21,1,1),'Fluxo Consolidado'!$C$5:$C$186,"&lt;="&amp;DATE(B21,12,31))</f>
        <v>0</v>
      </c>
      <c r="D21" s="173">
        <f>SUMIFS('Fluxo Consolidado'!$AT$5:$AT$186,'Fluxo Consolidado'!$C$5:$C$186,"&gt;="&amp;DATE(B21,1,1),'Fluxo Consolidado'!$C$5:$C$186,"&lt;="&amp;DATE(B21,12,31))</f>
        <v>0</v>
      </c>
      <c r="E21" s="173">
        <f t="shared" si="0"/>
        <v>0</v>
      </c>
      <c r="F21" s="169">
        <f t="shared" si="3"/>
        <v>205636920.98346198</v>
      </c>
      <c r="H21" s="168">
        <f t="shared" si="6"/>
        <v>2029</v>
      </c>
      <c r="I21" s="173">
        <f>SUMIFS('Fluxo Consolidado'!$BF$5:$BF$186,'Fluxo Consolidado'!$C$5:$C$186,"&gt;="&amp;DATE(B21,1,1),'Fluxo Consolidado'!$C$5:$C$186,"&lt;="&amp;DATE(B21,12,31))</f>
        <v>0</v>
      </c>
      <c r="J21" s="173">
        <f>SUMIFS('Fluxo Consolidado'!$BG$5:$BG$186,'Fluxo Consolidado'!$C$5:$C$186,"&gt;="&amp;DATE(B21,1,1),'Fluxo Consolidado'!$C$5:$C$186,"&lt;="&amp;DATE(B21,12,31))</f>
        <v>0</v>
      </c>
      <c r="K21" s="173">
        <f t="shared" si="2"/>
        <v>0</v>
      </c>
      <c r="L21" s="169">
        <f t="shared" si="4"/>
        <v>160362949.34937045</v>
      </c>
    </row>
    <row r="22" spans="2:12">
      <c r="B22" s="168">
        <f t="shared" si="5"/>
        <v>2030</v>
      </c>
      <c r="C22" s="173">
        <f>SUMIFS('Fluxo Consolidado'!$AS$5:$AS$186,'Fluxo Consolidado'!$C$5:$C$186,"&gt;="&amp;DATE(B22,1,1),'Fluxo Consolidado'!$C$5:$C$186,"&lt;="&amp;DATE(B22,12,31))</f>
        <v>0</v>
      </c>
      <c r="D22" s="173">
        <f>SUMIFS('Fluxo Consolidado'!$AT$5:$AT$186,'Fluxo Consolidado'!$C$5:$C$186,"&gt;="&amp;DATE(B22,1,1),'Fluxo Consolidado'!$C$5:$C$186,"&lt;="&amp;DATE(B22,12,31))</f>
        <v>0</v>
      </c>
      <c r="E22" s="173">
        <f t="shared" si="0"/>
        <v>0</v>
      </c>
      <c r="F22" s="169">
        <f t="shared" si="3"/>
        <v>205636920.98346198</v>
      </c>
      <c r="H22" s="168">
        <f t="shared" si="6"/>
        <v>2030</v>
      </c>
      <c r="I22" s="173">
        <f>SUMIFS('Fluxo Consolidado'!$BF$5:$BF$186,'Fluxo Consolidado'!$C$5:$C$186,"&gt;="&amp;DATE(B22,1,1),'Fluxo Consolidado'!$C$5:$C$186,"&lt;="&amp;DATE(B22,12,31))</f>
        <v>0</v>
      </c>
      <c r="J22" s="173">
        <f>SUMIFS('Fluxo Consolidado'!$BG$5:$BG$186,'Fluxo Consolidado'!$C$5:$C$186,"&gt;="&amp;DATE(B22,1,1),'Fluxo Consolidado'!$C$5:$C$186,"&lt;="&amp;DATE(B22,12,31))</f>
        <v>0</v>
      </c>
      <c r="K22" s="173">
        <f t="shared" si="2"/>
        <v>0</v>
      </c>
      <c r="L22" s="169">
        <f t="shared" si="4"/>
        <v>160362949.34937045</v>
      </c>
    </row>
    <row r="23" spans="2:12">
      <c r="B23" s="168">
        <f t="shared" si="5"/>
        <v>2031</v>
      </c>
      <c r="C23" s="173">
        <f>SUMIFS('Fluxo Consolidado'!$AS$5:$AS$186,'Fluxo Consolidado'!$C$5:$C$186,"&gt;="&amp;DATE(B23,1,1),'Fluxo Consolidado'!$C$5:$C$186,"&lt;="&amp;DATE(B23,12,31))</f>
        <v>0</v>
      </c>
      <c r="D23" s="173">
        <f>SUMIFS('Fluxo Consolidado'!$AT$5:$AT$186,'Fluxo Consolidado'!$C$5:$C$186,"&gt;="&amp;DATE(B23,1,1),'Fluxo Consolidado'!$C$5:$C$186,"&lt;="&amp;DATE(B23,12,31))</f>
        <v>0</v>
      </c>
      <c r="E23" s="173">
        <f t="shared" si="0"/>
        <v>0</v>
      </c>
      <c r="F23" s="169">
        <f t="shared" si="3"/>
        <v>205636920.98346198</v>
      </c>
      <c r="H23" s="168">
        <f t="shared" si="6"/>
        <v>2031</v>
      </c>
      <c r="I23" s="173">
        <f>SUMIFS('Fluxo Consolidado'!$BF$5:$BF$186,'Fluxo Consolidado'!$C$5:$C$186,"&gt;="&amp;DATE(B23,1,1),'Fluxo Consolidado'!$C$5:$C$186,"&lt;="&amp;DATE(B23,12,31))</f>
        <v>0</v>
      </c>
      <c r="J23" s="173">
        <f>SUMIFS('Fluxo Consolidado'!$BG$5:$BG$186,'Fluxo Consolidado'!$C$5:$C$186,"&gt;="&amp;DATE(B23,1,1),'Fluxo Consolidado'!$C$5:$C$186,"&lt;="&amp;DATE(B23,12,31))</f>
        <v>0</v>
      </c>
      <c r="K23" s="173">
        <f t="shared" si="2"/>
        <v>0</v>
      </c>
      <c r="L23" s="169">
        <f t="shared" si="4"/>
        <v>160362949.34937045</v>
      </c>
    </row>
    <row r="24" spans="2:12" ht="15.75" thickBot="1">
      <c r="B24" s="170">
        <f t="shared" si="5"/>
        <v>2032</v>
      </c>
      <c r="C24" s="174">
        <f>SUMIFS('Fluxo Consolidado'!$AS$5:$AS$186,'Fluxo Consolidado'!$C$5:$C$186,"&gt;="&amp;DATE(B24,1,1),'Fluxo Consolidado'!$C$5:$C$186,"&lt;="&amp;DATE(B24,12,31))</f>
        <v>0</v>
      </c>
      <c r="D24" s="174">
        <f>SUMIFS('Fluxo Consolidado'!$AT$5:$AT$186,'Fluxo Consolidado'!$C$5:$C$186,"&gt;="&amp;DATE(B24,1,1),'Fluxo Consolidado'!$C$5:$C$186,"&lt;="&amp;DATE(B24,12,31))</f>
        <v>0</v>
      </c>
      <c r="E24" s="174">
        <f t="shared" si="0"/>
        <v>0</v>
      </c>
      <c r="F24" s="171">
        <f t="shared" si="3"/>
        <v>205636920.98346198</v>
      </c>
      <c r="H24" s="170">
        <f t="shared" si="6"/>
        <v>2032</v>
      </c>
      <c r="I24" s="174">
        <f>SUMIFS('Fluxo Consolidado'!$BF$5:$BF$186,'Fluxo Consolidado'!$C$5:$C$186,"&gt;="&amp;DATE(B24,1,1),'Fluxo Consolidado'!$C$5:$C$186,"&lt;="&amp;DATE(B24,12,31))</f>
        <v>0</v>
      </c>
      <c r="J24" s="174">
        <f>SUMIFS('Fluxo Consolidado'!$BG$5:$BG$186,'Fluxo Consolidado'!$C$5:$C$186,"&gt;="&amp;DATE(B24,1,1),'Fluxo Consolidado'!$C$5:$C$186,"&lt;="&amp;DATE(B24,12,31))</f>
        <v>0</v>
      </c>
      <c r="K24" s="174">
        <f t="shared" si="2"/>
        <v>0</v>
      </c>
      <c r="L24" s="171">
        <f t="shared" si="4"/>
        <v>160362949.34937045</v>
      </c>
    </row>
  </sheetData>
  <mergeCells count="2">
    <mergeCell ref="B3:F3"/>
    <mergeCell ref="H3:L3"/>
  </mergeCells>
  <conditionalFormatting sqref="B6:F24">
    <cfRule type="expression" dxfId="21" priority="2">
      <formula>#REF!=SMALL(#REF!,1)</formula>
    </cfRule>
  </conditionalFormatting>
  <conditionalFormatting sqref="H6:L24">
    <cfRule type="expression" dxfId="20" priority="1">
      <formula>#REF!=SMALL(#REF!,1)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912F-747B-49C0-8766-43FFFC8B7C74}">
  <dimension ref="A1:R219"/>
  <sheetViews>
    <sheetView showGridLines="0" topLeftCell="A11" zoomScale="85" zoomScaleNormal="85" workbookViewId="0">
      <selection activeCell="L40" sqref="L40"/>
    </sheetView>
  </sheetViews>
  <sheetFormatPr defaultRowHeight="15"/>
  <cols>
    <col min="1" max="1" width="11.5703125" style="297" bestFit="1" customWidth="1"/>
    <col min="2" max="2" width="47" customWidth="1"/>
    <col min="3" max="7" width="17" style="296" customWidth="1"/>
    <col min="8" max="8" width="14.7109375" style="296" customWidth="1"/>
    <col min="9" max="10" width="17" customWidth="1"/>
    <col min="11" max="11" width="12.28515625" style="295" customWidth="1"/>
    <col min="12" max="12" width="12.42578125" customWidth="1"/>
    <col min="13" max="13" width="34.7109375" customWidth="1"/>
    <col min="14" max="14" width="17" customWidth="1"/>
    <col min="17" max="17" width="49.7109375" customWidth="1"/>
    <col min="18" max="18" width="21.85546875" customWidth="1"/>
  </cols>
  <sheetData>
    <row r="1" spans="1:11" ht="15.75" thickBot="1">
      <c r="A1" s="298"/>
      <c r="C1" s="341"/>
      <c r="D1" s="341"/>
      <c r="E1" s="341"/>
      <c r="F1" s="341"/>
      <c r="G1" s="341"/>
      <c r="H1" s="341"/>
      <c r="I1" s="341"/>
    </row>
    <row r="2" spans="1:11" ht="17.25" customHeight="1" thickBot="1">
      <c r="A2" s="298"/>
      <c r="B2" s="340" t="s">
        <v>156</v>
      </c>
      <c r="C2" s="339" t="s">
        <v>155</v>
      </c>
      <c r="D2" s="311">
        <v>43101</v>
      </c>
      <c r="E2" s="311">
        <v>43132</v>
      </c>
      <c r="F2" s="311">
        <v>43163</v>
      </c>
      <c r="G2" s="311">
        <v>43194</v>
      </c>
      <c r="H2" s="311">
        <v>43225</v>
      </c>
      <c r="I2" s="311">
        <f>H2+31</f>
        <v>43256</v>
      </c>
      <c r="J2" s="339" t="s">
        <v>101</v>
      </c>
    </row>
    <row r="3" spans="1:11" ht="17.25" customHeight="1" thickBot="1">
      <c r="A3" s="298"/>
      <c r="B3" s="585" t="s">
        <v>154</v>
      </c>
      <c r="C3" s="586"/>
      <c r="D3" s="586"/>
      <c r="E3" s="586"/>
      <c r="F3" s="586"/>
      <c r="G3" s="586"/>
      <c r="H3" s="586"/>
      <c r="I3" s="586"/>
      <c r="J3" s="586"/>
    </row>
    <row r="4" spans="1:11" ht="17.25" customHeight="1" thickBot="1">
      <c r="A4" s="298"/>
      <c r="B4" s="334" t="s">
        <v>152</v>
      </c>
      <c r="C4" s="332">
        <v>30951985.060000002</v>
      </c>
      <c r="D4" s="333">
        <v>1738016.86</v>
      </c>
      <c r="E4" s="333">
        <v>1653194.29</v>
      </c>
      <c r="F4" s="333">
        <v>1877077.7400000002</v>
      </c>
      <c r="G4" s="333">
        <v>1883293.62</v>
      </c>
      <c r="H4" s="333">
        <v>2028488.1800000002</v>
      </c>
      <c r="I4" s="333">
        <f>[3]Realizado!H15+[3]Realizado!H30-[3]Realizado!H204</f>
        <v>1823384.8199999998</v>
      </c>
      <c r="J4" s="332">
        <f t="shared" ref="J4:J9" si="0">SUM(C4:I4)</f>
        <v>41955440.57</v>
      </c>
      <c r="K4" s="290">
        <f>J4/$J$9</f>
        <v>0.93463652033257949</v>
      </c>
    </row>
    <row r="5" spans="1:11" ht="17.25" customHeight="1" thickBot="1">
      <c r="A5" s="298"/>
      <c r="B5" s="337" t="s">
        <v>150</v>
      </c>
      <c r="C5" s="335">
        <v>3469180.66</v>
      </c>
      <c r="D5" s="336">
        <v>0</v>
      </c>
      <c r="E5" s="336">
        <v>0</v>
      </c>
      <c r="F5" s="336">
        <v>0</v>
      </c>
      <c r="G5" s="336">
        <v>0</v>
      </c>
      <c r="H5" s="336">
        <v>0</v>
      </c>
      <c r="I5" s="336">
        <v>0</v>
      </c>
      <c r="J5" s="335">
        <f t="shared" si="0"/>
        <v>3469180.66</v>
      </c>
      <c r="K5" s="290">
        <f>J5/$J$9</f>
        <v>7.7282538245730115E-2</v>
      </c>
    </row>
    <row r="6" spans="1:11" ht="17.25" customHeight="1" thickBot="1">
      <c r="A6" s="298"/>
      <c r="B6" s="334" t="s">
        <v>148</v>
      </c>
      <c r="C6" s="332">
        <v>1341104.7</v>
      </c>
      <c r="D6" s="333">
        <v>-12141.740000000002</v>
      </c>
      <c r="E6" s="333">
        <v>13406.02</v>
      </c>
      <c r="F6" s="333">
        <v>-18607.629999999997</v>
      </c>
      <c r="G6" s="333">
        <v>95146.760000000009</v>
      </c>
      <c r="H6" s="333">
        <v>31778.940000000002</v>
      </c>
      <c r="I6" s="333">
        <v>64988.56</v>
      </c>
      <c r="J6" s="332">
        <f t="shared" si="0"/>
        <v>1515675.61</v>
      </c>
      <c r="K6" s="290">
        <f>J6/$J$9</f>
        <v>3.3764531103417747E-2</v>
      </c>
    </row>
    <row r="7" spans="1:11" ht="17.25" customHeight="1" thickBot="1">
      <c r="A7" s="298"/>
      <c r="B7" s="337" t="s">
        <v>146</v>
      </c>
      <c r="C7" s="335">
        <v>1000000</v>
      </c>
      <c r="D7" s="336">
        <v>0</v>
      </c>
      <c r="E7" s="336">
        <v>0</v>
      </c>
      <c r="F7" s="336">
        <v>0</v>
      </c>
      <c r="G7" s="336">
        <v>0</v>
      </c>
      <c r="H7" s="336">
        <v>0</v>
      </c>
      <c r="I7" s="336">
        <v>0</v>
      </c>
      <c r="J7" s="335">
        <f t="shared" si="0"/>
        <v>1000000</v>
      </c>
      <c r="K7" s="290">
        <f>J7/$J$9</f>
        <v>2.2276884895850339E-2</v>
      </c>
    </row>
    <row r="8" spans="1:11" ht="17.25" customHeight="1" thickBot="1">
      <c r="A8" s="298"/>
      <c r="B8" s="334" t="s">
        <v>144</v>
      </c>
      <c r="C8" s="332">
        <v>-1577205.3299999998</v>
      </c>
      <c r="D8" s="333">
        <v>-130895.07</v>
      </c>
      <c r="E8" s="333">
        <v>-133950.29999999999</v>
      </c>
      <c r="F8" s="333">
        <v>-413571.37000000005</v>
      </c>
      <c r="G8" s="333">
        <v>-279038.49</v>
      </c>
      <c r="H8" s="333">
        <v>-270362.60000000003</v>
      </c>
      <c r="I8" s="333">
        <f>SUM([3]Realizado!H16:H24)-[3]Realizado!H212</f>
        <v>-245693.98</v>
      </c>
      <c r="J8" s="332">
        <f t="shared" si="0"/>
        <v>-3050717.1399999997</v>
      </c>
      <c r="K8" s="290">
        <f>J8/$J$9</f>
        <v>-6.7960474577577729E-2</v>
      </c>
    </row>
    <row r="9" spans="1:11" ht="17.25" customHeight="1" thickBot="1">
      <c r="A9" s="298"/>
      <c r="B9" s="338" t="s">
        <v>133</v>
      </c>
      <c r="C9" s="328">
        <f t="shared" ref="C9:I9" si="1">SUM(C4:C8)</f>
        <v>35185065.090000004</v>
      </c>
      <c r="D9" s="329">
        <f t="shared" si="1"/>
        <v>1594980.05</v>
      </c>
      <c r="E9" s="329">
        <f t="shared" si="1"/>
        <v>1532650.01</v>
      </c>
      <c r="F9" s="329">
        <f t="shared" si="1"/>
        <v>1444898.7400000002</v>
      </c>
      <c r="G9" s="329">
        <f t="shared" si="1"/>
        <v>1699401.8900000001</v>
      </c>
      <c r="H9" s="329">
        <f t="shared" si="1"/>
        <v>1789904.52</v>
      </c>
      <c r="I9" s="329">
        <f t="shared" si="1"/>
        <v>1642679.4</v>
      </c>
      <c r="J9" s="328">
        <f t="shared" si="0"/>
        <v>44889579.700000003</v>
      </c>
    </row>
    <row r="10" spans="1:11" ht="17.25" customHeight="1" thickBot="1">
      <c r="A10" s="298"/>
      <c r="B10" s="524" t="s">
        <v>153</v>
      </c>
      <c r="C10" s="525"/>
      <c r="D10" s="525"/>
      <c r="E10" s="525"/>
      <c r="F10" s="525"/>
      <c r="G10" s="525"/>
      <c r="H10" s="525"/>
      <c r="I10" s="525"/>
      <c r="J10" s="525"/>
    </row>
    <row r="11" spans="1:11" ht="17.25" customHeight="1" thickBot="1">
      <c r="A11" s="298"/>
      <c r="B11" s="334" t="s">
        <v>151</v>
      </c>
      <c r="C11" s="332">
        <v>-15014809.470000001</v>
      </c>
      <c r="D11" s="333">
        <v>-857000.18</v>
      </c>
      <c r="E11" s="333">
        <v>-891315.61999999988</v>
      </c>
      <c r="F11" s="333">
        <v>-936608.39999999991</v>
      </c>
      <c r="G11" s="333">
        <v>-877446.69000000006</v>
      </c>
      <c r="H11" s="333">
        <v>-878700.35999999987</v>
      </c>
      <c r="I11" s="333">
        <f>-[3]Realizado!H83-[3]Realizado!H225-[3]Realizado!H243-[3]Realizado!H257</f>
        <v>-873245.42999999993</v>
      </c>
      <c r="J11" s="332">
        <f t="shared" ref="J11:J20" si="2">SUM(C11:I11)</f>
        <v>-20329126.149999999</v>
      </c>
      <c r="K11" s="295">
        <f t="shared" ref="K11:K19" si="3">J11/$J$20</f>
        <v>0.45466282828981985</v>
      </c>
    </row>
    <row r="12" spans="1:11" ht="17.25" customHeight="1" thickBot="1">
      <c r="A12" s="298"/>
      <c r="B12" s="334" t="s">
        <v>149</v>
      </c>
      <c r="C12" s="332">
        <v>-2630532.4900000002</v>
      </c>
      <c r="D12" s="333">
        <v>-141551.09</v>
      </c>
      <c r="E12" s="333">
        <v>-137104</v>
      </c>
      <c r="F12" s="333">
        <v>-123212.35</v>
      </c>
      <c r="G12" s="333">
        <v>-157760.44</v>
      </c>
      <c r="H12" s="333">
        <v>-157205.35</v>
      </c>
      <c r="I12" s="333">
        <f>-[3]Realizado!H164</f>
        <v>-182224.66</v>
      </c>
      <c r="J12" s="332">
        <f t="shared" si="2"/>
        <v>-3529590.3800000004</v>
      </c>
      <c r="K12" s="295">
        <f t="shared" si="3"/>
        <v>7.8939622541293553E-2</v>
      </c>
    </row>
    <row r="13" spans="1:11" ht="17.25" customHeight="1" thickBot="1">
      <c r="A13" s="298"/>
      <c r="B13" s="337" t="s">
        <v>147</v>
      </c>
      <c r="C13" s="335">
        <v>-12694840.640000001</v>
      </c>
      <c r="D13" s="336">
        <v>-310552.27</v>
      </c>
      <c r="E13" s="336">
        <v>-371854.27</v>
      </c>
      <c r="F13" s="336">
        <v>-170912.98</v>
      </c>
      <c r="G13" s="336">
        <v>-395788.88</v>
      </c>
      <c r="H13" s="336">
        <v>-218389.87</v>
      </c>
      <c r="I13" s="336">
        <f>-[3]Realizado!H183</f>
        <v>-449183</v>
      </c>
      <c r="J13" s="335">
        <f t="shared" si="2"/>
        <v>-14611521.91</v>
      </c>
      <c r="K13" s="295">
        <f t="shared" si="3"/>
        <v>0.32678806891162271</v>
      </c>
    </row>
    <row r="14" spans="1:11" ht="17.25" customHeight="1" thickBot="1">
      <c r="A14" s="298"/>
      <c r="B14" s="334" t="s">
        <v>145</v>
      </c>
      <c r="C14" s="332">
        <v>-2106038.31</v>
      </c>
      <c r="D14" s="333">
        <v>-47233.34</v>
      </c>
      <c r="E14" s="333">
        <v>-28493.33</v>
      </c>
      <c r="F14" s="333">
        <v>-25591.83</v>
      </c>
      <c r="G14" s="333">
        <v>-42406</v>
      </c>
      <c r="H14" s="333">
        <v>-53965</v>
      </c>
      <c r="I14" s="333">
        <f>-[3]Realizado!H200</f>
        <v>-33658.5</v>
      </c>
      <c r="J14" s="332">
        <f t="shared" si="2"/>
        <v>-2337386.31</v>
      </c>
      <c r="K14" s="295">
        <f t="shared" si="3"/>
        <v>5.2275865803041693E-2</v>
      </c>
    </row>
    <row r="15" spans="1:11" ht="17.25" customHeight="1" thickBot="1">
      <c r="A15" s="298"/>
      <c r="B15" s="337" t="s">
        <v>143</v>
      </c>
      <c r="C15" s="335">
        <v>-392197.69000000012</v>
      </c>
      <c r="D15" s="336">
        <v>-14804.690000000002</v>
      </c>
      <c r="E15" s="336">
        <v>-15222.169999999998</v>
      </c>
      <c r="F15" s="336">
        <v>-15573.129999999997</v>
      </c>
      <c r="G15" s="336">
        <v>-14609.669999999998</v>
      </c>
      <c r="H15" s="336">
        <v>-31585.399999999994</v>
      </c>
      <c r="I15" s="336">
        <f>-[3]Realizado!H202+[3]Realizado!H204+[3]Realizado!H210+[3]Realizado!H212+[3]Realizado!H213</f>
        <v>-16193.149999999998</v>
      </c>
      <c r="J15" s="335">
        <f t="shared" si="2"/>
        <v>-500185.90000000014</v>
      </c>
      <c r="K15" s="295">
        <f t="shared" si="3"/>
        <v>1.1186704941800416E-2</v>
      </c>
    </row>
    <row r="16" spans="1:11" ht="17.25" customHeight="1" thickBot="1">
      <c r="A16" s="298"/>
      <c r="B16" s="334" t="s">
        <v>140</v>
      </c>
      <c r="C16" s="332">
        <v>-1810662.35</v>
      </c>
      <c r="D16" s="333">
        <v>-105377.54</v>
      </c>
      <c r="E16" s="333">
        <v>-106615.2</v>
      </c>
      <c r="F16" s="333">
        <v>-110803.75</v>
      </c>
      <c r="G16" s="333">
        <v>-103206.7</v>
      </c>
      <c r="H16" s="333">
        <v>-107362.51</v>
      </c>
      <c r="I16" s="333">
        <f>-[3]Realizado!H215</f>
        <v>-118639.79</v>
      </c>
      <c r="J16" s="332">
        <f t="shared" si="2"/>
        <v>-2462667.84</v>
      </c>
      <c r="K16" s="295">
        <f t="shared" si="3"/>
        <v>5.5077799065789239E-2</v>
      </c>
    </row>
    <row r="17" spans="1:18" ht="17.25" customHeight="1" thickBot="1">
      <c r="A17" s="298"/>
      <c r="B17" s="337" t="s">
        <v>138</v>
      </c>
      <c r="C17" s="335">
        <v>-203000</v>
      </c>
      <c r="D17" s="336">
        <v>-24000</v>
      </c>
      <c r="E17" s="336">
        <v>-24000</v>
      </c>
      <c r="F17" s="336">
        <v>-24000</v>
      </c>
      <c r="G17" s="336">
        <v>-20000</v>
      </c>
      <c r="H17" s="336">
        <v>-28000</v>
      </c>
      <c r="I17" s="336">
        <f>-[3]Realizado!H210-[3]Realizado!H213</f>
        <v>-24000</v>
      </c>
      <c r="J17" s="335">
        <f t="shared" si="2"/>
        <v>-347000</v>
      </c>
      <c r="K17" s="295">
        <f t="shared" si="3"/>
        <v>7.7606878058832599E-3</v>
      </c>
      <c r="M17" s="331" t="s">
        <v>152</v>
      </c>
      <c r="N17" s="324">
        <f>J4</f>
        <v>41955440.57</v>
      </c>
      <c r="Q17" s="319" t="s">
        <v>151</v>
      </c>
      <c r="R17" s="318">
        <f t="shared" ref="R17:R25" si="4">J11</f>
        <v>-20329126.149999999</v>
      </c>
    </row>
    <row r="18" spans="1:18" ht="17.25" customHeight="1" thickBot="1">
      <c r="A18" s="298"/>
      <c r="B18" s="337" t="s">
        <v>136</v>
      </c>
      <c r="C18" s="335">
        <v>-190090.46</v>
      </c>
      <c r="D18" s="336">
        <v>0</v>
      </c>
      <c r="E18" s="336">
        <v>0</v>
      </c>
      <c r="F18" s="336">
        <v>0</v>
      </c>
      <c r="G18" s="336">
        <v>-100000</v>
      </c>
      <c r="H18" s="336">
        <v>-130000</v>
      </c>
      <c r="I18" s="336">
        <v>0</v>
      </c>
      <c r="J18" s="335">
        <f t="shared" si="2"/>
        <v>-420090.45999999996</v>
      </c>
      <c r="K18" s="295">
        <f t="shared" si="3"/>
        <v>9.3953628538613505E-3</v>
      </c>
      <c r="M18" s="327" t="s">
        <v>150</v>
      </c>
      <c r="N18" s="326">
        <f>J5</f>
        <v>3469180.66</v>
      </c>
      <c r="Q18" s="319" t="s">
        <v>149</v>
      </c>
      <c r="R18" s="318">
        <f t="shared" si="4"/>
        <v>-3529590.3800000004</v>
      </c>
    </row>
    <row r="19" spans="1:18" ht="17.25" customHeight="1" thickBot="1">
      <c r="A19" s="298"/>
      <c r="B19" s="334" t="s">
        <v>135</v>
      </c>
      <c r="C19" s="332">
        <v>-59194.71</v>
      </c>
      <c r="D19" s="333">
        <v>0</v>
      </c>
      <c r="E19" s="333">
        <v>0</v>
      </c>
      <c r="F19" s="333">
        <v>0</v>
      </c>
      <c r="G19" s="333">
        <v>0</v>
      </c>
      <c r="H19" s="333">
        <v>-115768.1</v>
      </c>
      <c r="I19" s="333">
        <v>0</v>
      </c>
      <c r="J19" s="332">
        <f t="shared" si="2"/>
        <v>-174962.81</v>
      </c>
      <c r="K19" s="295">
        <f t="shared" si="3"/>
        <v>3.9130597868878084E-3</v>
      </c>
      <c r="M19" s="331" t="s">
        <v>148</v>
      </c>
      <c r="N19" s="324">
        <f>J6</f>
        <v>1515675.61</v>
      </c>
      <c r="Q19" s="317" t="s">
        <v>147</v>
      </c>
      <c r="R19" s="316">
        <f t="shared" si="4"/>
        <v>-14611521.91</v>
      </c>
    </row>
    <row r="20" spans="1:18" ht="17.25" customHeight="1" thickBot="1">
      <c r="A20" s="298"/>
      <c r="B20" s="330" t="s">
        <v>132</v>
      </c>
      <c r="C20" s="328">
        <f t="shared" ref="C20:I20" si="5">SUM(C11:C19)</f>
        <v>-35101366.120000005</v>
      </c>
      <c r="D20" s="329">
        <f t="shared" si="5"/>
        <v>-1500519.11</v>
      </c>
      <c r="E20" s="329">
        <f t="shared" si="5"/>
        <v>-1574604.5899999999</v>
      </c>
      <c r="F20" s="329">
        <f t="shared" si="5"/>
        <v>-1406702.44</v>
      </c>
      <c r="G20" s="329">
        <f t="shared" si="5"/>
        <v>-1711218.3800000001</v>
      </c>
      <c r="H20" s="329">
        <f t="shared" si="5"/>
        <v>-1720976.5899999999</v>
      </c>
      <c r="I20" s="329">
        <f t="shared" si="5"/>
        <v>-1697144.5299999998</v>
      </c>
      <c r="J20" s="328">
        <f t="shared" si="2"/>
        <v>-44712531.760000005</v>
      </c>
      <c r="M20" s="327" t="s">
        <v>146</v>
      </c>
      <c r="N20" s="326">
        <f>J7</f>
        <v>1000000</v>
      </c>
      <c r="Q20" s="319" t="s">
        <v>145</v>
      </c>
      <c r="R20" s="318">
        <f t="shared" si="4"/>
        <v>-2337386.31</v>
      </c>
    </row>
    <row r="21" spans="1:18" ht="17.25" customHeight="1" thickBot="1">
      <c r="A21" s="298"/>
      <c r="B21" s="323" t="s">
        <v>131</v>
      </c>
      <c r="C21" s="322">
        <f>C9+C20</f>
        <v>83698.969999998808</v>
      </c>
      <c r="D21" s="325">
        <f t="shared" ref="D21:J21" si="6">D20+D9</f>
        <v>94460.939999999944</v>
      </c>
      <c r="E21" s="325">
        <f t="shared" si="6"/>
        <v>-41954.579999999842</v>
      </c>
      <c r="F21" s="325">
        <f t="shared" si="6"/>
        <v>38196.300000000279</v>
      </c>
      <c r="G21" s="325">
        <f t="shared" si="6"/>
        <v>-11816.489999999991</v>
      </c>
      <c r="H21" s="325">
        <f t="shared" si="6"/>
        <v>68927.930000000168</v>
      </c>
      <c r="I21" s="325">
        <f t="shared" si="6"/>
        <v>-54465.129999999888</v>
      </c>
      <c r="J21" s="325">
        <f t="shared" si="6"/>
        <v>177047.93999999762</v>
      </c>
      <c r="M21" s="324" t="s">
        <v>144</v>
      </c>
      <c r="N21" s="324">
        <f>J8</f>
        <v>-3050717.1399999997</v>
      </c>
      <c r="Q21" s="317" t="s">
        <v>143</v>
      </c>
      <c r="R21" s="316">
        <f t="shared" si="4"/>
        <v>-500185.90000000014</v>
      </c>
    </row>
    <row r="22" spans="1:18" ht="17.25" customHeight="1" thickBot="1">
      <c r="A22" s="298"/>
      <c r="B22" s="323" t="s">
        <v>142</v>
      </c>
      <c r="C22" s="322">
        <v>-14285.72</v>
      </c>
      <c r="D22" s="322">
        <v>0</v>
      </c>
      <c r="E22" s="322">
        <v>0</v>
      </c>
      <c r="F22" s="322">
        <v>-10000</v>
      </c>
      <c r="G22" s="322">
        <v>-37500</v>
      </c>
      <c r="H22" s="322">
        <v>0</v>
      </c>
      <c r="I22" s="322">
        <v>0</v>
      </c>
      <c r="J22" s="322">
        <f>SUM(C22:I22)</f>
        <v>-61785.72</v>
      </c>
      <c r="M22" s="315" t="s">
        <v>141</v>
      </c>
      <c r="N22" s="314">
        <f>SUM(N17:N21)</f>
        <v>44889579.700000003</v>
      </c>
      <c r="Q22" s="319" t="s">
        <v>140</v>
      </c>
      <c r="R22" s="318">
        <f t="shared" si="4"/>
        <v>-2462667.84</v>
      </c>
    </row>
    <row r="23" spans="1:18" ht="17.25" customHeight="1" thickBot="1">
      <c r="A23" s="298"/>
      <c r="B23" s="321" t="s">
        <v>139</v>
      </c>
      <c r="C23" s="320">
        <f>C21+C22</f>
        <v>69413.249999998807</v>
      </c>
      <c r="D23" s="320">
        <f>C23</f>
        <v>69413.249999998807</v>
      </c>
      <c r="E23" s="320">
        <f>D24</f>
        <v>163874.18999999875</v>
      </c>
      <c r="F23" s="320">
        <f>E24</f>
        <v>121919.60999999891</v>
      </c>
      <c r="G23" s="320">
        <f>F24</f>
        <v>150115.90999999919</v>
      </c>
      <c r="H23" s="320">
        <f>G24</f>
        <v>100799.4199999992</v>
      </c>
      <c r="I23" s="320">
        <f>H24</f>
        <v>169727.34999999937</v>
      </c>
      <c r="J23" s="320">
        <f>J22+J21</f>
        <v>115262.21999999761</v>
      </c>
      <c r="Q23" s="317" t="s">
        <v>138</v>
      </c>
      <c r="R23" s="316">
        <f t="shared" si="4"/>
        <v>-347000</v>
      </c>
    </row>
    <row r="24" spans="1:18" ht="17.25" customHeight="1" thickBot="1">
      <c r="A24" s="298"/>
      <c r="B24" s="321" t="s">
        <v>137</v>
      </c>
      <c r="C24" s="320"/>
      <c r="D24" s="320">
        <f t="shared" ref="D24:I24" si="7">D23+D22+D21</f>
        <v>163874.18999999875</v>
      </c>
      <c r="E24" s="320">
        <f t="shared" si="7"/>
        <v>121919.60999999891</v>
      </c>
      <c r="F24" s="320">
        <f t="shared" si="7"/>
        <v>150115.90999999919</v>
      </c>
      <c r="G24" s="320">
        <f t="shared" si="7"/>
        <v>100799.4199999992</v>
      </c>
      <c r="H24" s="320">
        <f t="shared" si="7"/>
        <v>169727.34999999937</v>
      </c>
      <c r="I24" s="320">
        <f t="shared" si="7"/>
        <v>115262.21999999948</v>
      </c>
      <c r="J24" s="320">
        <f>J23</f>
        <v>115262.21999999761</v>
      </c>
      <c r="Q24" s="319" t="s">
        <v>136</v>
      </c>
      <c r="R24" s="318">
        <f t="shared" si="4"/>
        <v>-420090.45999999996</v>
      </c>
    </row>
    <row r="25" spans="1:18" ht="17.25" customHeight="1" thickBot="1">
      <c r="A25" s="298"/>
      <c r="B25" s="309"/>
      <c r="C25" s="309"/>
      <c r="D25" s="309"/>
      <c r="E25" s="309"/>
      <c r="F25" s="309"/>
      <c r="G25" s="309"/>
      <c r="H25" s="309"/>
      <c r="I25" s="312"/>
      <c r="J25" s="309"/>
      <c r="Q25" s="317" t="s">
        <v>135</v>
      </c>
      <c r="R25" s="316">
        <f t="shared" si="4"/>
        <v>-174962.81</v>
      </c>
    </row>
    <row r="26" spans="1:18" ht="17.25" customHeight="1" thickBot="1">
      <c r="A26" s="298"/>
      <c r="B26" s="309"/>
      <c r="C26" s="309"/>
      <c r="D26" s="309"/>
      <c r="E26" s="309"/>
      <c r="F26" s="309"/>
      <c r="G26" s="309"/>
      <c r="H26" s="309"/>
      <c r="I26" s="312"/>
      <c r="J26" s="309"/>
      <c r="Q26" s="315" t="s">
        <v>134</v>
      </c>
      <c r="R26" s="314">
        <f>SUM(R17:R25)</f>
        <v>-44712531.759999998</v>
      </c>
    </row>
    <row r="27" spans="1:18" ht="17.25" customHeight="1" thickBot="1">
      <c r="A27" s="298"/>
      <c r="C27" s="311">
        <v>43070</v>
      </c>
      <c r="D27" s="311">
        <v>43101</v>
      </c>
      <c r="E27" s="311">
        <v>43132</v>
      </c>
      <c r="F27" s="311">
        <v>43163</v>
      </c>
      <c r="G27" s="311">
        <v>43194</v>
      </c>
      <c r="H27" s="311">
        <v>43225</v>
      </c>
      <c r="I27" s="311">
        <f>H27+31</f>
        <v>43256</v>
      </c>
      <c r="K27"/>
    </row>
    <row r="28" spans="1:18" ht="17.25" customHeight="1" thickBot="1">
      <c r="A28" s="298"/>
      <c r="B28" s="308" t="s">
        <v>133</v>
      </c>
      <c r="C28" s="310">
        <v>1541685.9600000002</v>
      </c>
      <c r="D28" s="310">
        <f t="shared" ref="D28:I28" si="8">D9</f>
        <v>1594980.05</v>
      </c>
      <c r="E28" s="310">
        <f t="shared" si="8"/>
        <v>1532650.01</v>
      </c>
      <c r="F28" s="310">
        <f t="shared" si="8"/>
        <v>1444898.7400000002</v>
      </c>
      <c r="G28" s="310">
        <f t="shared" si="8"/>
        <v>1699401.8900000001</v>
      </c>
      <c r="H28" s="310">
        <f t="shared" si="8"/>
        <v>1789904.52</v>
      </c>
      <c r="I28" s="310">
        <f t="shared" si="8"/>
        <v>1642679.4</v>
      </c>
      <c r="K28"/>
    </row>
    <row r="29" spans="1:18" ht="17.25" customHeight="1" thickBot="1">
      <c r="A29" s="298"/>
      <c r="B29" s="308" t="s">
        <v>132</v>
      </c>
      <c r="C29" s="307">
        <v>1607729.75</v>
      </c>
      <c r="D29" s="307">
        <f t="shared" ref="D29:I29" si="9">-D20</f>
        <v>1500519.11</v>
      </c>
      <c r="E29" s="307">
        <f t="shared" si="9"/>
        <v>1574604.5899999999</v>
      </c>
      <c r="F29" s="307">
        <f t="shared" si="9"/>
        <v>1406702.44</v>
      </c>
      <c r="G29" s="307">
        <f t="shared" si="9"/>
        <v>1711218.3800000001</v>
      </c>
      <c r="H29" s="307">
        <f t="shared" si="9"/>
        <v>1720976.5899999999</v>
      </c>
      <c r="I29" s="307">
        <f t="shared" si="9"/>
        <v>1697144.5299999998</v>
      </c>
      <c r="K29"/>
    </row>
    <row r="30" spans="1:18" ht="17.25" customHeight="1" thickBot="1">
      <c r="A30" s="298"/>
      <c r="B30" s="313" t="s">
        <v>131</v>
      </c>
      <c r="C30" s="310">
        <f t="shared" ref="C30:I30" si="10">C28-C29</f>
        <v>-66043.789999999804</v>
      </c>
      <c r="D30" s="310">
        <f t="shared" si="10"/>
        <v>94460.939999999944</v>
      </c>
      <c r="E30" s="310">
        <f t="shared" si="10"/>
        <v>-41954.579999999842</v>
      </c>
      <c r="F30" s="310">
        <f t="shared" si="10"/>
        <v>38196.300000000279</v>
      </c>
      <c r="G30" s="310">
        <f t="shared" si="10"/>
        <v>-11816.489999999991</v>
      </c>
      <c r="H30" s="310">
        <f t="shared" si="10"/>
        <v>68927.930000000168</v>
      </c>
      <c r="I30" s="310">
        <f t="shared" si="10"/>
        <v>-54465.129999999888</v>
      </c>
      <c r="K30"/>
    </row>
    <row r="31" spans="1:18" ht="17.25" customHeight="1" thickBot="1">
      <c r="A31" s="298"/>
      <c r="B31" s="309"/>
      <c r="C31" s="309"/>
      <c r="D31" s="309"/>
      <c r="E31" s="309"/>
      <c r="F31" s="309"/>
      <c r="G31" s="309"/>
      <c r="H31" s="309"/>
      <c r="I31" s="312"/>
      <c r="J31" s="309"/>
    </row>
    <row r="32" spans="1:18" ht="17.25" customHeight="1" thickBot="1">
      <c r="A32" s="298"/>
      <c r="C32" s="311">
        <v>43070</v>
      </c>
      <c r="D32" s="311">
        <v>43101</v>
      </c>
      <c r="E32" s="311">
        <v>43132</v>
      </c>
      <c r="F32" s="311">
        <v>43163</v>
      </c>
      <c r="G32" s="311">
        <v>43194</v>
      </c>
      <c r="H32" s="311">
        <v>43225</v>
      </c>
      <c r="I32" s="311">
        <f>H32+31</f>
        <v>43256</v>
      </c>
      <c r="J32" s="309"/>
    </row>
    <row r="33" spans="1:15" ht="17.25" customHeight="1" thickBot="1">
      <c r="A33" s="298"/>
      <c r="B33" s="308" t="s">
        <v>130</v>
      </c>
      <c r="C33" s="310">
        <v>1951036</v>
      </c>
      <c r="D33" s="310">
        <v>1985676</v>
      </c>
      <c r="E33" s="310">
        <v>1911375</v>
      </c>
      <c r="F33" s="310">
        <v>7531</v>
      </c>
      <c r="G33" s="310">
        <v>7531</v>
      </c>
      <c r="H33" s="310">
        <v>7531</v>
      </c>
      <c r="I33" s="310">
        <v>7531</v>
      </c>
      <c r="J33" s="309"/>
    </row>
    <row r="34" spans="1:15" ht="15.75" thickBot="1">
      <c r="A34" s="298"/>
      <c r="B34" s="308" t="s">
        <v>129</v>
      </c>
      <c r="C34" s="307">
        <v>1448253</v>
      </c>
      <c r="D34" s="307">
        <v>1629547</v>
      </c>
      <c r="E34" s="307">
        <v>1644086</v>
      </c>
      <c r="F34" s="307">
        <v>1070233</v>
      </c>
      <c r="G34" s="307">
        <v>1117869</v>
      </c>
      <c r="H34" s="307">
        <v>1107224</v>
      </c>
      <c r="I34" s="307">
        <v>1139841</v>
      </c>
      <c r="L34" t="s">
        <v>158</v>
      </c>
    </row>
    <row r="35" spans="1:15" ht="15.75" customHeight="1">
      <c r="A35" s="298"/>
      <c r="B35" t="s">
        <v>128</v>
      </c>
      <c r="C35"/>
      <c r="D35"/>
      <c r="E35"/>
      <c r="F35"/>
      <c r="G35"/>
      <c r="H35"/>
      <c r="K35"/>
      <c r="L35" s="295">
        <f>IRR(H38:H212,1%)</f>
        <v>2.8510763757261026E-2</v>
      </c>
      <c r="M35" s="306" t="s">
        <v>127</v>
      </c>
    </row>
    <row r="36" spans="1:15" ht="15.75" customHeight="1">
      <c r="A36" s="298"/>
      <c r="B36" s="305" t="s">
        <v>126</v>
      </c>
      <c r="C36" s="342" t="s">
        <v>125</v>
      </c>
      <c r="D36" s="305" t="s">
        <v>124</v>
      </c>
      <c r="E36" s="342" t="s">
        <v>157</v>
      </c>
      <c r="F36" s="305" t="s">
        <v>123</v>
      </c>
      <c r="G36" s="305" t="s">
        <v>78</v>
      </c>
      <c r="H36" s="305" t="s">
        <v>111</v>
      </c>
      <c r="I36" s="342" t="s">
        <v>157</v>
      </c>
      <c r="J36" s="305" t="s">
        <v>122</v>
      </c>
      <c r="K36" s="305" t="s">
        <v>121</v>
      </c>
      <c r="L36" s="295">
        <f>(1+L35)^12-1</f>
        <v>0.40121924452323054</v>
      </c>
      <c r="M36" s="304" t="s">
        <v>120</v>
      </c>
    </row>
    <row r="37" spans="1:15" ht="15.75" customHeight="1">
      <c r="A37" s="298"/>
      <c r="C37" s="303">
        <f t="shared" ref="C37:H37" si="11">SUM(C38:C210)</f>
        <v>-7026198.54</v>
      </c>
      <c r="D37" s="293">
        <f t="shared" si="11"/>
        <v>205953715.80346203</v>
      </c>
      <c r="E37" s="293">
        <f>SUM(E38:E213)</f>
        <v>160362949.34937054</v>
      </c>
      <c r="F37" s="293">
        <f t="shared" si="11"/>
        <v>3469180.66</v>
      </c>
      <c r="G37" s="293">
        <f t="shared" si="11"/>
        <v>-61785.72</v>
      </c>
      <c r="H37" s="293">
        <f t="shared" si="11"/>
        <v>195520122.32346204</v>
      </c>
      <c r="I37" s="293">
        <f>SUM(I38:I212)</f>
        <v>147642726.43655312</v>
      </c>
      <c r="J37" s="293"/>
      <c r="K37" s="293">
        <f>SUM(K38:K210)</f>
        <v>103559709.36556885</v>
      </c>
      <c r="L37" s="290">
        <v>0.01</v>
      </c>
      <c r="M37" t="s">
        <v>119</v>
      </c>
    </row>
    <row r="38" spans="1:15" ht="15.75" customHeight="1">
      <c r="A38" s="298"/>
      <c r="B38" s="302">
        <v>41671</v>
      </c>
      <c r="C38" s="300">
        <v>-3900000</v>
      </c>
      <c r="D38" s="300">
        <v>1000</v>
      </c>
      <c r="E38" s="300">
        <v>1000</v>
      </c>
      <c r="F38" s="300">
        <v>1000</v>
      </c>
      <c r="G38" s="300"/>
      <c r="H38" s="300">
        <f>D38-F38-G38+C38</f>
        <v>-3900000</v>
      </c>
      <c r="I38" s="300">
        <f>E38-F38-G38+C38</f>
        <v>-3900000</v>
      </c>
      <c r="J38" s="300">
        <f>H38</f>
        <v>-3900000</v>
      </c>
      <c r="K38" s="299">
        <f t="shared" ref="K38:K69" si="12">PV($L$37,A38,,-H38)</f>
        <v>-3900000</v>
      </c>
    </row>
    <row r="39" spans="1:15" ht="15.75" customHeight="1">
      <c r="A39" s="298"/>
      <c r="B39" s="302">
        <v>41699</v>
      </c>
      <c r="C39" s="300">
        <v>0</v>
      </c>
      <c r="D39" s="300">
        <v>0</v>
      </c>
      <c r="E39" s="300">
        <v>0</v>
      </c>
      <c r="F39" s="300">
        <v>0</v>
      </c>
      <c r="G39" s="300"/>
      <c r="H39" s="300">
        <f t="shared" ref="H39:H42" si="13">D39-F39-G39+C39</f>
        <v>0</v>
      </c>
      <c r="I39" s="300">
        <f t="shared" ref="I39:I42" si="14">E39-F39-G39+C39</f>
        <v>0</v>
      </c>
      <c r="J39" s="300">
        <f t="shared" ref="J39:J70" si="15">H39+J38</f>
        <v>-3900000</v>
      </c>
      <c r="K39" s="299">
        <f t="shared" si="12"/>
        <v>0</v>
      </c>
      <c r="L39" t="s">
        <v>159</v>
      </c>
    </row>
    <row r="40" spans="1:15" ht="15.75" customHeight="1">
      <c r="A40" s="298"/>
      <c r="B40" s="302">
        <v>41730</v>
      </c>
      <c r="C40" s="300">
        <v>-1550000</v>
      </c>
      <c r="D40" s="300">
        <v>1.0186340659856796E-10</v>
      </c>
      <c r="E40" s="300">
        <v>1.0186340659856796E-10</v>
      </c>
      <c r="F40" s="300">
        <v>9245.14</v>
      </c>
      <c r="G40" s="300"/>
      <c r="H40" s="300">
        <f t="shared" si="13"/>
        <v>-1559245.14</v>
      </c>
      <c r="I40" s="300">
        <f t="shared" si="14"/>
        <v>-1559245.14</v>
      </c>
      <c r="J40" s="300">
        <f t="shared" si="15"/>
        <v>-5459245.1399999997</v>
      </c>
      <c r="K40" s="299">
        <f t="shared" si="12"/>
        <v>-1559245.14</v>
      </c>
      <c r="L40" s="295">
        <f>IRR(I38:I212,1%)</f>
        <v>3.0839069049735546E-2</v>
      </c>
      <c r="M40" s="306" t="s">
        <v>127</v>
      </c>
    </row>
    <row r="41" spans="1:15" ht="15.75" customHeight="1">
      <c r="A41" s="298"/>
      <c r="B41" s="302">
        <v>41760</v>
      </c>
      <c r="C41" s="300">
        <v>0</v>
      </c>
      <c r="D41" s="300">
        <v>4648.7000000000116</v>
      </c>
      <c r="E41" s="300">
        <v>4648.7000000000116</v>
      </c>
      <c r="F41" s="300">
        <v>144916.81</v>
      </c>
      <c r="G41" s="300"/>
      <c r="H41" s="300">
        <f t="shared" si="13"/>
        <v>-140268.10999999999</v>
      </c>
      <c r="I41" s="300">
        <f t="shared" si="14"/>
        <v>-140268.10999999999</v>
      </c>
      <c r="J41" s="300">
        <f t="shared" si="15"/>
        <v>-5599513.25</v>
      </c>
      <c r="K41" s="299">
        <f t="shared" si="12"/>
        <v>-140268.10999999999</v>
      </c>
      <c r="L41" s="295">
        <f>(1+L40)^12-1</f>
        <v>0.43976111731132006</v>
      </c>
      <c r="M41" s="304" t="s">
        <v>120</v>
      </c>
    </row>
    <row r="42" spans="1:15" ht="15.75" customHeight="1">
      <c r="A42" s="298"/>
      <c r="B42" s="302">
        <v>41791</v>
      </c>
      <c r="C42" s="300">
        <v>-1576198.54</v>
      </c>
      <c r="D42" s="300">
        <v>5646.4399999999296</v>
      </c>
      <c r="E42" s="300">
        <v>5646.4399999999296</v>
      </c>
      <c r="F42" s="300">
        <v>56507.040000000001</v>
      </c>
      <c r="G42" s="300"/>
      <c r="H42" s="300">
        <f t="shared" si="13"/>
        <v>-1627059.1400000001</v>
      </c>
      <c r="I42" s="300">
        <f t="shared" si="14"/>
        <v>-1627059.1400000001</v>
      </c>
      <c r="J42" s="300">
        <f t="shared" si="15"/>
        <v>-7226572.3900000006</v>
      </c>
      <c r="K42" s="299">
        <f t="shared" si="12"/>
        <v>-1627059.1400000001</v>
      </c>
    </row>
    <row r="43" spans="1:15" ht="15.75" customHeight="1">
      <c r="A43" s="298"/>
      <c r="B43" s="302">
        <v>41821</v>
      </c>
      <c r="C43" s="300"/>
      <c r="D43" s="300">
        <v>33095.960000000021</v>
      </c>
      <c r="E43" s="300">
        <v>33095.960000000021</v>
      </c>
      <c r="F43" s="300">
        <v>234520.85</v>
      </c>
      <c r="G43" s="300"/>
      <c r="H43" s="300">
        <f t="shared" ref="H43:H69" si="16">D43-F43-G43</f>
        <v>-201424.88999999998</v>
      </c>
      <c r="I43" s="300">
        <f t="shared" ref="I43:I102" si="17">E43-F43-G43</f>
        <v>-201424.88999999998</v>
      </c>
      <c r="J43" s="300">
        <f t="shared" si="15"/>
        <v>-7427997.2800000003</v>
      </c>
      <c r="K43" s="299">
        <f t="shared" si="12"/>
        <v>-201424.88999999998</v>
      </c>
    </row>
    <row r="44" spans="1:15">
      <c r="A44" s="298"/>
      <c r="B44" s="302">
        <v>41852</v>
      </c>
      <c r="C44" s="300"/>
      <c r="D44" s="300">
        <v>-39125.31</v>
      </c>
      <c r="E44" s="300">
        <v>-39125.31</v>
      </c>
      <c r="F44" s="300">
        <v>282000</v>
      </c>
      <c r="G44" s="300"/>
      <c r="H44" s="300">
        <f t="shared" si="16"/>
        <v>-321125.31</v>
      </c>
      <c r="I44" s="300">
        <f t="shared" si="17"/>
        <v>-321125.31</v>
      </c>
      <c r="J44" s="300">
        <f t="shared" si="15"/>
        <v>-7749122.5899999999</v>
      </c>
      <c r="K44" s="299">
        <f t="shared" si="12"/>
        <v>-321125.31</v>
      </c>
    </row>
    <row r="45" spans="1:15">
      <c r="A45" s="298"/>
      <c r="B45" s="302">
        <v>41883</v>
      </c>
      <c r="C45" s="300"/>
      <c r="D45" s="300">
        <v>40613.97000000003</v>
      </c>
      <c r="E45" s="300">
        <v>40613.97000000003</v>
      </c>
      <c r="F45" s="300">
        <v>294703</v>
      </c>
      <c r="G45" s="300"/>
      <c r="H45" s="300">
        <f t="shared" si="16"/>
        <v>-254089.02999999997</v>
      </c>
      <c r="I45" s="300">
        <f t="shared" si="17"/>
        <v>-254089.02999999997</v>
      </c>
      <c r="J45" s="300">
        <f t="shared" si="15"/>
        <v>-8003211.6200000001</v>
      </c>
      <c r="K45" s="299">
        <f t="shared" si="12"/>
        <v>-254089.02999999997</v>
      </c>
      <c r="O45" s="295"/>
    </row>
    <row r="46" spans="1:15">
      <c r="A46" s="298"/>
      <c r="B46" s="302">
        <v>41913</v>
      </c>
      <c r="C46" s="300"/>
      <c r="D46" s="300">
        <v>10858.239999999932</v>
      </c>
      <c r="E46" s="300">
        <v>10858.239999999932</v>
      </c>
      <c r="F46" s="300">
        <v>336523.13</v>
      </c>
      <c r="G46" s="300"/>
      <c r="H46" s="300">
        <f t="shared" si="16"/>
        <v>-325664.89000000007</v>
      </c>
      <c r="I46" s="300">
        <f t="shared" si="17"/>
        <v>-325664.89000000007</v>
      </c>
      <c r="J46" s="300">
        <f t="shared" si="15"/>
        <v>-8328876.5099999998</v>
      </c>
      <c r="K46" s="299">
        <f t="shared" si="12"/>
        <v>-325664.89000000007</v>
      </c>
      <c r="O46" s="295"/>
    </row>
    <row r="47" spans="1:15">
      <c r="A47" s="298"/>
      <c r="B47" s="302">
        <v>41944</v>
      </c>
      <c r="C47" s="300"/>
      <c r="D47" s="300">
        <v>-27322.960000000021</v>
      </c>
      <c r="E47" s="300">
        <v>-27322.960000000021</v>
      </c>
      <c r="F47" s="300">
        <v>334023.09999999998</v>
      </c>
      <c r="G47" s="300"/>
      <c r="H47" s="300">
        <f t="shared" si="16"/>
        <v>-361346.06</v>
      </c>
      <c r="I47" s="300">
        <f t="shared" si="17"/>
        <v>-361346.06</v>
      </c>
      <c r="J47" s="300">
        <f t="shared" si="15"/>
        <v>-8690222.5700000003</v>
      </c>
      <c r="K47" s="299">
        <f t="shared" si="12"/>
        <v>-361346.06</v>
      </c>
      <c r="O47" s="295"/>
    </row>
    <row r="48" spans="1:15">
      <c r="A48" s="298"/>
      <c r="B48" s="302">
        <v>41974</v>
      </c>
      <c r="C48" s="300"/>
      <c r="D48" s="300">
        <v>38884.75</v>
      </c>
      <c r="E48" s="300">
        <v>38884.75</v>
      </c>
      <c r="F48" s="300">
        <v>141866</v>
      </c>
      <c r="G48" s="300"/>
      <c r="H48" s="300">
        <f t="shared" si="16"/>
        <v>-102981.25</v>
      </c>
      <c r="I48" s="300">
        <f t="shared" si="17"/>
        <v>-102981.25</v>
      </c>
      <c r="J48" s="300">
        <f t="shared" si="15"/>
        <v>-8793203.8200000003</v>
      </c>
      <c r="K48" s="299">
        <f t="shared" si="12"/>
        <v>-102981.25</v>
      </c>
      <c r="M48" s="483"/>
      <c r="O48" s="295"/>
    </row>
    <row r="49" spans="1:15">
      <c r="A49" s="298"/>
      <c r="B49" s="302">
        <v>42005</v>
      </c>
      <c r="C49" s="300"/>
      <c r="D49" s="300">
        <v>3149.1200000000099</v>
      </c>
      <c r="E49" s="300">
        <v>3149.1200000000099</v>
      </c>
      <c r="F49" s="300">
        <v>96343</v>
      </c>
      <c r="G49" s="300"/>
      <c r="H49" s="300">
        <f t="shared" si="16"/>
        <v>-93193.87999999999</v>
      </c>
      <c r="I49" s="300">
        <f t="shared" si="17"/>
        <v>-93193.87999999999</v>
      </c>
      <c r="J49" s="300">
        <f t="shared" si="15"/>
        <v>-8886397.7000000011</v>
      </c>
      <c r="K49" s="299">
        <f t="shared" si="12"/>
        <v>-93193.87999999999</v>
      </c>
      <c r="O49" s="295"/>
    </row>
    <row r="50" spans="1:15">
      <c r="A50" s="298"/>
      <c r="B50" s="302">
        <v>42036</v>
      </c>
      <c r="C50" s="300"/>
      <c r="D50" s="300">
        <v>-35251.729999999981</v>
      </c>
      <c r="E50" s="300">
        <v>-35251.729999999981</v>
      </c>
      <c r="F50" s="300">
        <v>187506</v>
      </c>
      <c r="G50" s="300"/>
      <c r="H50" s="300">
        <f t="shared" si="16"/>
        <v>-222757.72999999998</v>
      </c>
      <c r="I50" s="300">
        <f t="shared" si="17"/>
        <v>-222757.72999999998</v>
      </c>
      <c r="J50" s="300">
        <f t="shared" si="15"/>
        <v>-9109155.4300000016</v>
      </c>
      <c r="K50" s="299">
        <f t="shared" si="12"/>
        <v>-222757.72999999998</v>
      </c>
      <c r="O50" s="295"/>
    </row>
    <row r="51" spans="1:15">
      <c r="A51" s="298"/>
      <c r="B51" s="302">
        <v>42064</v>
      </c>
      <c r="C51" s="300"/>
      <c r="D51" s="300">
        <v>112725.78000000003</v>
      </c>
      <c r="E51" s="300">
        <v>112725.78000000003</v>
      </c>
      <c r="F51" s="300">
        <v>352511.76</v>
      </c>
      <c r="G51" s="300"/>
      <c r="H51" s="300">
        <f t="shared" si="16"/>
        <v>-239785.97999999998</v>
      </c>
      <c r="I51" s="300">
        <f t="shared" si="17"/>
        <v>-239785.97999999998</v>
      </c>
      <c r="J51" s="300">
        <f t="shared" si="15"/>
        <v>-9348941.410000002</v>
      </c>
      <c r="K51" s="299">
        <f t="shared" si="12"/>
        <v>-239785.97999999998</v>
      </c>
      <c r="O51" s="295"/>
    </row>
    <row r="52" spans="1:15">
      <c r="A52" s="298"/>
      <c r="B52" s="302">
        <v>42095</v>
      </c>
      <c r="C52" s="300"/>
      <c r="D52" s="300">
        <v>-129667.73000000004</v>
      </c>
      <c r="E52" s="300">
        <v>-129667.73000000004</v>
      </c>
      <c r="F52" s="300">
        <v>152949</v>
      </c>
      <c r="G52" s="300"/>
      <c r="H52" s="300">
        <f t="shared" si="16"/>
        <v>-282616.73000000004</v>
      </c>
      <c r="I52" s="300">
        <f t="shared" si="17"/>
        <v>-282616.73000000004</v>
      </c>
      <c r="J52" s="300">
        <f t="shared" si="15"/>
        <v>-9631558.1400000025</v>
      </c>
      <c r="K52" s="299">
        <f t="shared" si="12"/>
        <v>-282616.73000000004</v>
      </c>
      <c r="O52" s="295"/>
    </row>
    <row r="53" spans="1:15">
      <c r="A53" s="298"/>
      <c r="B53" s="302">
        <v>42125</v>
      </c>
      <c r="C53" s="300"/>
      <c r="D53" s="300">
        <v>20657.10000000021</v>
      </c>
      <c r="E53" s="300">
        <v>20657.10000000021</v>
      </c>
      <c r="F53" s="300">
        <v>296022.2</v>
      </c>
      <c r="G53" s="300"/>
      <c r="H53" s="300">
        <f t="shared" si="16"/>
        <v>-275365.0999999998</v>
      </c>
      <c r="I53" s="300">
        <f t="shared" si="17"/>
        <v>-275365.0999999998</v>
      </c>
      <c r="J53" s="300">
        <f t="shared" si="15"/>
        <v>-9906923.2400000021</v>
      </c>
      <c r="K53" s="299">
        <f t="shared" si="12"/>
        <v>-275365.0999999998</v>
      </c>
      <c r="O53" s="295"/>
    </row>
    <row r="54" spans="1:15">
      <c r="A54" s="298"/>
      <c r="B54" s="302">
        <v>42156</v>
      </c>
      <c r="C54" s="300"/>
      <c r="D54" s="300">
        <v>-684.46000000013737</v>
      </c>
      <c r="E54" s="300">
        <v>-684.46000000013737</v>
      </c>
      <c r="F54" s="300">
        <v>195139.94</v>
      </c>
      <c r="G54" s="300"/>
      <c r="H54" s="300">
        <f t="shared" si="16"/>
        <v>-195824.40000000014</v>
      </c>
      <c r="I54" s="300">
        <f t="shared" si="17"/>
        <v>-195824.40000000014</v>
      </c>
      <c r="J54" s="300">
        <f t="shared" si="15"/>
        <v>-10102747.640000002</v>
      </c>
      <c r="K54" s="299">
        <f t="shared" si="12"/>
        <v>-195824.40000000014</v>
      </c>
      <c r="O54" s="295"/>
    </row>
    <row r="55" spans="1:15">
      <c r="A55" s="298"/>
      <c r="B55" s="302">
        <v>42186</v>
      </c>
      <c r="C55" s="300"/>
      <c r="D55" s="300">
        <v>-4338.7899999999208</v>
      </c>
      <c r="E55" s="300">
        <v>-4338.7899999999208</v>
      </c>
      <c r="F55" s="300">
        <v>126299.52</v>
      </c>
      <c r="G55" s="300"/>
      <c r="H55" s="300">
        <f t="shared" si="16"/>
        <v>-130638.30999999992</v>
      </c>
      <c r="I55" s="300">
        <f t="shared" si="17"/>
        <v>-130638.30999999992</v>
      </c>
      <c r="J55" s="300">
        <f t="shared" si="15"/>
        <v>-10233385.950000003</v>
      </c>
      <c r="K55" s="299">
        <f t="shared" si="12"/>
        <v>-130638.30999999992</v>
      </c>
      <c r="O55" s="295"/>
    </row>
    <row r="56" spans="1:15">
      <c r="A56" s="298"/>
      <c r="B56" s="302">
        <v>42217</v>
      </c>
      <c r="C56" s="300"/>
      <c r="D56" s="300">
        <v>-13257.180000000168</v>
      </c>
      <c r="E56" s="300">
        <v>-13257.180000000168</v>
      </c>
      <c r="F56" s="300">
        <v>176265.07</v>
      </c>
      <c r="G56" s="300"/>
      <c r="H56" s="300">
        <f t="shared" si="16"/>
        <v>-189522.25000000017</v>
      </c>
      <c r="I56" s="300">
        <f t="shared" si="17"/>
        <v>-189522.25000000017</v>
      </c>
      <c r="J56" s="300">
        <f t="shared" si="15"/>
        <v>-10422908.200000003</v>
      </c>
      <c r="K56" s="299">
        <f t="shared" si="12"/>
        <v>-189522.25000000017</v>
      </c>
      <c r="O56" s="295"/>
    </row>
    <row r="57" spans="1:15">
      <c r="A57" s="298"/>
      <c r="B57" s="302">
        <v>42248</v>
      </c>
      <c r="C57" s="300"/>
      <c r="D57" s="300">
        <v>-28505.899999999965</v>
      </c>
      <c r="E57" s="300">
        <v>-28505.899999999965</v>
      </c>
      <c r="F57" s="300">
        <v>40065.910000000003</v>
      </c>
      <c r="G57" s="300"/>
      <c r="H57" s="300">
        <f t="shared" si="16"/>
        <v>-68571.809999999969</v>
      </c>
      <c r="I57" s="300">
        <f t="shared" si="17"/>
        <v>-68571.809999999969</v>
      </c>
      <c r="J57" s="300">
        <f t="shared" si="15"/>
        <v>-10491480.010000004</v>
      </c>
      <c r="K57" s="299">
        <f t="shared" si="12"/>
        <v>-68571.809999999969</v>
      </c>
      <c r="O57" s="295"/>
    </row>
    <row r="58" spans="1:15">
      <c r="A58" s="298"/>
      <c r="B58" s="302">
        <v>42278</v>
      </c>
      <c r="C58" s="300"/>
      <c r="D58" s="300">
        <v>29603.740000000107</v>
      </c>
      <c r="E58" s="300">
        <v>29603.740000000107</v>
      </c>
      <c r="F58" s="300">
        <v>0</v>
      </c>
      <c r="G58" s="300"/>
      <c r="H58" s="300">
        <f t="shared" si="16"/>
        <v>29603.740000000107</v>
      </c>
      <c r="I58" s="300">
        <f t="shared" si="17"/>
        <v>29603.740000000107</v>
      </c>
      <c r="J58" s="300">
        <f t="shared" si="15"/>
        <v>-10461876.270000003</v>
      </c>
      <c r="K58" s="299">
        <f t="shared" si="12"/>
        <v>29603.740000000107</v>
      </c>
      <c r="L58" s="295"/>
      <c r="M58" s="306"/>
      <c r="O58" s="295"/>
    </row>
    <row r="59" spans="1:15">
      <c r="A59" s="298"/>
      <c r="B59" s="302">
        <v>42309</v>
      </c>
      <c r="C59" s="300"/>
      <c r="D59" s="300">
        <v>3576.0200000000768</v>
      </c>
      <c r="E59" s="300">
        <v>3576.0200000000768</v>
      </c>
      <c r="F59" s="300">
        <v>0</v>
      </c>
      <c r="G59" s="300"/>
      <c r="H59" s="300">
        <f t="shared" si="16"/>
        <v>3576.0200000000768</v>
      </c>
      <c r="I59" s="300">
        <f t="shared" si="17"/>
        <v>3576.0200000000768</v>
      </c>
      <c r="J59" s="300">
        <f t="shared" si="15"/>
        <v>-10458300.250000004</v>
      </c>
      <c r="K59" s="299">
        <f t="shared" si="12"/>
        <v>3576.0200000000768</v>
      </c>
      <c r="O59" s="295"/>
    </row>
    <row r="60" spans="1:15">
      <c r="A60" s="298"/>
      <c r="B60" s="302">
        <v>42339</v>
      </c>
      <c r="C60" s="300"/>
      <c r="D60" s="300">
        <v>28747.099999999977</v>
      </c>
      <c r="E60" s="300">
        <v>28747.099999999977</v>
      </c>
      <c r="F60" s="300">
        <v>0</v>
      </c>
      <c r="G60" s="300"/>
      <c r="H60" s="300">
        <f t="shared" si="16"/>
        <v>28747.099999999977</v>
      </c>
      <c r="I60" s="300">
        <f t="shared" si="17"/>
        <v>28747.099999999977</v>
      </c>
      <c r="J60" s="300">
        <f t="shared" si="15"/>
        <v>-10429553.150000004</v>
      </c>
      <c r="K60" s="299">
        <f t="shared" si="12"/>
        <v>28747.099999999977</v>
      </c>
      <c r="O60" s="295"/>
    </row>
    <row r="61" spans="1:15">
      <c r="A61" s="298"/>
      <c r="B61" s="302">
        <v>42370</v>
      </c>
      <c r="C61" s="300"/>
      <c r="D61" s="300">
        <v>-26443.960000000079</v>
      </c>
      <c r="E61" s="300">
        <v>-26443.960000000079</v>
      </c>
      <c r="F61" s="300">
        <v>0</v>
      </c>
      <c r="G61" s="300"/>
      <c r="H61" s="300">
        <f t="shared" si="16"/>
        <v>-26443.960000000079</v>
      </c>
      <c r="I61" s="300">
        <f t="shared" si="17"/>
        <v>-26443.960000000079</v>
      </c>
      <c r="J61" s="300">
        <f t="shared" si="15"/>
        <v>-10455997.110000005</v>
      </c>
      <c r="K61" s="299">
        <f t="shared" si="12"/>
        <v>-26443.960000000079</v>
      </c>
      <c r="O61" s="295"/>
    </row>
    <row r="62" spans="1:15">
      <c r="A62" s="298"/>
      <c r="B62" s="302">
        <v>42401</v>
      </c>
      <c r="C62" s="300"/>
      <c r="D62" s="300">
        <v>38693.849999999977</v>
      </c>
      <c r="E62" s="300">
        <v>38693.849999999977</v>
      </c>
      <c r="F62" s="300">
        <v>0</v>
      </c>
      <c r="G62" s="300"/>
      <c r="H62" s="300">
        <f t="shared" si="16"/>
        <v>38693.849999999977</v>
      </c>
      <c r="I62" s="300">
        <f t="shared" si="17"/>
        <v>38693.849999999977</v>
      </c>
      <c r="J62" s="300">
        <f t="shared" si="15"/>
        <v>-10417303.260000005</v>
      </c>
      <c r="K62" s="299">
        <f t="shared" si="12"/>
        <v>38693.849999999977</v>
      </c>
      <c r="O62" s="295"/>
    </row>
    <row r="63" spans="1:15">
      <c r="A63" s="298"/>
      <c r="B63" s="302">
        <v>42430</v>
      </c>
      <c r="C63" s="300"/>
      <c r="D63" s="300">
        <v>-35803.10000000021</v>
      </c>
      <c r="E63" s="300">
        <v>-35803.10000000021</v>
      </c>
      <c r="F63" s="300">
        <v>0</v>
      </c>
      <c r="G63" s="300"/>
      <c r="H63" s="300">
        <f t="shared" si="16"/>
        <v>-35803.10000000021</v>
      </c>
      <c r="I63" s="300">
        <f t="shared" si="17"/>
        <v>-35803.10000000021</v>
      </c>
      <c r="J63" s="300">
        <f t="shared" si="15"/>
        <v>-10453106.360000005</v>
      </c>
      <c r="K63" s="299">
        <f t="shared" si="12"/>
        <v>-35803.10000000021</v>
      </c>
      <c r="O63" s="295"/>
    </row>
    <row r="64" spans="1:15">
      <c r="A64" s="298"/>
      <c r="B64" s="302">
        <v>42461</v>
      </c>
      <c r="C64" s="300"/>
      <c r="D64" s="300">
        <v>11311.140000000014</v>
      </c>
      <c r="E64" s="300">
        <v>11311.140000000014</v>
      </c>
      <c r="F64" s="300">
        <v>0</v>
      </c>
      <c r="G64" s="300"/>
      <c r="H64" s="300">
        <f t="shared" si="16"/>
        <v>11311.140000000014</v>
      </c>
      <c r="I64" s="300">
        <f t="shared" si="17"/>
        <v>11311.140000000014</v>
      </c>
      <c r="J64" s="300">
        <f t="shared" si="15"/>
        <v>-10441795.220000004</v>
      </c>
      <c r="K64" s="299">
        <f t="shared" si="12"/>
        <v>11311.140000000014</v>
      </c>
      <c r="O64" s="295"/>
    </row>
    <row r="65" spans="1:15">
      <c r="A65" s="298"/>
      <c r="B65" s="302">
        <v>42491</v>
      </c>
      <c r="C65" s="300"/>
      <c r="D65" s="300">
        <v>-22364.500000000116</v>
      </c>
      <c r="E65" s="300">
        <v>-22364.500000000116</v>
      </c>
      <c r="F65" s="300">
        <v>0</v>
      </c>
      <c r="G65" s="300"/>
      <c r="H65" s="300">
        <f t="shared" si="16"/>
        <v>-22364.500000000116</v>
      </c>
      <c r="I65" s="300">
        <f t="shared" si="17"/>
        <v>-22364.500000000116</v>
      </c>
      <c r="J65" s="300">
        <f t="shared" si="15"/>
        <v>-10464159.720000004</v>
      </c>
      <c r="K65" s="299">
        <f t="shared" si="12"/>
        <v>-22364.500000000116</v>
      </c>
      <c r="O65" s="295"/>
    </row>
    <row r="66" spans="1:15">
      <c r="A66" s="298"/>
      <c r="B66" s="302">
        <v>42522</v>
      </c>
      <c r="C66" s="300"/>
      <c r="D66" s="300">
        <v>79546.429999999702</v>
      </c>
      <c r="E66" s="300">
        <v>79546.429999999702</v>
      </c>
      <c r="F66" s="300">
        <v>0</v>
      </c>
      <c r="G66" s="300"/>
      <c r="H66" s="300">
        <f t="shared" si="16"/>
        <v>79546.429999999702</v>
      </c>
      <c r="I66" s="300">
        <f t="shared" si="17"/>
        <v>79546.429999999702</v>
      </c>
      <c r="J66" s="300">
        <f t="shared" si="15"/>
        <v>-10384613.290000005</v>
      </c>
      <c r="K66" s="299">
        <f t="shared" si="12"/>
        <v>79546.429999999702</v>
      </c>
      <c r="O66" s="295"/>
    </row>
    <row r="67" spans="1:15">
      <c r="A67" s="298"/>
      <c r="B67" s="302">
        <v>42552</v>
      </c>
      <c r="C67" s="300"/>
      <c r="D67" s="300">
        <v>-59325.179999999935</v>
      </c>
      <c r="E67" s="300">
        <v>-59325.179999999935</v>
      </c>
      <c r="F67" s="300">
        <v>0</v>
      </c>
      <c r="G67" s="300"/>
      <c r="H67" s="300">
        <f t="shared" si="16"/>
        <v>-59325.179999999935</v>
      </c>
      <c r="I67" s="300">
        <f t="shared" si="17"/>
        <v>-59325.179999999935</v>
      </c>
      <c r="J67" s="300">
        <f t="shared" si="15"/>
        <v>-10443938.470000004</v>
      </c>
      <c r="K67" s="299">
        <f t="shared" si="12"/>
        <v>-59325.179999999935</v>
      </c>
      <c r="O67" s="295"/>
    </row>
    <row r="68" spans="1:15">
      <c r="A68" s="298"/>
      <c r="B68" s="302">
        <v>42583</v>
      </c>
      <c r="C68" s="300"/>
      <c r="D68" s="300">
        <v>-11204.209999999963</v>
      </c>
      <c r="E68" s="300">
        <v>-11204.209999999963</v>
      </c>
      <c r="F68" s="300">
        <v>0</v>
      </c>
      <c r="G68" s="300"/>
      <c r="H68" s="300">
        <f t="shared" si="16"/>
        <v>-11204.209999999963</v>
      </c>
      <c r="I68" s="300">
        <f t="shared" si="17"/>
        <v>-11204.209999999963</v>
      </c>
      <c r="J68" s="300">
        <f t="shared" si="15"/>
        <v>-10455142.680000003</v>
      </c>
      <c r="K68" s="299">
        <f t="shared" si="12"/>
        <v>-11204.209999999963</v>
      </c>
      <c r="O68" s="295"/>
    </row>
    <row r="69" spans="1:15">
      <c r="A69" s="298"/>
      <c r="B69" s="302">
        <v>42614</v>
      </c>
      <c r="C69" s="300"/>
      <c r="D69" s="300">
        <v>10577.630000000121</v>
      </c>
      <c r="E69" s="300">
        <v>10577.630000000121</v>
      </c>
      <c r="F69" s="300">
        <v>0</v>
      </c>
      <c r="G69" s="300"/>
      <c r="H69" s="300">
        <f t="shared" si="16"/>
        <v>10577.630000000121</v>
      </c>
      <c r="I69" s="300">
        <f t="shared" si="17"/>
        <v>10577.630000000121</v>
      </c>
      <c r="J69" s="300">
        <f t="shared" si="15"/>
        <v>-10444565.050000003</v>
      </c>
      <c r="K69" s="299">
        <f t="shared" si="12"/>
        <v>10577.630000000121</v>
      </c>
      <c r="O69" s="295"/>
    </row>
    <row r="70" spans="1:15">
      <c r="A70" s="298"/>
      <c r="B70" s="302">
        <v>42644</v>
      </c>
      <c r="C70" s="300"/>
      <c r="D70" s="300">
        <v>35049.619999999995</v>
      </c>
      <c r="E70" s="300">
        <v>35049.619999999995</v>
      </c>
      <c r="F70" s="300">
        <v>0</v>
      </c>
      <c r="G70" s="300"/>
      <c r="H70" s="300">
        <f t="shared" ref="H70:H101" si="18">D70-F70-G70</f>
        <v>35049.619999999995</v>
      </c>
      <c r="I70" s="300">
        <f t="shared" si="17"/>
        <v>35049.619999999995</v>
      </c>
      <c r="J70" s="300">
        <f t="shared" si="15"/>
        <v>-10409515.430000003</v>
      </c>
      <c r="K70" s="299">
        <f t="shared" ref="K70:K101" si="19">PV($L$37,A70,,-H70)</f>
        <v>35049.619999999995</v>
      </c>
      <c r="O70" s="295"/>
    </row>
    <row r="71" spans="1:15">
      <c r="A71" s="298"/>
      <c r="B71" s="302">
        <v>42675</v>
      </c>
      <c r="C71" s="300"/>
      <c r="D71" s="300">
        <v>51595.970000000088</v>
      </c>
      <c r="E71" s="300">
        <v>51595.970000000088</v>
      </c>
      <c r="F71" s="300">
        <v>0</v>
      </c>
      <c r="G71" s="300"/>
      <c r="H71" s="300">
        <f t="shared" si="18"/>
        <v>51595.970000000088</v>
      </c>
      <c r="I71" s="300">
        <f t="shared" si="17"/>
        <v>51595.970000000088</v>
      </c>
      <c r="J71" s="300">
        <f t="shared" ref="J71:J102" si="20">H71+J70</f>
        <v>-10357919.460000003</v>
      </c>
      <c r="K71" s="299">
        <f t="shared" si="19"/>
        <v>51595.970000000088</v>
      </c>
      <c r="O71" s="295"/>
    </row>
    <row r="72" spans="1:15">
      <c r="A72" s="298"/>
      <c r="B72" s="302">
        <v>42705</v>
      </c>
      <c r="C72" s="300"/>
      <c r="D72" s="300">
        <v>-29487.54999999993</v>
      </c>
      <c r="E72" s="300">
        <v>-29487.54999999993</v>
      </c>
      <c r="F72" s="300">
        <v>0</v>
      </c>
      <c r="G72" s="300"/>
      <c r="H72" s="300">
        <f t="shared" si="18"/>
        <v>-29487.54999999993</v>
      </c>
      <c r="I72" s="300">
        <f t="shared" si="17"/>
        <v>-29487.54999999993</v>
      </c>
      <c r="J72" s="300">
        <f t="shared" si="20"/>
        <v>-10387407.010000004</v>
      </c>
      <c r="K72" s="299">
        <f t="shared" si="19"/>
        <v>-29487.54999999993</v>
      </c>
      <c r="O72" s="295"/>
    </row>
    <row r="73" spans="1:15">
      <c r="A73" s="298"/>
      <c r="B73" s="302">
        <v>42736</v>
      </c>
      <c r="C73" s="300"/>
      <c r="D73" s="300">
        <v>9791.1999999999534</v>
      </c>
      <c r="E73" s="300">
        <v>9791.1999999999534</v>
      </c>
      <c r="F73" s="300">
        <v>0</v>
      </c>
      <c r="G73" s="300"/>
      <c r="H73" s="300">
        <f t="shared" si="18"/>
        <v>9791.1999999999534</v>
      </c>
      <c r="I73" s="300">
        <f t="shared" si="17"/>
        <v>9791.1999999999534</v>
      </c>
      <c r="J73" s="300">
        <f t="shared" si="20"/>
        <v>-10377615.810000004</v>
      </c>
      <c r="K73" s="299">
        <f t="shared" si="19"/>
        <v>9791.1999999999534</v>
      </c>
      <c r="O73" s="295"/>
    </row>
    <row r="74" spans="1:15">
      <c r="A74" s="298"/>
      <c r="B74" s="302">
        <v>42767</v>
      </c>
      <c r="C74" s="300"/>
      <c r="D74" s="300">
        <v>34939.839999999618</v>
      </c>
      <c r="E74" s="300">
        <v>34939.839999999618</v>
      </c>
      <c r="F74" s="300">
        <v>0</v>
      </c>
      <c r="G74" s="300"/>
      <c r="H74" s="300">
        <f t="shared" si="18"/>
        <v>34939.839999999618</v>
      </c>
      <c r="I74" s="300">
        <f t="shared" si="17"/>
        <v>34939.839999999618</v>
      </c>
      <c r="J74" s="300">
        <f t="shared" si="20"/>
        <v>-10342675.970000004</v>
      </c>
      <c r="K74" s="299">
        <f t="shared" si="19"/>
        <v>34939.839999999618</v>
      </c>
      <c r="O74" s="295"/>
    </row>
    <row r="75" spans="1:15">
      <c r="A75" s="298"/>
      <c r="B75" s="302">
        <v>42795</v>
      </c>
      <c r="C75" s="300"/>
      <c r="D75" s="300">
        <v>-67558.159999999683</v>
      </c>
      <c r="E75" s="300">
        <v>-67558.159999999683</v>
      </c>
      <c r="F75" s="300">
        <v>0</v>
      </c>
      <c r="G75" s="300"/>
      <c r="H75" s="300">
        <f t="shared" si="18"/>
        <v>-67558.159999999683</v>
      </c>
      <c r="I75" s="300">
        <f t="shared" si="17"/>
        <v>-67558.159999999683</v>
      </c>
      <c r="J75" s="300">
        <f t="shared" si="20"/>
        <v>-10410234.130000005</v>
      </c>
      <c r="K75" s="299">
        <f t="shared" si="19"/>
        <v>-67558.159999999683</v>
      </c>
      <c r="O75" s="295"/>
    </row>
    <row r="76" spans="1:15">
      <c r="A76" s="298"/>
      <c r="B76" s="302">
        <v>42826</v>
      </c>
      <c r="C76" s="300"/>
      <c r="D76" s="300">
        <v>1608.5800000003073</v>
      </c>
      <c r="E76" s="300">
        <v>1608.5800000003073</v>
      </c>
      <c r="F76" s="300">
        <v>0</v>
      </c>
      <c r="G76" s="300"/>
      <c r="H76" s="300">
        <f t="shared" si="18"/>
        <v>1608.5800000003073</v>
      </c>
      <c r="I76" s="300">
        <f t="shared" si="17"/>
        <v>1608.5800000003073</v>
      </c>
      <c r="J76" s="300">
        <f t="shared" si="20"/>
        <v>-10408625.550000004</v>
      </c>
      <c r="K76" s="299">
        <f t="shared" si="19"/>
        <v>1608.5800000003073</v>
      </c>
      <c r="O76" s="295"/>
    </row>
    <row r="77" spans="1:15">
      <c r="A77" s="298"/>
      <c r="B77" s="302">
        <v>42856</v>
      </c>
      <c r="C77" s="300"/>
      <c r="D77" s="300">
        <v>-838.55000000004657</v>
      </c>
      <c r="E77" s="300">
        <v>-838.55000000004657</v>
      </c>
      <c r="F77" s="300">
        <v>0</v>
      </c>
      <c r="G77" s="300"/>
      <c r="H77" s="300">
        <f t="shared" si="18"/>
        <v>-838.55000000004657</v>
      </c>
      <c r="I77" s="300">
        <f t="shared" si="17"/>
        <v>-838.55000000004657</v>
      </c>
      <c r="J77" s="300">
        <f t="shared" si="20"/>
        <v>-10409464.100000005</v>
      </c>
      <c r="K77" s="299">
        <f t="shared" si="19"/>
        <v>-838.55000000004657</v>
      </c>
      <c r="O77" s="295"/>
    </row>
    <row r="78" spans="1:15">
      <c r="A78" s="298"/>
      <c r="B78" s="302">
        <v>42887</v>
      </c>
      <c r="C78" s="300"/>
      <c r="D78" s="300">
        <v>107688.40999999968</v>
      </c>
      <c r="E78" s="300">
        <v>107688.40999999968</v>
      </c>
      <c r="F78" s="300">
        <v>0</v>
      </c>
      <c r="G78" s="300"/>
      <c r="H78" s="300">
        <f t="shared" si="18"/>
        <v>107688.40999999968</v>
      </c>
      <c r="I78" s="300">
        <f t="shared" si="17"/>
        <v>107688.40999999968</v>
      </c>
      <c r="J78" s="300">
        <f t="shared" si="20"/>
        <v>-10301775.690000005</v>
      </c>
      <c r="K78" s="299">
        <f t="shared" si="19"/>
        <v>107688.40999999968</v>
      </c>
      <c r="O78" s="295"/>
    </row>
    <row r="79" spans="1:15">
      <c r="A79" s="298"/>
      <c r="B79" s="302">
        <v>42917</v>
      </c>
      <c r="C79" s="300"/>
      <c r="D79" s="300">
        <v>12905.820000000065</v>
      </c>
      <c r="E79" s="300">
        <v>12905.820000000065</v>
      </c>
      <c r="F79" s="300">
        <v>0</v>
      </c>
      <c r="G79" s="300"/>
      <c r="H79" s="300">
        <f t="shared" si="18"/>
        <v>12905.820000000065</v>
      </c>
      <c r="I79" s="300">
        <f t="shared" si="17"/>
        <v>12905.820000000065</v>
      </c>
      <c r="J79" s="300">
        <f t="shared" si="20"/>
        <v>-10288869.870000005</v>
      </c>
      <c r="K79" s="299">
        <f t="shared" si="19"/>
        <v>12905.820000000065</v>
      </c>
      <c r="O79" s="295"/>
    </row>
    <row r="80" spans="1:15">
      <c r="A80" s="298"/>
      <c r="B80" s="302">
        <v>42948</v>
      </c>
      <c r="C80" s="300"/>
      <c r="D80" s="300">
        <v>-115608.42000000039</v>
      </c>
      <c r="E80" s="300">
        <v>-115608.42000000039</v>
      </c>
      <c r="F80" s="300">
        <v>10773.19</v>
      </c>
      <c r="G80" s="300"/>
      <c r="H80" s="300">
        <f t="shared" si="18"/>
        <v>-126381.61000000039</v>
      </c>
      <c r="I80" s="300">
        <f t="shared" si="17"/>
        <v>-126381.61000000039</v>
      </c>
      <c r="J80" s="300">
        <f t="shared" si="20"/>
        <v>-10415251.480000006</v>
      </c>
      <c r="K80" s="299">
        <f t="shared" si="19"/>
        <v>-126381.61000000039</v>
      </c>
      <c r="O80" s="295"/>
    </row>
    <row r="81" spans="1:15">
      <c r="A81" s="298"/>
      <c r="B81" s="302">
        <v>42979</v>
      </c>
      <c r="C81" s="300"/>
      <c r="D81" s="300">
        <v>92279.120000000112</v>
      </c>
      <c r="E81" s="300">
        <v>92279.120000000112</v>
      </c>
      <c r="F81" s="300">
        <v>0</v>
      </c>
      <c r="G81" s="300"/>
      <c r="H81" s="300">
        <f t="shared" si="18"/>
        <v>92279.120000000112</v>
      </c>
      <c r="I81" s="300">
        <f t="shared" si="17"/>
        <v>92279.120000000112</v>
      </c>
      <c r="J81" s="300">
        <f t="shared" si="20"/>
        <v>-10322972.360000007</v>
      </c>
      <c r="K81" s="299">
        <f t="shared" si="19"/>
        <v>92279.120000000112</v>
      </c>
      <c r="O81" s="295"/>
    </row>
    <row r="82" spans="1:15">
      <c r="A82" s="298"/>
      <c r="B82" s="302">
        <v>43009</v>
      </c>
      <c r="C82" s="300"/>
      <c r="D82" s="300">
        <v>-7701.6999999997206</v>
      </c>
      <c r="E82" s="300">
        <v>-7701.6999999997206</v>
      </c>
      <c r="F82" s="300">
        <v>0</v>
      </c>
      <c r="G82" s="300">
        <v>-14285.72</v>
      </c>
      <c r="H82" s="300">
        <f t="shared" si="18"/>
        <v>6584.0200000002787</v>
      </c>
      <c r="I82" s="300">
        <f t="shared" si="17"/>
        <v>6584.0200000002787</v>
      </c>
      <c r="J82" s="300">
        <f t="shared" si="20"/>
        <v>-10316388.340000007</v>
      </c>
      <c r="K82" s="299">
        <f t="shared" si="19"/>
        <v>6584.0200000002787</v>
      </c>
      <c r="O82" s="295"/>
    </row>
    <row r="83" spans="1:15">
      <c r="A83" s="298"/>
      <c r="B83" s="302">
        <v>43040</v>
      </c>
      <c r="C83" s="300"/>
      <c r="D83" s="300">
        <v>-29248.100000000559</v>
      </c>
      <c r="E83" s="300">
        <v>-29248.100000000559</v>
      </c>
      <c r="F83" s="300">
        <v>0</v>
      </c>
      <c r="G83" s="300"/>
      <c r="H83" s="300">
        <f t="shared" si="18"/>
        <v>-29248.100000000559</v>
      </c>
      <c r="I83" s="300">
        <f t="shared" si="17"/>
        <v>-29248.100000000559</v>
      </c>
      <c r="J83" s="300">
        <f t="shared" si="20"/>
        <v>-10345636.440000009</v>
      </c>
      <c r="K83" s="299">
        <f t="shared" si="19"/>
        <v>-29248.100000000559</v>
      </c>
      <c r="O83" s="295"/>
    </row>
    <row r="84" spans="1:15">
      <c r="A84" s="298"/>
      <c r="B84" s="302">
        <v>43070</v>
      </c>
      <c r="C84" s="300"/>
      <c r="D84" s="300">
        <v>-66043.789999999804</v>
      </c>
      <c r="E84" s="300">
        <v>-66043.789999999804</v>
      </c>
      <c r="F84" s="300">
        <v>0</v>
      </c>
      <c r="G84" s="300"/>
      <c r="H84" s="300">
        <f t="shared" si="18"/>
        <v>-66043.789999999804</v>
      </c>
      <c r="I84" s="300">
        <f t="shared" si="17"/>
        <v>-66043.789999999804</v>
      </c>
      <c r="J84" s="300">
        <f t="shared" si="20"/>
        <v>-10411680.230000008</v>
      </c>
      <c r="K84" s="299">
        <f t="shared" si="19"/>
        <v>-66043.789999999804</v>
      </c>
      <c r="O84" s="295"/>
    </row>
    <row r="85" spans="1:15">
      <c r="A85" s="298"/>
      <c r="B85" s="302">
        <v>43101</v>
      </c>
      <c r="C85" s="300"/>
      <c r="D85" s="300">
        <v>94460.939999999711</v>
      </c>
      <c r="E85" s="300">
        <v>94460.939999999711</v>
      </c>
      <c r="F85" s="300">
        <v>0</v>
      </c>
      <c r="G85" s="300"/>
      <c r="H85" s="300">
        <f t="shared" si="18"/>
        <v>94460.939999999711</v>
      </c>
      <c r="I85" s="300">
        <f t="shared" si="17"/>
        <v>94460.939999999711</v>
      </c>
      <c r="J85" s="300">
        <f t="shared" si="20"/>
        <v>-10317219.290000008</v>
      </c>
      <c r="K85" s="299">
        <f t="shared" si="19"/>
        <v>94460.939999999711</v>
      </c>
      <c r="O85" s="295"/>
    </row>
    <row r="86" spans="1:15">
      <c r="A86" s="298"/>
      <c r="B86" s="302">
        <v>43132</v>
      </c>
      <c r="C86" s="300"/>
      <c r="D86" s="300">
        <v>-41954.580000000307</v>
      </c>
      <c r="E86" s="300">
        <v>-41954.580000000307</v>
      </c>
      <c r="F86" s="300">
        <v>0</v>
      </c>
      <c r="G86" s="300"/>
      <c r="H86" s="300">
        <f t="shared" si="18"/>
        <v>-41954.580000000307</v>
      </c>
      <c r="I86" s="300">
        <f t="shared" si="17"/>
        <v>-41954.580000000307</v>
      </c>
      <c r="J86" s="300">
        <f t="shared" si="20"/>
        <v>-10359173.870000008</v>
      </c>
      <c r="K86" s="299">
        <f t="shared" si="19"/>
        <v>-41954.580000000307</v>
      </c>
      <c r="O86" s="295"/>
    </row>
    <row r="87" spans="1:15">
      <c r="A87" s="298"/>
      <c r="B87" s="302">
        <v>43160</v>
      </c>
      <c r="C87" s="300"/>
      <c r="D87" s="300">
        <v>28196.299999999814</v>
      </c>
      <c r="E87" s="300">
        <v>28196.299999999814</v>
      </c>
      <c r="F87" s="300">
        <v>0</v>
      </c>
      <c r="G87" s="300">
        <v>-10000</v>
      </c>
      <c r="H87" s="300">
        <f t="shared" si="18"/>
        <v>38196.299999999814</v>
      </c>
      <c r="I87" s="300">
        <f t="shared" si="17"/>
        <v>38196.299999999814</v>
      </c>
      <c r="J87" s="300">
        <f t="shared" si="20"/>
        <v>-10320977.570000008</v>
      </c>
      <c r="K87" s="299">
        <f t="shared" si="19"/>
        <v>38196.299999999814</v>
      </c>
      <c r="O87" s="295"/>
    </row>
    <row r="88" spans="1:15">
      <c r="A88" s="298"/>
      <c r="B88" s="302">
        <v>43191</v>
      </c>
      <c r="C88" s="300"/>
      <c r="D88" s="300">
        <v>-49316.489999999991</v>
      </c>
      <c r="E88" s="300">
        <v>-49316.489999999991</v>
      </c>
      <c r="F88" s="300">
        <v>0</v>
      </c>
      <c r="G88" s="300">
        <v>-37500</v>
      </c>
      <c r="H88" s="300">
        <f t="shared" si="18"/>
        <v>-11816.489999999991</v>
      </c>
      <c r="I88" s="300">
        <f t="shared" si="17"/>
        <v>-11816.489999999991</v>
      </c>
      <c r="J88" s="300">
        <f t="shared" si="20"/>
        <v>-10332794.060000008</v>
      </c>
      <c r="K88" s="299">
        <f t="shared" si="19"/>
        <v>-11816.489999999991</v>
      </c>
      <c r="O88" s="295"/>
    </row>
    <row r="89" spans="1:15">
      <c r="A89" s="298"/>
      <c r="B89" s="302">
        <v>43221</v>
      </c>
      <c r="C89" s="300"/>
      <c r="D89" s="300">
        <v>68927.929999999702</v>
      </c>
      <c r="E89" s="300">
        <v>68927.929999999702</v>
      </c>
      <c r="F89" s="300">
        <v>0</v>
      </c>
      <c r="G89" s="300"/>
      <c r="H89" s="300">
        <f t="shared" si="18"/>
        <v>68927.929999999702</v>
      </c>
      <c r="I89" s="300">
        <f t="shared" si="17"/>
        <v>68927.929999999702</v>
      </c>
      <c r="J89" s="300">
        <f t="shared" si="20"/>
        <v>-10263866.130000008</v>
      </c>
      <c r="K89" s="299">
        <f t="shared" si="19"/>
        <v>68927.929999999702</v>
      </c>
      <c r="O89" s="295"/>
    </row>
    <row r="90" spans="1:15">
      <c r="A90" s="298"/>
      <c r="B90" s="301">
        <v>43252</v>
      </c>
      <c r="C90" s="300"/>
      <c r="D90" s="300">
        <v>-59899.810000000056</v>
      </c>
      <c r="E90" s="300">
        <v>-59899.810000000056</v>
      </c>
      <c r="F90" s="300">
        <v>0</v>
      </c>
      <c r="G90" s="300"/>
      <c r="H90" s="300">
        <f t="shared" si="18"/>
        <v>-59899.810000000056</v>
      </c>
      <c r="I90" s="300">
        <f t="shared" si="17"/>
        <v>-59899.810000000056</v>
      </c>
      <c r="J90" s="300">
        <f t="shared" si="20"/>
        <v>-10323765.940000009</v>
      </c>
      <c r="K90" s="299">
        <f t="shared" si="19"/>
        <v>-59899.810000000056</v>
      </c>
      <c r="O90" s="295"/>
    </row>
    <row r="91" spans="1:15">
      <c r="A91" s="298">
        <v>1</v>
      </c>
      <c r="B91" s="301">
        <v>43282</v>
      </c>
      <c r="C91" s="300"/>
      <c r="D91" s="300">
        <v>101874.77000000025</v>
      </c>
      <c r="E91" s="300">
        <v>101874.77000000025</v>
      </c>
      <c r="F91" s="300">
        <v>0</v>
      </c>
      <c r="G91" s="300"/>
      <c r="H91" s="300">
        <f t="shared" si="18"/>
        <v>101874.77000000025</v>
      </c>
      <c r="I91" s="300">
        <f t="shared" si="17"/>
        <v>101874.77000000025</v>
      </c>
      <c r="J91" s="300">
        <f t="shared" si="20"/>
        <v>-10221891.170000009</v>
      </c>
      <c r="K91" s="299">
        <f t="shared" si="19"/>
        <v>100866.10891089134</v>
      </c>
      <c r="O91" s="295"/>
    </row>
    <row r="92" spans="1:15">
      <c r="A92" s="298">
        <f t="shared" ref="A92:A123" si="21">A91+1</f>
        <v>2</v>
      </c>
      <c r="B92" s="301">
        <v>43313</v>
      </c>
      <c r="C92" s="300"/>
      <c r="D92" s="300">
        <v>-1298412.6993060517</v>
      </c>
      <c r="E92" s="300">
        <v>-1439827.249306052</v>
      </c>
      <c r="F92" s="300">
        <v>0</v>
      </c>
      <c r="G92" s="300"/>
      <c r="H92" s="300">
        <f t="shared" si="18"/>
        <v>-1298412.6993060517</v>
      </c>
      <c r="I92" s="300">
        <f t="shared" si="17"/>
        <v>-1439827.249306052</v>
      </c>
      <c r="J92" s="300">
        <f t="shared" si="20"/>
        <v>-11520303.869306061</v>
      </c>
      <c r="K92" s="299">
        <f t="shared" si="19"/>
        <v>-1272828.8396294988</v>
      </c>
      <c r="O92" s="295"/>
    </row>
    <row r="93" spans="1:15">
      <c r="A93" s="298">
        <f t="shared" si="21"/>
        <v>3</v>
      </c>
      <c r="B93" s="301">
        <v>43344</v>
      </c>
      <c r="C93" s="300"/>
      <c r="D93" s="300">
        <v>-2292761.1899476815</v>
      </c>
      <c r="E93" s="300">
        <v>10614305.027953479</v>
      </c>
      <c r="F93" s="300">
        <v>0</v>
      </c>
      <c r="G93" s="300"/>
      <c r="H93" s="300">
        <f t="shared" si="18"/>
        <v>-2292761.1899476815</v>
      </c>
      <c r="I93" s="300">
        <f t="shared" si="17"/>
        <v>10614305.027953479</v>
      </c>
      <c r="J93" s="300">
        <f t="shared" si="20"/>
        <v>-13813065.059253743</v>
      </c>
      <c r="K93" s="299">
        <f t="shared" si="19"/>
        <v>-2225331.4225140824</v>
      </c>
      <c r="O93" s="295"/>
    </row>
    <row r="94" spans="1:15">
      <c r="A94" s="298">
        <f t="shared" si="21"/>
        <v>4</v>
      </c>
      <c r="B94" s="301">
        <v>43374</v>
      </c>
      <c r="C94" s="300"/>
      <c r="D94" s="300">
        <v>-1765571.3633027622</v>
      </c>
      <c r="E94" s="300">
        <v>-2778605.3484027563</v>
      </c>
      <c r="F94" s="300">
        <v>0</v>
      </c>
      <c r="G94" s="300"/>
      <c r="H94" s="300">
        <f t="shared" si="18"/>
        <v>-1765571.3633027622</v>
      </c>
      <c r="I94" s="300">
        <f t="shared" si="17"/>
        <v>-2778605.3484027563</v>
      </c>
      <c r="J94" s="300">
        <f t="shared" si="20"/>
        <v>-15578636.422556505</v>
      </c>
      <c r="K94" s="299">
        <f t="shared" si="19"/>
        <v>-1696679.376915684</v>
      </c>
      <c r="O94" s="295"/>
    </row>
    <row r="95" spans="1:15">
      <c r="A95" s="298">
        <f t="shared" si="21"/>
        <v>5</v>
      </c>
      <c r="B95" s="301">
        <v>43405</v>
      </c>
      <c r="C95" s="300"/>
      <c r="D95" s="300">
        <v>-987924.50398828881</v>
      </c>
      <c r="E95" s="300">
        <v>-1344776.8790882831</v>
      </c>
      <c r="F95" s="300">
        <v>0</v>
      </c>
      <c r="G95" s="300"/>
      <c r="H95" s="300">
        <f t="shared" si="18"/>
        <v>-987924.50398828881</v>
      </c>
      <c r="I95" s="300">
        <f t="shared" si="17"/>
        <v>-1344776.8790882831</v>
      </c>
      <c r="J95" s="300">
        <f t="shared" si="20"/>
        <v>-16566560.926544793</v>
      </c>
      <c r="K95" s="299">
        <f t="shared" si="19"/>
        <v>-939976.26749077346</v>
      </c>
      <c r="O95" s="295"/>
    </row>
    <row r="96" spans="1:15">
      <c r="A96" s="298">
        <f t="shared" si="21"/>
        <v>6</v>
      </c>
      <c r="B96" s="301">
        <v>43435</v>
      </c>
      <c r="C96" s="300"/>
      <c r="D96" s="300">
        <v>-605807.85332045844</v>
      </c>
      <c r="E96" s="300">
        <v>-965234.81842045253</v>
      </c>
      <c r="F96" s="300">
        <v>0</v>
      </c>
      <c r="G96" s="300"/>
      <c r="H96" s="300">
        <f t="shared" si="18"/>
        <v>-605807.85332045844</v>
      </c>
      <c r="I96" s="300">
        <f t="shared" si="17"/>
        <v>-965234.81842045253</v>
      </c>
      <c r="J96" s="300">
        <f t="shared" si="20"/>
        <v>-17172368.77986525</v>
      </c>
      <c r="K96" s="299">
        <f t="shared" si="19"/>
        <v>-570698.40170011716</v>
      </c>
      <c r="O96" s="295"/>
    </row>
    <row r="97" spans="1:15">
      <c r="A97" s="298">
        <f t="shared" si="21"/>
        <v>7</v>
      </c>
      <c r="B97" s="301">
        <v>43466</v>
      </c>
      <c r="C97" s="300"/>
      <c r="D97" s="300">
        <v>-980879.85204232624</v>
      </c>
      <c r="E97" s="300">
        <v>22507447.702857673</v>
      </c>
      <c r="F97" s="300">
        <v>0</v>
      </c>
      <c r="G97" s="300"/>
      <c r="H97" s="300">
        <f t="shared" si="18"/>
        <v>-980879.85204232624</v>
      </c>
      <c r="I97" s="300">
        <f t="shared" si="17"/>
        <v>22507447.702857673</v>
      </c>
      <c r="J97" s="300">
        <f t="shared" si="20"/>
        <v>-18153248.631907575</v>
      </c>
      <c r="K97" s="299">
        <f t="shared" si="19"/>
        <v>-914884.34749834146</v>
      </c>
      <c r="O97" s="295"/>
    </row>
    <row r="98" spans="1:15">
      <c r="A98" s="298">
        <f t="shared" si="21"/>
        <v>8</v>
      </c>
      <c r="B98" s="301">
        <v>43497</v>
      </c>
      <c r="C98" s="300"/>
      <c r="D98" s="300">
        <v>-522526.02043750742</v>
      </c>
      <c r="E98" s="300">
        <v>-1212883.8134648185</v>
      </c>
      <c r="F98" s="300">
        <v>0</v>
      </c>
      <c r="G98" s="300"/>
      <c r="H98" s="300">
        <f t="shared" si="18"/>
        <v>-522526.02043750742</v>
      </c>
      <c r="I98" s="300">
        <f t="shared" si="17"/>
        <v>-1212883.8134648185</v>
      </c>
      <c r="J98" s="300">
        <f t="shared" si="20"/>
        <v>-18675774.652345084</v>
      </c>
      <c r="K98" s="299">
        <f t="shared" si="19"/>
        <v>-482544.01318448788</v>
      </c>
      <c r="O98" s="295"/>
    </row>
    <row r="99" spans="1:15">
      <c r="A99" s="298">
        <f t="shared" si="21"/>
        <v>9</v>
      </c>
      <c r="B99" s="301">
        <v>43525</v>
      </c>
      <c r="C99" s="300"/>
      <c r="D99" s="300">
        <v>-347757.98889204022</v>
      </c>
      <c r="E99" s="300">
        <v>-1040851.3019193513</v>
      </c>
      <c r="F99" s="300">
        <v>0</v>
      </c>
      <c r="G99" s="300"/>
      <c r="H99" s="300">
        <f t="shared" si="18"/>
        <v>-347757.98889204022</v>
      </c>
      <c r="I99" s="300">
        <f t="shared" si="17"/>
        <v>-1040851.3019193513</v>
      </c>
      <c r="J99" s="300">
        <f t="shared" si="20"/>
        <v>-19023532.641237125</v>
      </c>
      <c r="K99" s="299">
        <f t="shared" si="19"/>
        <v>-317968.97844157362</v>
      </c>
      <c r="O99" s="295"/>
    </row>
    <row r="100" spans="1:15">
      <c r="A100" s="298">
        <f t="shared" si="21"/>
        <v>10</v>
      </c>
      <c r="B100" s="301">
        <v>43556</v>
      </c>
      <c r="C100" s="300"/>
      <c r="D100" s="300">
        <v>-277520.73094606213</v>
      </c>
      <c r="E100" s="300">
        <v>-971576.59397337306</v>
      </c>
      <c r="F100" s="300">
        <v>0</v>
      </c>
      <c r="G100" s="300"/>
      <c r="H100" s="300">
        <f t="shared" si="18"/>
        <v>-277520.73094606213</v>
      </c>
      <c r="I100" s="300">
        <f t="shared" si="17"/>
        <v>-971576.59397337306</v>
      </c>
      <c r="J100" s="300">
        <f t="shared" si="20"/>
        <v>-19301053.372183189</v>
      </c>
      <c r="K100" s="299">
        <f t="shared" si="19"/>
        <v>-251235.89738233131</v>
      </c>
      <c r="O100" s="295"/>
    </row>
    <row r="101" spans="1:15">
      <c r="A101" s="298">
        <f t="shared" si="21"/>
        <v>11</v>
      </c>
      <c r="B101" s="301">
        <v>43586</v>
      </c>
      <c r="C101" s="300"/>
      <c r="D101" s="300">
        <v>-178287.39834872819</v>
      </c>
      <c r="E101" s="300">
        <v>-872382.13137603924</v>
      </c>
      <c r="F101" s="300">
        <v>0</v>
      </c>
      <c r="G101" s="300"/>
      <c r="H101" s="300">
        <f t="shared" si="18"/>
        <v>-178287.39834872819</v>
      </c>
      <c r="I101" s="300">
        <f t="shared" si="17"/>
        <v>-872382.13137603924</v>
      </c>
      <c r="J101" s="300">
        <f t="shared" si="20"/>
        <v>-19479340.770531915</v>
      </c>
      <c r="K101" s="299">
        <f t="shared" si="19"/>
        <v>-159803.22367450988</v>
      </c>
      <c r="O101" s="295"/>
    </row>
    <row r="102" spans="1:15">
      <c r="A102" s="298">
        <f t="shared" si="21"/>
        <v>12</v>
      </c>
      <c r="B102" s="301">
        <v>43617</v>
      </c>
      <c r="C102" s="300"/>
      <c r="D102" s="300">
        <v>-995782.78685410414</v>
      </c>
      <c r="E102" s="300">
        <v>-1690883.549881415</v>
      </c>
      <c r="F102" s="300">
        <v>0</v>
      </c>
      <c r="G102" s="300"/>
      <c r="H102" s="300">
        <f t="shared" ref="H102:H133" si="22">D102-F102-G102</f>
        <v>-995782.78685410414</v>
      </c>
      <c r="I102" s="300">
        <f t="shared" si="17"/>
        <v>-1690883.549881415</v>
      </c>
      <c r="J102" s="300">
        <f t="shared" si="20"/>
        <v>-20475123.557386018</v>
      </c>
      <c r="K102" s="299">
        <f t="shared" ref="K102:K133" si="23">PV($L$37,A102,,-H102)</f>
        <v>-883706.66272605036</v>
      </c>
      <c r="O102" s="295"/>
    </row>
    <row r="103" spans="1:15">
      <c r="A103" s="298">
        <f t="shared" si="21"/>
        <v>13</v>
      </c>
      <c r="B103" s="301">
        <v>43647</v>
      </c>
      <c r="C103" s="300"/>
      <c r="D103" s="300">
        <v>-1237431.5442705359</v>
      </c>
      <c r="E103" s="300">
        <v>-1932905.9372978467</v>
      </c>
      <c r="F103" s="300">
        <v>0</v>
      </c>
      <c r="G103" s="300"/>
      <c r="H103" s="300">
        <f t="shared" si="22"/>
        <v>-1237431.5442705359</v>
      </c>
      <c r="I103" s="300">
        <f t="shared" ref="I103:I166" si="24">E103-F103-G103</f>
        <v>-1932905.9372978467</v>
      </c>
      <c r="J103" s="300">
        <f t="shared" ref="J103:J134" si="25">H103+J102</f>
        <v>-21712555.101656556</v>
      </c>
      <c r="K103" s="299">
        <f t="shared" si="23"/>
        <v>-1087284.8171104454</v>
      </c>
      <c r="O103" s="295"/>
    </row>
    <row r="104" spans="1:15">
      <c r="A104" s="298">
        <f t="shared" si="21"/>
        <v>14</v>
      </c>
      <c r="B104" s="301">
        <v>43678</v>
      </c>
      <c r="C104" s="300"/>
      <c r="D104" s="300">
        <v>-1222801.5859401845</v>
      </c>
      <c r="E104" s="300">
        <v>-1919452.4189674957</v>
      </c>
      <c r="F104" s="300">
        <v>0</v>
      </c>
      <c r="G104" s="300"/>
      <c r="H104" s="300">
        <f t="shared" si="22"/>
        <v>-1222801.5859401845</v>
      </c>
      <c r="I104" s="300">
        <f t="shared" si="24"/>
        <v>-1919452.4189674957</v>
      </c>
      <c r="J104" s="300">
        <f t="shared" si="25"/>
        <v>-22935356.687596742</v>
      </c>
      <c r="K104" s="299">
        <f t="shared" si="23"/>
        <v>-1063792.0989075755</v>
      </c>
      <c r="O104" s="295"/>
    </row>
    <row r="105" spans="1:15">
      <c r="A105" s="298">
        <f t="shared" si="21"/>
        <v>15</v>
      </c>
      <c r="B105" s="301">
        <v>43709</v>
      </c>
      <c r="C105" s="300"/>
      <c r="D105" s="300">
        <v>-1241065.3212734489</v>
      </c>
      <c r="E105" s="300">
        <v>-1958459.6072888081</v>
      </c>
      <c r="F105" s="300">
        <v>0</v>
      </c>
      <c r="G105" s="300"/>
      <c r="H105" s="300">
        <f t="shared" si="22"/>
        <v>-1241065.3212734489</v>
      </c>
      <c r="I105" s="300">
        <f t="shared" si="24"/>
        <v>-1958459.6072888081</v>
      </c>
      <c r="J105" s="300">
        <f t="shared" si="25"/>
        <v>-24176422.008870192</v>
      </c>
      <c r="K105" s="299">
        <f t="shared" si="23"/>
        <v>-1068990.9627065987</v>
      </c>
      <c r="O105" s="295"/>
    </row>
    <row r="106" spans="1:15">
      <c r="A106" s="298">
        <f t="shared" si="21"/>
        <v>16</v>
      </c>
      <c r="B106" s="301">
        <v>43739</v>
      </c>
      <c r="C106" s="300"/>
      <c r="D106" s="300">
        <v>-1018654.8855341794</v>
      </c>
      <c r="E106" s="300">
        <v>-1721815.0685614902</v>
      </c>
      <c r="F106" s="300">
        <v>0</v>
      </c>
      <c r="G106" s="300"/>
      <c r="H106" s="300">
        <f t="shared" si="22"/>
        <v>-1018654.8855341794</v>
      </c>
      <c r="I106" s="300">
        <f t="shared" si="24"/>
        <v>-1721815.0685614902</v>
      </c>
      <c r="J106" s="300">
        <f t="shared" si="25"/>
        <v>-25195076.89440437</v>
      </c>
      <c r="K106" s="299">
        <f t="shared" si="23"/>
        <v>-868730.5452338889</v>
      </c>
      <c r="O106" s="295"/>
    </row>
    <row r="107" spans="1:15">
      <c r="A107" s="298">
        <f t="shared" si="21"/>
        <v>17</v>
      </c>
      <c r="B107" s="301">
        <v>43770</v>
      </c>
      <c r="C107" s="300"/>
      <c r="D107" s="300">
        <v>-758533.2764086877</v>
      </c>
      <c r="E107" s="300">
        <v>-1463981.3494359991</v>
      </c>
      <c r="F107" s="300">
        <v>0</v>
      </c>
      <c r="G107" s="300"/>
      <c r="H107" s="300">
        <f t="shared" si="22"/>
        <v>-758533.2764086877</v>
      </c>
      <c r="I107" s="300">
        <f t="shared" si="24"/>
        <v>-1463981.3494359991</v>
      </c>
      <c r="J107" s="300">
        <f t="shared" si="25"/>
        <v>-25953610.170813058</v>
      </c>
      <c r="K107" s="299">
        <f t="shared" si="23"/>
        <v>-640488.42199242488</v>
      </c>
      <c r="O107" s="295"/>
    </row>
    <row r="108" spans="1:15">
      <c r="A108" s="298">
        <f t="shared" si="21"/>
        <v>18</v>
      </c>
      <c r="B108" s="301">
        <v>43800</v>
      </c>
      <c r="C108" s="300"/>
      <c r="D108" s="300">
        <v>-774472.23380384641</v>
      </c>
      <c r="E108" s="300">
        <v>-1477098.3686825298</v>
      </c>
      <c r="F108" s="300">
        <v>0</v>
      </c>
      <c r="G108" s="300"/>
      <c r="H108" s="300">
        <f t="shared" si="22"/>
        <v>-774472.23380384641</v>
      </c>
      <c r="I108" s="300">
        <f t="shared" si="24"/>
        <v>-1477098.3686825298</v>
      </c>
      <c r="J108" s="300">
        <f t="shared" si="25"/>
        <v>-26728082.404616904</v>
      </c>
      <c r="K108" s="299">
        <f t="shared" si="23"/>
        <v>-647472.19682025397</v>
      </c>
      <c r="O108" s="295"/>
    </row>
    <row r="109" spans="1:15">
      <c r="A109" s="298">
        <f t="shared" si="21"/>
        <v>19</v>
      </c>
      <c r="B109" s="301">
        <v>43831</v>
      </c>
      <c r="C109" s="300"/>
      <c r="D109" s="300">
        <v>65169.412924601231</v>
      </c>
      <c r="E109" s="300">
        <v>-633881.76052924339</v>
      </c>
      <c r="F109" s="300">
        <v>0</v>
      </c>
      <c r="G109" s="300"/>
      <c r="H109" s="300">
        <f t="shared" si="22"/>
        <v>65169.412924601231</v>
      </c>
      <c r="I109" s="300">
        <f t="shared" si="24"/>
        <v>-633881.76052924339</v>
      </c>
      <c r="J109" s="300">
        <f t="shared" si="25"/>
        <v>-26662912.991692301</v>
      </c>
      <c r="K109" s="299">
        <f t="shared" si="23"/>
        <v>53943.324317459665</v>
      </c>
      <c r="O109" s="295"/>
    </row>
    <row r="110" spans="1:15">
      <c r="A110" s="298">
        <f t="shared" si="21"/>
        <v>20</v>
      </c>
      <c r="B110" s="301">
        <v>43862</v>
      </c>
      <c r="C110" s="300"/>
      <c r="D110" s="300">
        <v>563955.69419526355</v>
      </c>
      <c r="E110" s="300">
        <v>-132846.65356937749</v>
      </c>
      <c r="F110" s="300">
        <v>0</v>
      </c>
      <c r="G110" s="300"/>
      <c r="H110" s="300">
        <f t="shared" si="22"/>
        <v>563955.69419526355</v>
      </c>
      <c r="I110" s="300">
        <f t="shared" si="24"/>
        <v>-132846.65356937749</v>
      </c>
      <c r="J110" s="300">
        <f t="shared" si="25"/>
        <v>-26098957.297497038</v>
      </c>
      <c r="K110" s="299">
        <f t="shared" si="23"/>
        <v>462186.77069295902</v>
      </c>
      <c r="O110" s="295"/>
    </row>
    <row r="111" spans="1:15">
      <c r="A111" s="298">
        <f t="shared" si="21"/>
        <v>21</v>
      </c>
      <c r="B111" s="301">
        <v>43891</v>
      </c>
      <c r="C111" s="300"/>
      <c r="D111" s="300">
        <v>1031152.2630911595</v>
      </c>
      <c r="E111" s="300">
        <v>336929.50236917427</v>
      </c>
      <c r="F111" s="300">
        <v>0</v>
      </c>
      <c r="G111" s="300"/>
      <c r="H111" s="300">
        <f t="shared" si="22"/>
        <v>1031152.2630911595</v>
      </c>
      <c r="I111" s="300">
        <f t="shared" si="24"/>
        <v>336929.50236917427</v>
      </c>
      <c r="J111" s="300">
        <f t="shared" si="25"/>
        <v>-25067805.03440588</v>
      </c>
      <c r="K111" s="299">
        <f t="shared" si="23"/>
        <v>836708.0547447009</v>
      </c>
      <c r="O111" s="295"/>
    </row>
    <row r="112" spans="1:15">
      <c r="A112" s="298">
        <f t="shared" si="21"/>
        <v>22</v>
      </c>
      <c r="B112" s="301">
        <v>43922</v>
      </c>
      <c r="C112" s="300"/>
      <c r="D112" s="300">
        <v>2021361.7386673649</v>
      </c>
      <c r="E112" s="300">
        <v>1329678.7610597161</v>
      </c>
      <c r="F112" s="300">
        <v>0</v>
      </c>
      <c r="G112" s="300"/>
      <c r="H112" s="300">
        <f t="shared" si="22"/>
        <v>2021361.7386673649</v>
      </c>
      <c r="I112" s="300">
        <f t="shared" si="24"/>
        <v>1329678.7610597161</v>
      </c>
      <c r="J112" s="300">
        <f t="shared" si="25"/>
        <v>-23046443.295738515</v>
      </c>
      <c r="K112" s="299">
        <f t="shared" si="23"/>
        <v>1623954.3529812959</v>
      </c>
      <c r="O112" s="295"/>
    </row>
    <row r="113" spans="1:15">
      <c r="A113" s="298">
        <f t="shared" si="21"/>
        <v>23</v>
      </c>
      <c r="B113" s="301">
        <v>43952</v>
      </c>
      <c r="C113" s="300"/>
      <c r="D113" s="300">
        <v>2198679.7804646618</v>
      </c>
      <c r="E113" s="300">
        <v>1509868.3958752798</v>
      </c>
      <c r="F113" s="300">
        <v>0</v>
      </c>
      <c r="G113" s="300"/>
      <c r="H113" s="300">
        <f t="shared" si="22"/>
        <v>2198679.7804646618</v>
      </c>
      <c r="I113" s="300">
        <f t="shared" si="24"/>
        <v>1509868.3958752798</v>
      </c>
      <c r="J113" s="300">
        <f t="shared" si="25"/>
        <v>-20847763.515273854</v>
      </c>
      <c r="K113" s="299">
        <f t="shared" si="23"/>
        <v>1748921.7773468455</v>
      </c>
      <c r="O113" s="295"/>
    </row>
    <row r="114" spans="1:15">
      <c r="A114" s="298">
        <f t="shared" si="21"/>
        <v>24</v>
      </c>
      <c r="B114" s="301">
        <v>43983</v>
      </c>
      <c r="C114" s="300"/>
      <c r="D114" s="300">
        <v>2283048.4029289009</v>
      </c>
      <c r="E114" s="300">
        <v>1596230.1656507684</v>
      </c>
      <c r="F114" s="300">
        <v>0</v>
      </c>
      <c r="G114" s="300"/>
      <c r="H114" s="300">
        <f t="shared" si="22"/>
        <v>2283048.4029289009</v>
      </c>
      <c r="I114" s="300">
        <f t="shared" si="24"/>
        <v>1596230.1656507684</v>
      </c>
      <c r="J114" s="300">
        <f t="shared" si="25"/>
        <v>-18564715.112344954</v>
      </c>
      <c r="K114" s="299">
        <f t="shared" si="23"/>
        <v>1798051.5894156259</v>
      </c>
      <c r="O114" s="295"/>
    </row>
    <row r="115" spans="1:15">
      <c r="A115" s="298">
        <f t="shared" si="21"/>
        <v>25</v>
      </c>
      <c r="B115" s="301">
        <v>44013</v>
      </c>
      <c r="C115" s="300"/>
      <c r="D115" s="300">
        <v>2804045.0573897939</v>
      </c>
      <c r="E115" s="300">
        <v>2119589.338063621</v>
      </c>
      <c r="F115" s="300">
        <v>0</v>
      </c>
      <c r="G115" s="300"/>
      <c r="H115" s="300">
        <f t="shared" si="22"/>
        <v>2804045.0573897939</v>
      </c>
      <c r="I115" s="300">
        <f t="shared" si="24"/>
        <v>2119589.338063621</v>
      </c>
      <c r="J115" s="300">
        <f t="shared" si="25"/>
        <v>-15760670.05495516</v>
      </c>
      <c r="K115" s="299">
        <f t="shared" si="23"/>
        <v>2186505.8484852533</v>
      </c>
      <c r="O115" s="295"/>
    </row>
    <row r="116" spans="1:15">
      <c r="A116" s="298">
        <f t="shared" si="21"/>
        <v>26</v>
      </c>
      <c r="B116" s="301">
        <v>44044</v>
      </c>
      <c r="C116" s="300"/>
      <c r="D116" s="300">
        <v>3020521.5668593519</v>
      </c>
      <c r="E116" s="300">
        <v>2338289.8857943714</v>
      </c>
      <c r="F116" s="300">
        <v>0</v>
      </c>
      <c r="G116" s="300"/>
      <c r="H116" s="300">
        <f t="shared" si="22"/>
        <v>3020521.5668593519</v>
      </c>
      <c r="I116" s="300">
        <f t="shared" si="24"/>
        <v>2338289.8857943714</v>
      </c>
      <c r="J116" s="300">
        <f t="shared" si="25"/>
        <v>-12740148.488095809</v>
      </c>
      <c r="K116" s="299">
        <f t="shared" si="23"/>
        <v>2331987.5239792671</v>
      </c>
      <c r="O116" s="295"/>
    </row>
    <row r="117" spans="1:15">
      <c r="A117" s="298">
        <f t="shared" si="21"/>
        <v>27</v>
      </c>
      <c r="B117" s="301">
        <v>44075</v>
      </c>
      <c r="C117" s="300"/>
      <c r="D117" s="300">
        <v>3068166.8976152041</v>
      </c>
      <c r="E117" s="300">
        <v>2372206.0864454289</v>
      </c>
      <c r="F117" s="300">
        <v>0</v>
      </c>
      <c r="G117" s="300"/>
      <c r="H117" s="300">
        <f t="shared" si="22"/>
        <v>3068166.8976152041</v>
      </c>
      <c r="I117" s="300">
        <f t="shared" si="24"/>
        <v>2372206.0864454289</v>
      </c>
      <c r="J117" s="300">
        <f t="shared" si="25"/>
        <v>-9671981.5904806051</v>
      </c>
      <c r="K117" s="299">
        <f t="shared" si="23"/>
        <v>2345318.816389055</v>
      </c>
      <c r="O117" s="295"/>
    </row>
    <row r="118" spans="1:15">
      <c r="A118" s="298">
        <f t="shared" si="21"/>
        <v>28</v>
      </c>
      <c r="B118" s="301">
        <v>44105</v>
      </c>
      <c r="C118" s="300"/>
      <c r="D118" s="300">
        <v>3132328.1979599749</v>
      </c>
      <c r="E118" s="300">
        <v>2131626.7675266704</v>
      </c>
      <c r="F118" s="300">
        <v>0</v>
      </c>
      <c r="G118" s="300"/>
      <c r="H118" s="300">
        <f t="shared" si="22"/>
        <v>3132328.1979599749</v>
      </c>
      <c r="I118" s="300">
        <f t="shared" si="24"/>
        <v>2131626.7675266704</v>
      </c>
      <c r="J118" s="300">
        <f t="shared" si="25"/>
        <v>-6539653.3925206307</v>
      </c>
      <c r="K118" s="299">
        <f t="shared" si="23"/>
        <v>2370657.392226906</v>
      </c>
      <c r="O118" s="295"/>
    </row>
    <row r="119" spans="1:15">
      <c r="A119" s="298">
        <f t="shared" si="21"/>
        <v>29</v>
      </c>
      <c r="B119" s="301">
        <v>44136</v>
      </c>
      <c r="C119" s="300"/>
      <c r="D119" s="300">
        <v>3248530.8073445354</v>
      </c>
      <c r="E119" s="300">
        <v>2254652.3154789587</v>
      </c>
      <c r="F119" s="300">
        <v>0</v>
      </c>
      <c r="G119" s="300"/>
      <c r="H119" s="300">
        <f t="shared" si="22"/>
        <v>3248530.8073445354</v>
      </c>
      <c r="I119" s="300">
        <f t="shared" si="24"/>
        <v>2254652.3154789587</v>
      </c>
      <c r="J119" s="300">
        <f t="shared" si="25"/>
        <v>-3291122.5851760954</v>
      </c>
      <c r="K119" s="299">
        <f t="shared" si="23"/>
        <v>2434261.0496574836</v>
      </c>
      <c r="O119" s="295"/>
    </row>
    <row r="120" spans="1:15">
      <c r="A120" s="298">
        <f t="shared" si="21"/>
        <v>30</v>
      </c>
      <c r="B120" s="301">
        <v>44166</v>
      </c>
      <c r="C120" s="300"/>
      <c r="D120" s="300">
        <v>3274905.6857920648</v>
      </c>
      <c r="E120" s="300">
        <v>2287810.0105990842</v>
      </c>
      <c r="F120" s="300">
        <v>0</v>
      </c>
      <c r="G120" s="300"/>
      <c r="H120" s="300">
        <f t="shared" si="22"/>
        <v>3274905.6857920648</v>
      </c>
      <c r="I120" s="300">
        <f t="shared" si="24"/>
        <v>2287810.0105990842</v>
      </c>
      <c r="J120" s="300">
        <f t="shared" si="25"/>
        <v>-16216.899384030607</v>
      </c>
      <c r="K120" s="299">
        <f t="shared" si="23"/>
        <v>2429727.5818804908</v>
      </c>
      <c r="O120" s="295"/>
    </row>
    <row r="121" spans="1:15">
      <c r="A121" s="298">
        <f t="shared" si="21"/>
        <v>31</v>
      </c>
      <c r="B121" s="301">
        <v>44197</v>
      </c>
      <c r="C121" s="300"/>
      <c r="D121" s="300">
        <v>3309443.8524126234</v>
      </c>
      <c r="E121" s="300">
        <v>2329080.7273874553</v>
      </c>
      <c r="F121" s="300">
        <v>0</v>
      </c>
      <c r="G121" s="300"/>
      <c r="H121" s="300">
        <f t="shared" si="22"/>
        <v>3309443.8524126234</v>
      </c>
      <c r="I121" s="300">
        <f t="shared" si="24"/>
        <v>2329080.7273874553</v>
      </c>
      <c r="J121" s="300">
        <f t="shared" si="25"/>
        <v>3293226.9530285927</v>
      </c>
      <c r="K121" s="299">
        <f t="shared" si="23"/>
        <v>2431041.8210243904</v>
      </c>
      <c r="O121" s="295"/>
    </row>
    <row r="122" spans="1:15">
      <c r="A122" s="298">
        <f t="shared" si="21"/>
        <v>32</v>
      </c>
      <c r="B122" s="301">
        <v>44228</v>
      </c>
      <c r="C122" s="300"/>
      <c r="D122" s="300">
        <v>3317282.8507453129</v>
      </c>
      <c r="E122" s="300">
        <v>2344415.5554932887</v>
      </c>
      <c r="F122" s="300">
        <v>0</v>
      </c>
      <c r="G122" s="300"/>
      <c r="H122" s="300">
        <f t="shared" si="22"/>
        <v>3317282.8507453129</v>
      </c>
      <c r="I122" s="300">
        <f t="shared" si="24"/>
        <v>2344415.5554932887</v>
      </c>
      <c r="J122" s="300">
        <f t="shared" si="25"/>
        <v>6610509.8037739061</v>
      </c>
      <c r="K122" s="299">
        <f t="shared" si="23"/>
        <v>2412673.4356927271</v>
      </c>
      <c r="O122" s="295"/>
    </row>
    <row r="123" spans="1:15">
      <c r="A123" s="298">
        <f t="shared" si="21"/>
        <v>33</v>
      </c>
      <c r="B123" s="301">
        <v>44256</v>
      </c>
      <c r="C123" s="300"/>
      <c r="D123" s="300">
        <v>3312599.8355209725</v>
      </c>
      <c r="E123" s="300">
        <v>2346373.5575910341</v>
      </c>
      <c r="F123" s="300">
        <v>0</v>
      </c>
      <c r="G123" s="300"/>
      <c r="H123" s="300">
        <f t="shared" si="22"/>
        <v>3312599.8355209725</v>
      </c>
      <c r="I123" s="300">
        <f t="shared" si="24"/>
        <v>2346373.5575910341</v>
      </c>
      <c r="J123" s="300">
        <f t="shared" si="25"/>
        <v>9923109.6392948776</v>
      </c>
      <c r="K123" s="299">
        <f t="shared" si="23"/>
        <v>2385413.3262326904</v>
      </c>
      <c r="O123" s="295"/>
    </row>
    <row r="124" spans="1:15">
      <c r="A124" s="298">
        <f t="shared" ref="A124:A155" si="26">A123+1</f>
        <v>34</v>
      </c>
      <c r="B124" s="301">
        <v>44287</v>
      </c>
      <c r="C124" s="300"/>
      <c r="D124" s="300">
        <v>3300407.1652919431</v>
      </c>
      <c r="E124" s="300">
        <v>2340772.9830922727</v>
      </c>
      <c r="F124" s="300">
        <v>0</v>
      </c>
      <c r="G124" s="300"/>
      <c r="H124" s="300">
        <f t="shared" si="22"/>
        <v>3300407.1652919431</v>
      </c>
      <c r="I124" s="300">
        <f t="shared" si="24"/>
        <v>2340772.9830922727</v>
      </c>
      <c r="J124" s="300">
        <f t="shared" si="25"/>
        <v>13223516.80458682</v>
      </c>
      <c r="K124" s="299">
        <f t="shared" si="23"/>
        <v>2353102.3236773121</v>
      </c>
      <c r="O124" s="295"/>
    </row>
    <row r="125" spans="1:15">
      <c r="A125" s="298">
        <f t="shared" si="26"/>
        <v>35</v>
      </c>
      <c r="B125" s="301">
        <v>44317</v>
      </c>
      <c r="C125" s="300"/>
      <c r="D125" s="300">
        <v>3354816.2561087804</v>
      </c>
      <c r="E125" s="300">
        <v>2401731.8528738944</v>
      </c>
      <c r="F125" s="300">
        <v>0</v>
      </c>
      <c r="G125" s="300"/>
      <c r="H125" s="300">
        <f t="shared" si="22"/>
        <v>3354816.2561087804</v>
      </c>
      <c r="I125" s="300">
        <f t="shared" si="24"/>
        <v>2401731.8528738944</v>
      </c>
      <c r="J125" s="300">
        <f t="shared" si="25"/>
        <v>16578333.0606956</v>
      </c>
      <c r="K125" s="299">
        <f t="shared" si="23"/>
        <v>2368212.4306376339</v>
      </c>
      <c r="O125" s="295"/>
    </row>
    <row r="126" spans="1:15">
      <c r="A126" s="298">
        <f t="shared" si="26"/>
        <v>36</v>
      </c>
      <c r="B126" s="301">
        <v>44348</v>
      </c>
      <c r="C126" s="300"/>
      <c r="D126" s="300">
        <v>3390074.1638630796</v>
      </c>
      <c r="E126" s="300">
        <v>2443498.4226425719</v>
      </c>
      <c r="F126" s="300">
        <v>0</v>
      </c>
      <c r="G126" s="300"/>
      <c r="H126" s="300">
        <f t="shared" si="22"/>
        <v>3390074.1638630796</v>
      </c>
      <c r="I126" s="300">
        <f t="shared" si="24"/>
        <v>2443498.4226425719</v>
      </c>
      <c r="J126" s="300">
        <f t="shared" si="25"/>
        <v>19968407.224558681</v>
      </c>
      <c r="K126" s="299">
        <f t="shared" si="23"/>
        <v>2369407.4142106744</v>
      </c>
      <c r="O126" s="295"/>
    </row>
    <row r="127" spans="1:15">
      <c r="A127" s="298">
        <f t="shared" si="26"/>
        <v>37</v>
      </c>
      <c r="B127" s="301">
        <v>44378</v>
      </c>
      <c r="C127" s="300"/>
      <c r="D127" s="300">
        <v>3404393.0825046478</v>
      </c>
      <c r="E127" s="300">
        <v>2464286.0521446061</v>
      </c>
      <c r="F127" s="300">
        <v>0</v>
      </c>
      <c r="G127" s="300"/>
      <c r="H127" s="300">
        <f t="shared" si="22"/>
        <v>3404393.0825046478</v>
      </c>
      <c r="I127" s="300">
        <f t="shared" si="24"/>
        <v>2464286.0521446061</v>
      </c>
      <c r="J127" s="300">
        <f t="shared" si="25"/>
        <v>23372800.30706333</v>
      </c>
      <c r="K127" s="299">
        <f t="shared" si="23"/>
        <v>2355856.696733613</v>
      </c>
      <c r="O127" s="295"/>
    </row>
    <row r="128" spans="1:15">
      <c r="A128" s="298">
        <f t="shared" si="26"/>
        <v>38</v>
      </c>
      <c r="B128" s="301">
        <v>44409</v>
      </c>
      <c r="C128" s="300"/>
      <c r="D128" s="300">
        <v>3392161.5598686924</v>
      </c>
      <c r="E128" s="300">
        <v>2459252.2619576594</v>
      </c>
      <c r="F128" s="300">
        <v>0</v>
      </c>
      <c r="G128" s="300"/>
      <c r="H128" s="300">
        <f t="shared" si="22"/>
        <v>3392161.5598686924</v>
      </c>
      <c r="I128" s="300">
        <f t="shared" si="24"/>
        <v>2459252.2619576594</v>
      </c>
      <c r="J128" s="300">
        <f t="shared" si="25"/>
        <v>26764961.866932023</v>
      </c>
      <c r="K128" s="299">
        <f t="shared" si="23"/>
        <v>2324150.9139875984</v>
      </c>
      <c r="O128" s="295"/>
    </row>
    <row r="129" spans="1:15">
      <c r="A129" s="298">
        <f t="shared" si="26"/>
        <v>39</v>
      </c>
      <c r="B129" s="301">
        <v>44440</v>
      </c>
      <c r="C129" s="300"/>
      <c r="D129" s="300">
        <v>3396902.2935853666</v>
      </c>
      <c r="E129" s="300">
        <v>2454823.4173494326</v>
      </c>
      <c r="F129" s="300">
        <v>0</v>
      </c>
      <c r="G129" s="300"/>
      <c r="H129" s="300">
        <f t="shared" si="22"/>
        <v>3396902.2935853666</v>
      </c>
      <c r="I129" s="300">
        <f t="shared" si="24"/>
        <v>2454823.4173494326</v>
      </c>
      <c r="J129" s="300">
        <f t="shared" si="25"/>
        <v>30161864.160517391</v>
      </c>
      <c r="K129" s="299">
        <f t="shared" si="23"/>
        <v>2304355.4887677217</v>
      </c>
      <c r="O129" s="295"/>
    </row>
    <row r="130" spans="1:15">
      <c r="A130" s="298">
        <f t="shared" si="26"/>
        <v>40</v>
      </c>
      <c r="B130" s="301">
        <v>44470</v>
      </c>
      <c r="C130" s="300"/>
      <c r="D130" s="300">
        <v>3357762.5842156354</v>
      </c>
      <c r="E130" s="300">
        <v>2437600.9872643901</v>
      </c>
      <c r="F130" s="300">
        <v>0</v>
      </c>
      <c r="G130" s="300"/>
      <c r="H130" s="300">
        <f t="shared" si="22"/>
        <v>3357762.5842156354</v>
      </c>
      <c r="I130" s="300">
        <f t="shared" si="24"/>
        <v>2437600.9872643901</v>
      </c>
      <c r="J130" s="300">
        <f t="shared" si="25"/>
        <v>33519626.744733028</v>
      </c>
      <c r="K130" s="299">
        <f t="shared" si="23"/>
        <v>2255251.7792365677</v>
      </c>
      <c r="O130" s="295"/>
    </row>
    <row r="131" spans="1:15">
      <c r="A131" s="298">
        <f t="shared" si="26"/>
        <v>41</v>
      </c>
      <c r="B131" s="301">
        <v>44501</v>
      </c>
      <c r="C131" s="300"/>
      <c r="D131" s="300">
        <v>3359839.3194816634</v>
      </c>
      <c r="E131" s="300">
        <v>2445997.6395584652</v>
      </c>
      <c r="F131" s="300">
        <v>0</v>
      </c>
      <c r="G131" s="300"/>
      <c r="H131" s="300">
        <f t="shared" si="22"/>
        <v>3359839.3194816634</v>
      </c>
      <c r="I131" s="300">
        <f t="shared" si="24"/>
        <v>2445997.6395584652</v>
      </c>
      <c r="J131" s="300">
        <f t="shared" si="25"/>
        <v>36879466.064214692</v>
      </c>
      <c r="K131" s="299">
        <f t="shared" si="23"/>
        <v>2234303.5891055218</v>
      </c>
      <c r="O131" s="295"/>
    </row>
    <row r="132" spans="1:15">
      <c r="A132" s="298">
        <f t="shared" si="26"/>
        <v>42</v>
      </c>
      <c r="B132" s="301">
        <v>44531</v>
      </c>
      <c r="C132" s="300"/>
      <c r="D132" s="300">
        <v>3364604.3200223036</v>
      </c>
      <c r="E132" s="300">
        <v>2457047.957494732</v>
      </c>
      <c r="F132" s="300">
        <v>0</v>
      </c>
      <c r="G132" s="300"/>
      <c r="H132" s="300">
        <f t="shared" si="22"/>
        <v>3364604.3200223036</v>
      </c>
      <c r="I132" s="300">
        <f t="shared" si="24"/>
        <v>2457047.957494732</v>
      </c>
      <c r="J132" s="300">
        <f t="shared" si="25"/>
        <v>40244070.384236991</v>
      </c>
      <c r="K132" s="299">
        <f t="shared" si="23"/>
        <v>2215319.1378946863</v>
      </c>
      <c r="O132" s="295"/>
    </row>
    <row r="133" spans="1:15">
      <c r="A133" s="298">
        <f t="shared" si="26"/>
        <v>43</v>
      </c>
      <c r="B133" s="301">
        <v>44562</v>
      </c>
      <c r="C133" s="300"/>
      <c r="D133" s="300">
        <v>3360279.2070700116</v>
      </c>
      <c r="E133" s="300">
        <v>2458974.5433154237</v>
      </c>
      <c r="F133" s="300">
        <v>0</v>
      </c>
      <c r="G133" s="300"/>
      <c r="H133" s="300">
        <f t="shared" si="22"/>
        <v>3360279.2070700116</v>
      </c>
      <c r="I133" s="300">
        <f t="shared" si="24"/>
        <v>2458974.5433154237</v>
      </c>
      <c r="J133" s="300">
        <f t="shared" si="25"/>
        <v>43604349.591306999</v>
      </c>
      <c r="K133" s="299">
        <f t="shared" si="23"/>
        <v>2190565.7442592382</v>
      </c>
      <c r="O133" s="295"/>
    </row>
    <row r="134" spans="1:15">
      <c r="A134" s="298">
        <f t="shared" si="26"/>
        <v>44</v>
      </c>
      <c r="B134" s="301">
        <v>44593</v>
      </c>
      <c r="C134" s="300"/>
      <c r="D134" s="300">
        <v>3351088.8236853359</v>
      </c>
      <c r="E134" s="300">
        <v>2456003.1932761115</v>
      </c>
      <c r="F134" s="300">
        <v>0</v>
      </c>
      <c r="G134" s="300"/>
      <c r="H134" s="300">
        <f t="shared" ref="H134:H165" si="27">D134-F134-G134</f>
        <v>3351088.8236853359</v>
      </c>
      <c r="I134" s="300">
        <f t="shared" si="24"/>
        <v>2456003.1932761115</v>
      </c>
      <c r="J134" s="300">
        <f t="shared" si="25"/>
        <v>46955438.414992332</v>
      </c>
      <c r="K134" s="299">
        <f t="shared" ref="K134:K165" si="28">PV($L$37,A134,,-H134)</f>
        <v>2162945.0832390976</v>
      </c>
      <c r="O134" s="295"/>
    </row>
    <row r="135" spans="1:15">
      <c r="A135" s="298">
        <f t="shared" si="26"/>
        <v>45</v>
      </c>
      <c r="B135" s="301">
        <v>44621</v>
      </c>
      <c r="C135" s="300"/>
      <c r="D135" s="300">
        <v>3337478.025253763</v>
      </c>
      <c r="E135" s="300">
        <v>2448579.6889311881</v>
      </c>
      <c r="F135" s="300">
        <v>0</v>
      </c>
      <c r="G135" s="300"/>
      <c r="H135" s="300">
        <f t="shared" si="27"/>
        <v>3337478.025253763</v>
      </c>
      <c r="I135" s="300">
        <f t="shared" si="24"/>
        <v>2448579.6889311881</v>
      </c>
      <c r="J135" s="300">
        <f t="shared" ref="J135:J166" si="29">H135+J134</f>
        <v>50292916.440246098</v>
      </c>
      <c r="K135" s="299">
        <f t="shared" si="28"/>
        <v>2132831.7377423202</v>
      </c>
      <c r="O135" s="295"/>
    </row>
    <row r="136" spans="1:15">
      <c r="A136" s="298">
        <f t="shared" si="26"/>
        <v>46</v>
      </c>
      <c r="B136" s="301">
        <v>44652</v>
      </c>
      <c r="C136" s="300"/>
      <c r="D136" s="300">
        <v>3299457.8194415877</v>
      </c>
      <c r="E136" s="300">
        <v>2416715.9378560204</v>
      </c>
      <c r="F136" s="300">
        <v>0</v>
      </c>
      <c r="G136" s="300"/>
      <c r="H136" s="300">
        <f t="shared" si="27"/>
        <v>3299457.8194415877</v>
      </c>
      <c r="I136" s="300">
        <f t="shared" si="24"/>
        <v>2416715.9378560204</v>
      </c>
      <c r="J136" s="300">
        <f t="shared" si="29"/>
        <v>53592374.259687684</v>
      </c>
      <c r="K136" s="299">
        <f t="shared" si="28"/>
        <v>2087658.1567583771</v>
      </c>
      <c r="O136" s="295"/>
    </row>
    <row r="137" spans="1:15">
      <c r="A137" s="298">
        <f t="shared" si="26"/>
        <v>47</v>
      </c>
      <c r="B137" s="301">
        <v>44682</v>
      </c>
      <c r="C137" s="300"/>
      <c r="D137" s="300">
        <v>3296024.1616625115</v>
      </c>
      <c r="E137" s="300">
        <v>2419408.7698580921</v>
      </c>
      <c r="F137" s="300">
        <v>0</v>
      </c>
      <c r="G137" s="300"/>
      <c r="H137" s="300">
        <f t="shared" si="27"/>
        <v>3296024.1616625115</v>
      </c>
      <c r="I137" s="300">
        <f t="shared" si="24"/>
        <v>2419408.7698580921</v>
      </c>
      <c r="J137" s="300">
        <f t="shared" si="29"/>
        <v>56888398.421350196</v>
      </c>
      <c r="K137" s="299">
        <f t="shared" si="28"/>
        <v>2064837.2144336416</v>
      </c>
      <c r="O137" s="295"/>
    </row>
    <row r="138" spans="1:15">
      <c r="A138" s="298">
        <f t="shared" si="26"/>
        <v>48</v>
      </c>
      <c r="B138" s="301">
        <v>44713</v>
      </c>
      <c r="C138" s="300"/>
      <c r="D138" s="300">
        <v>3322796.294480646</v>
      </c>
      <c r="E138" s="300">
        <v>2452278.2771034474</v>
      </c>
      <c r="F138" s="300">
        <v>0</v>
      </c>
      <c r="G138" s="300"/>
      <c r="H138" s="300">
        <f t="shared" si="27"/>
        <v>3322796.294480646</v>
      </c>
      <c r="I138" s="300">
        <f t="shared" si="24"/>
        <v>2452278.2771034474</v>
      </c>
      <c r="J138" s="300">
        <f t="shared" si="29"/>
        <v>60211194.71583084</v>
      </c>
      <c r="K138" s="299">
        <f t="shared" si="28"/>
        <v>2060998.9755637017</v>
      </c>
      <c r="O138" s="295"/>
    </row>
    <row r="139" spans="1:15">
      <c r="A139" s="298">
        <f t="shared" si="26"/>
        <v>49</v>
      </c>
      <c r="B139" s="301">
        <v>44743</v>
      </c>
      <c r="C139" s="300"/>
      <c r="D139" s="300">
        <v>3323146.4575255695</v>
      </c>
      <c r="E139" s="300">
        <v>2458697.5247346763</v>
      </c>
      <c r="F139" s="300">
        <v>0</v>
      </c>
      <c r="G139" s="300"/>
      <c r="H139" s="300">
        <f t="shared" si="27"/>
        <v>3323146.4575255695</v>
      </c>
      <c r="I139" s="300">
        <f t="shared" si="24"/>
        <v>2458697.5247346763</v>
      </c>
      <c r="J139" s="300">
        <f t="shared" si="29"/>
        <v>63534341.173356406</v>
      </c>
      <c r="K139" s="299">
        <f t="shared" si="28"/>
        <v>2040808.0869661234</v>
      </c>
      <c r="O139" s="295"/>
    </row>
    <row r="140" spans="1:15">
      <c r="A140" s="298">
        <f t="shared" si="26"/>
        <v>50</v>
      </c>
      <c r="B140" s="301">
        <v>44774</v>
      </c>
      <c r="C140" s="300"/>
      <c r="D140" s="300">
        <v>3311551.0127536925</v>
      </c>
      <c r="E140" s="300">
        <v>2453143.6768152812</v>
      </c>
      <c r="F140" s="300">
        <v>0</v>
      </c>
      <c r="G140" s="300"/>
      <c r="H140" s="300">
        <f t="shared" si="27"/>
        <v>3311551.0127536925</v>
      </c>
      <c r="I140" s="300">
        <f t="shared" si="24"/>
        <v>2453143.6768152812</v>
      </c>
      <c r="J140" s="300">
        <f t="shared" si="29"/>
        <v>66845892.186110102</v>
      </c>
      <c r="K140" s="299">
        <f t="shared" si="28"/>
        <v>2013551.5856922546</v>
      </c>
      <c r="O140" s="295"/>
    </row>
    <row r="141" spans="1:15">
      <c r="A141" s="298">
        <f t="shared" si="26"/>
        <v>51</v>
      </c>
      <c r="B141" s="301">
        <v>44805</v>
      </c>
      <c r="C141" s="300"/>
      <c r="D141" s="300">
        <v>3313967.7613887144</v>
      </c>
      <c r="E141" s="300">
        <v>2446013.5609457116</v>
      </c>
      <c r="F141" s="300">
        <v>0</v>
      </c>
      <c r="G141" s="300"/>
      <c r="H141" s="300">
        <f t="shared" si="27"/>
        <v>3313967.7613887144</v>
      </c>
      <c r="I141" s="300">
        <f t="shared" si="24"/>
        <v>2446013.5609457116</v>
      </c>
      <c r="J141" s="300">
        <f t="shared" si="29"/>
        <v>70159859.947498813</v>
      </c>
      <c r="K141" s="299">
        <f t="shared" si="28"/>
        <v>1995070.359100854</v>
      </c>
      <c r="O141" s="295"/>
    </row>
    <row r="142" spans="1:15">
      <c r="A142" s="298">
        <f t="shared" si="26"/>
        <v>52</v>
      </c>
      <c r="B142" s="301">
        <v>44835</v>
      </c>
      <c r="C142" s="300"/>
      <c r="D142" s="300">
        <v>3276734.3063933379</v>
      </c>
      <c r="E142" s="300">
        <v>2430330.7963201376</v>
      </c>
      <c r="F142" s="300">
        <v>0</v>
      </c>
      <c r="G142" s="300"/>
      <c r="H142" s="300">
        <f t="shared" si="27"/>
        <v>3276734.3063933379</v>
      </c>
      <c r="I142" s="300">
        <f t="shared" si="24"/>
        <v>2430330.7963201376</v>
      </c>
      <c r="J142" s="300">
        <f t="shared" si="29"/>
        <v>73436594.253892154</v>
      </c>
      <c r="K142" s="299">
        <f t="shared" si="28"/>
        <v>1953123.8863614986</v>
      </c>
      <c r="O142" s="295"/>
    </row>
    <row r="143" spans="1:15">
      <c r="A143" s="298">
        <f t="shared" si="26"/>
        <v>53</v>
      </c>
      <c r="B143" s="301">
        <v>44866</v>
      </c>
      <c r="C143" s="300"/>
      <c r="D143" s="300">
        <v>3267694.8603887786</v>
      </c>
      <c r="E143" s="300">
        <v>2427255.0723920176</v>
      </c>
      <c r="F143" s="300">
        <v>0</v>
      </c>
      <c r="G143" s="300"/>
      <c r="H143" s="300">
        <f t="shared" si="27"/>
        <v>3267694.8603887786</v>
      </c>
      <c r="I143" s="300">
        <f t="shared" si="24"/>
        <v>2427255.0723920176</v>
      </c>
      <c r="J143" s="300">
        <f t="shared" si="29"/>
        <v>76704289.114280939</v>
      </c>
      <c r="K143" s="299">
        <f t="shared" si="28"/>
        <v>1928451.3383495829</v>
      </c>
      <c r="O143" s="295"/>
    </row>
    <row r="144" spans="1:15">
      <c r="A144" s="298">
        <f t="shared" si="26"/>
        <v>54</v>
      </c>
      <c r="B144" s="301">
        <v>44896</v>
      </c>
      <c r="C144" s="300"/>
      <c r="D144" s="300">
        <v>3247401.0625880277</v>
      </c>
      <c r="E144" s="300">
        <v>2412900.4962966014</v>
      </c>
      <c r="F144" s="300">
        <v>0</v>
      </c>
      <c r="G144" s="300"/>
      <c r="H144" s="300">
        <f t="shared" si="27"/>
        <v>3247401.0625880277</v>
      </c>
      <c r="I144" s="300">
        <f t="shared" si="24"/>
        <v>2412900.4962966014</v>
      </c>
      <c r="J144" s="300">
        <f t="shared" si="29"/>
        <v>79951690.17686896</v>
      </c>
      <c r="K144" s="299">
        <f t="shared" si="28"/>
        <v>1897499.8235781055</v>
      </c>
      <c r="O144" s="295"/>
    </row>
    <row r="145" spans="1:15">
      <c r="A145" s="298">
        <f t="shared" si="26"/>
        <v>55</v>
      </c>
      <c r="B145" s="301">
        <v>44927</v>
      </c>
      <c r="C145" s="300"/>
      <c r="D145" s="300">
        <v>3232977.6187376371</v>
      </c>
      <c r="E145" s="300">
        <v>2404392.4684439944</v>
      </c>
      <c r="F145" s="300">
        <v>0</v>
      </c>
      <c r="G145" s="300"/>
      <c r="H145" s="300">
        <f t="shared" si="27"/>
        <v>3232977.6187376371</v>
      </c>
      <c r="I145" s="300">
        <f t="shared" si="24"/>
        <v>2404392.4684439944</v>
      </c>
      <c r="J145" s="300">
        <f t="shared" si="29"/>
        <v>83184667.795606598</v>
      </c>
      <c r="K145" s="299">
        <f t="shared" si="28"/>
        <v>1870368.3293569593</v>
      </c>
      <c r="O145" s="295"/>
    </row>
    <row r="146" spans="1:15">
      <c r="A146" s="298">
        <f t="shared" si="26"/>
        <v>56</v>
      </c>
      <c r="B146" s="301">
        <v>44958</v>
      </c>
      <c r="C146" s="300"/>
      <c r="D146" s="300">
        <v>3215568.9995957674</v>
      </c>
      <c r="E146" s="300">
        <v>2392876.1345599839</v>
      </c>
      <c r="F146" s="300">
        <v>0</v>
      </c>
      <c r="G146" s="300"/>
      <c r="H146" s="300">
        <f t="shared" si="27"/>
        <v>3215568.9995957674</v>
      </c>
      <c r="I146" s="300">
        <f t="shared" si="24"/>
        <v>2392876.1345599839</v>
      </c>
      <c r="J146" s="300">
        <f t="shared" si="29"/>
        <v>86400236.79520236</v>
      </c>
      <c r="K146" s="299">
        <f t="shared" si="28"/>
        <v>1841878.17265029</v>
      </c>
      <c r="O146" s="295"/>
    </row>
    <row r="147" spans="1:15">
      <c r="A147" s="298">
        <f t="shared" si="26"/>
        <v>57</v>
      </c>
      <c r="B147" s="301">
        <v>44986</v>
      </c>
      <c r="C147" s="300"/>
      <c r="D147" s="300">
        <v>3191027.696021867</v>
      </c>
      <c r="E147" s="300">
        <v>2374204.641334164</v>
      </c>
      <c r="F147" s="300">
        <v>0</v>
      </c>
      <c r="G147" s="300"/>
      <c r="H147" s="300">
        <f t="shared" si="27"/>
        <v>3191027.696021867</v>
      </c>
      <c r="I147" s="300">
        <f t="shared" si="24"/>
        <v>2374204.641334164</v>
      </c>
      <c r="J147" s="300">
        <f t="shared" si="29"/>
        <v>89591264.491224229</v>
      </c>
      <c r="K147" s="299">
        <f t="shared" si="28"/>
        <v>1809723.6753045362</v>
      </c>
      <c r="O147" s="295"/>
    </row>
    <row r="148" spans="1:15">
      <c r="A148" s="298">
        <f t="shared" si="26"/>
        <v>58</v>
      </c>
      <c r="B148" s="301">
        <v>45017</v>
      </c>
      <c r="C148" s="300"/>
      <c r="D148" s="300">
        <v>3160524.6383378189</v>
      </c>
      <c r="E148" s="300">
        <v>2349549.5563236903</v>
      </c>
      <c r="F148" s="300">
        <v>0</v>
      </c>
      <c r="G148" s="300"/>
      <c r="H148" s="300">
        <f t="shared" si="27"/>
        <v>3160524.6383378189</v>
      </c>
      <c r="I148" s="300">
        <f t="shared" si="24"/>
        <v>2349549.5563236903</v>
      </c>
      <c r="J148" s="300">
        <f t="shared" si="29"/>
        <v>92751789.12956205</v>
      </c>
      <c r="K148" s="299">
        <f t="shared" si="28"/>
        <v>1774677.7357589097</v>
      </c>
      <c r="O148" s="295"/>
    </row>
    <row r="149" spans="1:15">
      <c r="A149" s="298">
        <f t="shared" si="26"/>
        <v>59</v>
      </c>
      <c r="B149" s="301">
        <v>45047</v>
      </c>
      <c r="C149" s="300"/>
      <c r="D149" s="300">
        <v>3164336.3226342211</v>
      </c>
      <c r="E149" s="300">
        <v>2359187.9947867813</v>
      </c>
      <c r="F149" s="300">
        <v>0</v>
      </c>
      <c r="G149" s="300"/>
      <c r="H149" s="300">
        <f t="shared" si="27"/>
        <v>3164336.3226342211</v>
      </c>
      <c r="I149" s="300">
        <f t="shared" si="24"/>
        <v>2359187.9947867813</v>
      </c>
      <c r="J149" s="300">
        <f t="shared" si="29"/>
        <v>95916125.45219627</v>
      </c>
      <c r="K149" s="299">
        <f t="shared" si="28"/>
        <v>1759225.790626829</v>
      </c>
      <c r="O149" s="295"/>
    </row>
    <row r="150" spans="1:15">
      <c r="A150" s="298">
        <f t="shared" si="26"/>
        <v>60</v>
      </c>
      <c r="B150" s="301">
        <v>45078</v>
      </c>
      <c r="C150" s="300"/>
      <c r="D150" s="300">
        <v>3184068.2210375229</v>
      </c>
      <c r="E150" s="300">
        <v>2384726.030462137</v>
      </c>
      <c r="F150" s="300">
        <v>0</v>
      </c>
      <c r="G150" s="300"/>
      <c r="H150" s="300">
        <f t="shared" si="27"/>
        <v>3184068.2210375229</v>
      </c>
      <c r="I150" s="300">
        <f t="shared" si="24"/>
        <v>2384726.030462137</v>
      </c>
      <c r="J150" s="300">
        <f t="shared" si="29"/>
        <v>99100193.673233792</v>
      </c>
      <c r="K150" s="299">
        <f t="shared" si="28"/>
        <v>1752669.12938973</v>
      </c>
      <c r="O150" s="295"/>
    </row>
    <row r="151" spans="1:15">
      <c r="A151" s="298">
        <f t="shared" si="26"/>
        <v>61</v>
      </c>
      <c r="B151" s="301">
        <v>45108</v>
      </c>
      <c r="C151" s="300"/>
      <c r="D151" s="300">
        <v>3191383.3370977798</v>
      </c>
      <c r="E151" s="300">
        <v>2397827.2514544376</v>
      </c>
      <c r="F151" s="300">
        <v>0</v>
      </c>
      <c r="G151" s="300"/>
      <c r="H151" s="300">
        <f t="shared" si="27"/>
        <v>3191383.3370977798</v>
      </c>
      <c r="I151" s="300">
        <f t="shared" si="24"/>
        <v>2397827.2514544376</v>
      </c>
      <c r="J151" s="300">
        <f t="shared" si="29"/>
        <v>102291577.01033157</v>
      </c>
      <c r="K151" s="299">
        <f t="shared" si="28"/>
        <v>1739302.7051639985</v>
      </c>
      <c r="O151" s="295"/>
    </row>
    <row r="152" spans="1:15">
      <c r="A152" s="298">
        <f t="shared" si="26"/>
        <v>62</v>
      </c>
      <c r="B152" s="301">
        <v>45139</v>
      </c>
      <c r="C152" s="300"/>
      <c r="D152" s="300">
        <v>3189174.3658318515</v>
      </c>
      <c r="E152" s="300">
        <v>2401384.920761182</v>
      </c>
      <c r="F152" s="300">
        <v>0</v>
      </c>
      <c r="G152" s="300"/>
      <c r="H152" s="300">
        <f t="shared" si="27"/>
        <v>3189174.3658318515</v>
      </c>
      <c r="I152" s="300">
        <f t="shared" si="24"/>
        <v>2401384.920761182</v>
      </c>
      <c r="J152" s="300">
        <f t="shared" si="29"/>
        <v>105480751.37616342</v>
      </c>
      <c r="K152" s="299">
        <f t="shared" si="28"/>
        <v>1720889.9174891585</v>
      </c>
      <c r="O152" s="295"/>
    </row>
    <row r="153" spans="1:15">
      <c r="A153" s="298">
        <f t="shared" si="26"/>
        <v>63</v>
      </c>
      <c r="B153" s="301">
        <v>45170</v>
      </c>
      <c r="C153" s="300"/>
      <c r="D153" s="300">
        <v>3184992.8754847506</v>
      </c>
      <c r="E153" s="300">
        <v>2387389.4055159157</v>
      </c>
      <c r="F153" s="300">
        <v>0</v>
      </c>
      <c r="G153" s="300"/>
      <c r="H153" s="300">
        <f t="shared" si="27"/>
        <v>3184992.8754847506</v>
      </c>
      <c r="I153" s="300">
        <f t="shared" si="24"/>
        <v>2387389.4055159157</v>
      </c>
      <c r="J153" s="300">
        <f t="shared" si="29"/>
        <v>108665744.25164817</v>
      </c>
      <c r="K153" s="299">
        <f t="shared" si="28"/>
        <v>1701617.3963483311</v>
      </c>
      <c r="O153" s="295"/>
    </row>
    <row r="154" spans="1:15">
      <c r="A154" s="298">
        <f t="shared" si="26"/>
        <v>64</v>
      </c>
      <c r="B154" s="301">
        <v>45200</v>
      </c>
      <c r="C154" s="300"/>
      <c r="D154" s="300">
        <v>3164883.801972826</v>
      </c>
      <c r="E154" s="300">
        <v>2388571.436828251</v>
      </c>
      <c r="F154" s="300">
        <v>0</v>
      </c>
      <c r="G154" s="300"/>
      <c r="H154" s="300">
        <f t="shared" si="27"/>
        <v>3164883.801972826</v>
      </c>
      <c r="I154" s="300">
        <f t="shared" si="24"/>
        <v>2388571.436828251</v>
      </c>
      <c r="J154" s="300">
        <f t="shared" si="29"/>
        <v>111830628.05362099</v>
      </c>
      <c r="K154" s="299">
        <f t="shared" si="28"/>
        <v>1674132.577370693</v>
      </c>
      <c r="O154" s="295"/>
    </row>
    <row r="155" spans="1:15">
      <c r="A155" s="298">
        <f t="shared" si="26"/>
        <v>65</v>
      </c>
      <c r="B155" s="301">
        <v>45231</v>
      </c>
      <c r="C155" s="300"/>
      <c r="D155" s="300">
        <v>3172132.8427999979</v>
      </c>
      <c r="E155" s="300">
        <v>2401531.9742632834</v>
      </c>
      <c r="F155" s="300">
        <v>0</v>
      </c>
      <c r="G155" s="300"/>
      <c r="H155" s="300">
        <f t="shared" si="27"/>
        <v>3172132.8427999979</v>
      </c>
      <c r="I155" s="300">
        <f t="shared" si="24"/>
        <v>2401531.9742632834</v>
      </c>
      <c r="J155" s="300">
        <f t="shared" si="29"/>
        <v>115002760.89642099</v>
      </c>
      <c r="K155" s="299">
        <f t="shared" si="28"/>
        <v>1661353.5758831962</v>
      </c>
      <c r="O155" s="295"/>
    </row>
    <row r="156" spans="1:15">
      <c r="A156" s="298">
        <f t="shared" ref="A156:A187" si="30">A155+1</f>
        <v>66</v>
      </c>
      <c r="B156" s="301">
        <v>45261</v>
      </c>
      <c r="C156" s="300"/>
      <c r="D156" s="300">
        <v>3175674.399005766</v>
      </c>
      <c r="E156" s="300">
        <v>2410767.6781011503</v>
      </c>
      <c r="F156" s="300">
        <v>0</v>
      </c>
      <c r="G156" s="300"/>
      <c r="H156" s="300">
        <f t="shared" si="27"/>
        <v>3175674.399005766</v>
      </c>
      <c r="I156" s="300">
        <f t="shared" si="24"/>
        <v>2410767.6781011503</v>
      </c>
      <c r="J156" s="300">
        <f t="shared" si="29"/>
        <v>118178435.29542676</v>
      </c>
      <c r="K156" s="299">
        <f t="shared" si="28"/>
        <v>1646740.9990158058</v>
      </c>
      <c r="O156" s="295"/>
    </row>
    <row r="157" spans="1:15">
      <c r="A157" s="298">
        <f t="shared" si="30"/>
        <v>67</v>
      </c>
      <c r="B157" s="301">
        <v>45292</v>
      </c>
      <c r="C157" s="300"/>
      <c r="D157" s="300">
        <v>3156134.1111587118</v>
      </c>
      <c r="E157" s="300">
        <v>2396904.6808091504</v>
      </c>
      <c r="F157" s="300">
        <v>0</v>
      </c>
      <c r="G157" s="300"/>
      <c r="H157" s="300">
        <f t="shared" si="27"/>
        <v>3156134.1111587118</v>
      </c>
      <c r="I157" s="300">
        <f t="shared" si="24"/>
        <v>2396904.6808091504</v>
      </c>
      <c r="J157" s="300">
        <f t="shared" si="29"/>
        <v>121334569.40658547</v>
      </c>
      <c r="K157" s="299">
        <f t="shared" si="28"/>
        <v>1620404.3695799855</v>
      </c>
      <c r="O157" s="295"/>
    </row>
    <row r="158" spans="1:15">
      <c r="A158" s="298">
        <f t="shared" si="30"/>
        <v>68</v>
      </c>
      <c r="B158" s="301">
        <v>45323</v>
      </c>
      <c r="C158" s="300"/>
      <c r="D158" s="300">
        <v>3136020.1878063218</v>
      </c>
      <c r="E158" s="300">
        <v>2382451.6688865931</v>
      </c>
      <c r="F158" s="300">
        <v>0</v>
      </c>
      <c r="G158" s="300"/>
      <c r="H158" s="300">
        <f t="shared" si="27"/>
        <v>3136020.1878063218</v>
      </c>
      <c r="I158" s="300">
        <f t="shared" si="24"/>
        <v>2382451.6688865931</v>
      </c>
      <c r="J158" s="300">
        <f t="shared" si="29"/>
        <v>124470589.59439179</v>
      </c>
      <c r="K158" s="299">
        <f t="shared" si="28"/>
        <v>1594136.2314876234</v>
      </c>
      <c r="O158" s="295"/>
    </row>
    <row r="159" spans="1:15">
      <c r="A159" s="298">
        <f t="shared" si="30"/>
        <v>69</v>
      </c>
      <c r="B159" s="301">
        <v>45352</v>
      </c>
      <c r="C159" s="300"/>
      <c r="D159" s="300">
        <v>3115351.851894184</v>
      </c>
      <c r="E159" s="300">
        <v>2367428.3296794305</v>
      </c>
      <c r="F159" s="300">
        <v>0</v>
      </c>
      <c r="G159" s="300"/>
      <c r="H159" s="300">
        <f t="shared" si="27"/>
        <v>3115351.851894184</v>
      </c>
      <c r="I159" s="300">
        <f t="shared" si="24"/>
        <v>2367428.3296794305</v>
      </c>
      <c r="J159" s="300">
        <f t="shared" si="29"/>
        <v>127585941.44628598</v>
      </c>
      <c r="K159" s="299">
        <f t="shared" si="28"/>
        <v>1567950.3722100938</v>
      </c>
      <c r="O159" s="295"/>
    </row>
    <row r="160" spans="1:15">
      <c r="A160" s="298">
        <f t="shared" si="30"/>
        <v>70</v>
      </c>
      <c r="B160" s="301">
        <v>45383</v>
      </c>
      <c r="C160" s="300"/>
      <c r="D160" s="300">
        <v>3066846.1809032103</v>
      </c>
      <c r="E160" s="300">
        <v>2324552.1919017113</v>
      </c>
      <c r="F160" s="300">
        <v>0</v>
      </c>
      <c r="G160" s="300"/>
      <c r="H160" s="300">
        <f t="shared" si="27"/>
        <v>3066846.1809032103</v>
      </c>
      <c r="I160" s="300">
        <f t="shared" si="24"/>
        <v>2324552.1919017113</v>
      </c>
      <c r="J160" s="300">
        <f t="shared" si="29"/>
        <v>130652787.62718919</v>
      </c>
      <c r="K160" s="299">
        <f t="shared" si="28"/>
        <v>1528255.0146186245</v>
      </c>
      <c r="O160" s="295"/>
    </row>
    <row r="161" spans="1:15">
      <c r="A161" s="298">
        <f t="shared" si="30"/>
        <v>71</v>
      </c>
      <c r="B161" s="301">
        <v>45413</v>
      </c>
      <c r="C161" s="300"/>
      <c r="D161" s="300">
        <v>3069833.8591167559</v>
      </c>
      <c r="E161" s="300">
        <v>2333154.3782760305</v>
      </c>
      <c r="F161" s="300">
        <v>0</v>
      </c>
      <c r="G161" s="300"/>
      <c r="H161" s="300">
        <f t="shared" si="27"/>
        <v>3069833.8591167559</v>
      </c>
      <c r="I161" s="300">
        <f t="shared" si="24"/>
        <v>2333154.3782760305</v>
      </c>
      <c r="J161" s="300">
        <f t="shared" si="29"/>
        <v>133722621.48630595</v>
      </c>
      <c r="K161" s="299">
        <f t="shared" si="28"/>
        <v>1514597.8406524246</v>
      </c>
      <c r="O161" s="295"/>
    </row>
    <row r="162" spans="1:15">
      <c r="A162" s="298">
        <f t="shared" si="30"/>
        <v>72</v>
      </c>
      <c r="B162" s="301">
        <v>45444</v>
      </c>
      <c r="C162" s="300"/>
      <c r="D162" s="300">
        <v>3079265.5897495933</v>
      </c>
      <c r="E162" s="300">
        <v>2348186.0180252516</v>
      </c>
      <c r="F162" s="300">
        <v>0</v>
      </c>
      <c r="G162" s="300"/>
      <c r="H162" s="300">
        <f t="shared" si="27"/>
        <v>3079265.5897495933</v>
      </c>
      <c r="I162" s="300">
        <f t="shared" si="24"/>
        <v>2348186.0180252516</v>
      </c>
      <c r="J162" s="300">
        <f t="shared" si="29"/>
        <v>136801887.07605556</v>
      </c>
      <c r="K162" s="299">
        <f t="shared" si="28"/>
        <v>1504209.1859190527</v>
      </c>
      <c r="O162" s="295"/>
    </row>
    <row r="163" spans="1:15">
      <c r="A163" s="298">
        <f t="shared" si="30"/>
        <v>73</v>
      </c>
      <c r="B163" s="301">
        <v>45474</v>
      </c>
      <c r="C163" s="300"/>
      <c r="D163" s="300">
        <v>3067375.6932375212</v>
      </c>
      <c r="E163" s="300">
        <v>2341881.8455145773</v>
      </c>
      <c r="F163" s="300">
        <v>0</v>
      </c>
      <c r="G163" s="300"/>
      <c r="H163" s="300">
        <f t="shared" si="27"/>
        <v>3067375.6932375212</v>
      </c>
      <c r="I163" s="300">
        <f t="shared" si="24"/>
        <v>2341881.8455145773</v>
      </c>
      <c r="J163" s="300">
        <f t="shared" si="29"/>
        <v>139869262.76929307</v>
      </c>
      <c r="K163" s="299">
        <f t="shared" si="28"/>
        <v>1483565.3643755801</v>
      </c>
      <c r="O163" s="295"/>
    </row>
    <row r="164" spans="1:15">
      <c r="A164" s="298">
        <f t="shared" si="30"/>
        <v>74</v>
      </c>
      <c r="B164" s="301">
        <v>45505</v>
      </c>
      <c r="C164" s="300"/>
      <c r="D164" s="300">
        <v>3029965.9296266655</v>
      </c>
      <c r="E164" s="300">
        <v>2310044.0229833215</v>
      </c>
      <c r="F164" s="300">
        <v>0</v>
      </c>
      <c r="G164" s="300"/>
      <c r="H164" s="300">
        <f t="shared" si="27"/>
        <v>3029965.9296266655</v>
      </c>
      <c r="I164" s="300">
        <f t="shared" si="24"/>
        <v>2310044.0229833215</v>
      </c>
      <c r="J164" s="300">
        <f t="shared" si="29"/>
        <v>142899228.69891974</v>
      </c>
      <c r="K164" s="299">
        <f t="shared" si="28"/>
        <v>1450962.1556188085</v>
      </c>
      <c r="O164" s="295"/>
    </row>
    <row r="165" spans="1:15">
      <c r="A165" s="298">
        <f t="shared" si="30"/>
        <v>75</v>
      </c>
      <c r="B165" s="301">
        <v>45536</v>
      </c>
      <c r="C165" s="300"/>
      <c r="D165" s="300">
        <v>3001198.9585178727</v>
      </c>
      <c r="E165" s="300">
        <v>2271273.8478340125</v>
      </c>
      <c r="F165" s="300">
        <v>0</v>
      </c>
      <c r="G165" s="300"/>
      <c r="H165" s="300">
        <f t="shared" si="27"/>
        <v>3001198.9585178727</v>
      </c>
      <c r="I165" s="300">
        <f t="shared" si="24"/>
        <v>2271273.8478340125</v>
      </c>
      <c r="J165" s="300">
        <f t="shared" si="29"/>
        <v>145900427.65743762</v>
      </c>
      <c r="K165" s="299">
        <f t="shared" si="28"/>
        <v>1422956.9244101581</v>
      </c>
      <c r="O165" s="295"/>
    </row>
    <row r="166" spans="1:15">
      <c r="A166" s="298">
        <f t="shared" si="30"/>
        <v>76</v>
      </c>
      <c r="B166" s="301">
        <v>45566</v>
      </c>
      <c r="C166" s="300"/>
      <c r="D166" s="300">
        <v>2943086.5005207593</v>
      </c>
      <c r="E166" s="300">
        <v>2234268.6793500083</v>
      </c>
      <c r="F166" s="300">
        <v>0</v>
      </c>
      <c r="G166" s="300"/>
      <c r="H166" s="300">
        <f t="shared" ref="H166:H197" si="31">D166-F166-G166</f>
        <v>2943086.5005207593</v>
      </c>
      <c r="I166" s="300">
        <f t="shared" si="24"/>
        <v>2234268.6793500083</v>
      </c>
      <c r="J166" s="300">
        <f t="shared" si="29"/>
        <v>148843514.15795839</v>
      </c>
      <c r="K166" s="299">
        <f t="shared" ref="K166:K197" si="32">PV($L$37,A166,,-H166)</f>
        <v>1381588.2123528472</v>
      </c>
      <c r="O166" s="295"/>
    </row>
    <row r="167" spans="1:15">
      <c r="A167" s="298">
        <f t="shared" si="30"/>
        <v>77</v>
      </c>
      <c r="B167" s="301">
        <v>45597</v>
      </c>
      <c r="C167" s="300"/>
      <c r="D167" s="300">
        <v>2920026.8017336079</v>
      </c>
      <c r="E167" s="300">
        <v>2216741.8736090655</v>
      </c>
      <c r="F167" s="300">
        <v>0</v>
      </c>
      <c r="G167" s="300"/>
      <c r="H167" s="300">
        <f t="shared" si="31"/>
        <v>2920026.8017336079</v>
      </c>
      <c r="I167" s="300">
        <f t="shared" ref="I167:I218" si="33">E167-F167-G167</f>
        <v>2216741.8736090655</v>
      </c>
      <c r="J167" s="300">
        <f t="shared" ref="J167:J198" si="34">H167+J166</f>
        <v>151763540.959692</v>
      </c>
      <c r="K167" s="299">
        <f t="shared" si="32"/>
        <v>1357191.2668425066</v>
      </c>
      <c r="O167" s="295"/>
    </row>
    <row r="168" spans="1:15">
      <c r="A168" s="298">
        <f t="shared" si="30"/>
        <v>78</v>
      </c>
      <c r="B168" s="301">
        <v>45627</v>
      </c>
      <c r="C168" s="300"/>
      <c r="D168" s="300">
        <v>2894797.335199662</v>
      </c>
      <c r="E168" s="300">
        <v>2197033.0151253701</v>
      </c>
      <c r="F168" s="300">
        <v>0</v>
      </c>
      <c r="G168" s="300"/>
      <c r="H168" s="300">
        <f t="shared" si="31"/>
        <v>2894797.335199662</v>
      </c>
      <c r="I168" s="300">
        <f t="shared" si="33"/>
        <v>2197033.0151253701</v>
      </c>
      <c r="J168" s="300">
        <f t="shared" si="34"/>
        <v>154658338.29489166</v>
      </c>
      <c r="K168" s="299">
        <f t="shared" si="32"/>
        <v>1332143.4971582976</v>
      </c>
      <c r="O168" s="295"/>
    </row>
    <row r="169" spans="1:15">
      <c r="A169" s="298">
        <f t="shared" si="30"/>
        <v>79</v>
      </c>
      <c r="B169" s="301">
        <v>45658</v>
      </c>
      <c r="C169" s="300"/>
      <c r="D169" s="300">
        <v>2844950.9687945475</v>
      </c>
      <c r="E169" s="300">
        <v>2152695.3200933095</v>
      </c>
      <c r="F169" s="300">
        <v>0</v>
      </c>
      <c r="G169" s="300"/>
      <c r="H169" s="300">
        <f t="shared" si="31"/>
        <v>2844950.9687945475</v>
      </c>
      <c r="I169" s="300">
        <f t="shared" si="33"/>
        <v>2152695.3200933095</v>
      </c>
      <c r="J169" s="300">
        <f t="shared" si="34"/>
        <v>157503289.26368621</v>
      </c>
      <c r="K169" s="299">
        <f t="shared" si="32"/>
        <v>1296242.5016053324</v>
      </c>
      <c r="O169" s="295"/>
    </row>
    <row r="170" spans="1:15">
      <c r="A170" s="298">
        <f t="shared" si="30"/>
        <v>80</v>
      </c>
      <c r="B170" s="301">
        <v>45689</v>
      </c>
      <c r="C170" s="300"/>
      <c r="D170" s="300">
        <v>2786456.5869208258</v>
      </c>
      <c r="E170" s="300">
        <v>2099698.0113582611</v>
      </c>
      <c r="F170" s="300">
        <v>0</v>
      </c>
      <c r="G170" s="300"/>
      <c r="H170" s="300">
        <f t="shared" si="31"/>
        <v>2786456.5869208258</v>
      </c>
      <c r="I170" s="300">
        <f t="shared" si="33"/>
        <v>2099698.0113582611</v>
      </c>
      <c r="J170" s="300">
        <f t="shared" si="34"/>
        <v>160289745.85060704</v>
      </c>
      <c r="K170" s="299">
        <f t="shared" si="32"/>
        <v>1257020.5524405162</v>
      </c>
      <c r="O170" s="295"/>
    </row>
    <row r="171" spans="1:15">
      <c r="A171" s="298">
        <f t="shared" si="30"/>
        <v>81</v>
      </c>
      <c r="B171" s="301">
        <v>45717</v>
      </c>
      <c r="C171" s="300"/>
      <c r="D171" s="300">
        <v>2741953.6397821363</v>
      </c>
      <c r="E171" s="300">
        <v>2060680.8679707479</v>
      </c>
      <c r="F171" s="300">
        <v>0</v>
      </c>
      <c r="G171" s="300"/>
      <c r="H171" s="300">
        <f t="shared" si="31"/>
        <v>2741953.6397821363</v>
      </c>
      <c r="I171" s="300">
        <f t="shared" si="33"/>
        <v>2060680.8679707479</v>
      </c>
      <c r="J171" s="300">
        <f t="shared" si="34"/>
        <v>163031699.49038917</v>
      </c>
      <c r="K171" s="299">
        <f t="shared" si="32"/>
        <v>1224697.4996539671</v>
      </c>
      <c r="O171" s="295"/>
    </row>
    <row r="172" spans="1:15">
      <c r="A172" s="298">
        <f t="shared" si="30"/>
        <v>82</v>
      </c>
      <c r="B172" s="301">
        <v>45748</v>
      </c>
      <c r="C172" s="300"/>
      <c r="D172" s="300">
        <v>2617897.5858202241</v>
      </c>
      <c r="E172" s="300">
        <v>1942099.6678955418</v>
      </c>
      <c r="F172" s="300">
        <v>0</v>
      </c>
      <c r="G172" s="300"/>
      <c r="H172" s="300">
        <f t="shared" si="31"/>
        <v>2617897.5858202241</v>
      </c>
      <c r="I172" s="300">
        <f t="shared" si="33"/>
        <v>1942099.6678955418</v>
      </c>
      <c r="J172" s="300">
        <f t="shared" si="34"/>
        <v>165649597.0762094</v>
      </c>
      <c r="K172" s="299">
        <f t="shared" si="32"/>
        <v>1157710.5806039069</v>
      </c>
      <c r="O172" s="295"/>
    </row>
    <row r="173" spans="1:15">
      <c r="A173" s="298">
        <f t="shared" si="30"/>
        <v>83</v>
      </c>
      <c r="B173" s="301">
        <v>45778</v>
      </c>
      <c r="C173" s="300"/>
      <c r="D173" s="300">
        <v>2538685.0256749424</v>
      </c>
      <c r="E173" s="300">
        <v>1868351.3222360262</v>
      </c>
      <c r="F173" s="300">
        <v>0</v>
      </c>
      <c r="G173" s="300"/>
      <c r="H173" s="300">
        <f t="shared" si="31"/>
        <v>2538685.0256749424</v>
      </c>
      <c r="I173" s="300">
        <f t="shared" si="33"/>
        <v>1868351.3222360262</v>
      </c>
      <c r="J173" s="300">
        <f t="shared" si="34"/>
        <v>168188282.10188434</v>
      </c>
      <c r="K173" s="299">
        <f t="shared" si="32"/>
        <v>1111564.8304748416</v>
      </c>
      <c r="O173" s="295"/>
    </row>
    <row r="174" spans="1:15">
      <c r="A174" s="298">
        <f t="shared" si="30"/>
        <v>84</v>
      </c>
      <c r="B174" s="301">
        <v>45809</v>
      </c>
      <c r="C174" s="300"/>
      <c r="D174" s="300">
        <v>2433520.4082700694</v>
      </c>
      <c r="E174" s="300">
        <v>1768640.5815768836</v>
      </c>
      <c r="F174" s="300">
        <v>0</v>
      </c>
      <c r="G174" s="300"/>
      <c r="H174" s="300">
        <f t="shared" si="31"/>
        <v>2433520.4082700694</v>
      </c>
      <c r="I174" s="300">
        <f t="shared" si="33"/>
        <v>1768640.5815768836</v>
      </c>
      <c r="J174" s="300">
        <f t="shared" si="34"/>
        <v>170621802.5101544</v>
      </c>
      <c r="K174" s="299">
        <f t="shared" si="32"/>
        <v>1054968.749303442</v>
      </c>
      <c r="O174" s="295"/>
    </row>
    <row r="175" spans="1:15">
      <c r="A175" s="298">
        <f t="shared" si="30"/>
        <v>85</v>
      </c>
      <c r="B175" s="301">
        <v>45839</v>
      </c>
      <c r="C175" s="300"/>
      <c r="D175" s="300">
        <v>2309788.2544813608</v>
      </c>
      <c r="E175" s="300">
        <v>1650352.2599017229</v>
      </c>
      <c r="F175" s="300">
        <v>0</v>
      </c>
      <c r="G175" s="300"/>
      <c r="H175" s="300">
        <f t="shared" si="31"/>
        <v>2309788.2544813608</v>
      </c>
      <c r="I175" s="300">
        <f t="shared" si="33"/>
        <v>1650352.2599017229</v>
      </c>
      <c r="J175" s="300">
        <f t="shared" si="34"/>
        <v>172931590.76463577</v>
      </c>
      <c r="K175" s="299">
        <f t="shared" si="32"/>
        <v>991414.79822462436</v>
      </c>
      <c r="O175" s="295"/>
    </row>
    <row r="176" spans="1:15">
      <c r="A176" s="298">
        <f t="shared" si="30"/>
        <v>86</v>
      </c>
      <c r="B176" s="301">
        <v>45870</v>
      </c>
      <c r="C176" s="300"/>
      <c r="D176" s="300">
        <v>2167550.5742700309</v>
      </c>
      <c r="E176" s="300">
        <v>1513548.6519690724</v>
      </c>
      <c r="F176" s="300">
        <v>0</v>
      </c>
      <c r="G176" s="300"/>
      <c r="H176" s="300">
        <f t="shared" si="31"/>
        <v>2167550.5742700309</v>
      </c>
      <c r="I176" s="300">
        <f t="shared" si="33"/>
        <v>1513548.6519690724</v>
      </c>
      <c r="J176" s="300">
        <f t="shared" si="34"/>
        <v>175099141.33890581</v>
      </c>
      <c r="K176" s="299">
        <f t="shared" si="32"/>
        <v>921151.56463269773</v>
      </c>
      <c r="O176" s="295"/>
    </row>
    <row r="177" spans="1:15">
      <c r="A177" s="298">
        <f t="shared" si="30"/>
        <v>87</v>
      </c>
      <c r="B177" s="301">
        <v>45901</v>
      </c>
      <c r="C177" s="300"/>
      <c r="D177" s="300">
        <v>2087937.7859481575</v>
      </c>
      <c r="E177" s="300">
        <v>1423798.6998253637</v>
      </c>
      <c r="F177" s="300">
        <v>0</v>
      </c>
      <c r="G177" s="300"/>
      <c r="H177" s="300">
        <f t="shared" si="31"/>
        <v>2087937.7859481575</v>
      </c>
      <c r="I177" s="300">
        <f t="shared" si="33"/>
        <v>1423798.6998253637</v>
      </c>
      <c r="J177" s="300">
        <f t="shared" si="34"/>
        <v>177187079.12485397</v>
      </c>
      <c r="K177" s="299">
        <f t="shared" si="32"/>
        <v>878532.90984487615</v>
      </c>
      <c r="O177" s="295"/>
    </row>
    <row r="178" spans="1:15">
      <c r="A178" s="298">
        <f t="shared" si="30"/>
        <v>88</v>
      </c>
      <c r="B178" s="301">
        <v>45931</v>
      </c>
      <c r="C178" s="300"/>
      <c r="D178" s="300">
        <v>1818340.9496417111</v>
      </c>
      <c r="E178" s="300">
        <v>1175178.991437152</v>
      </c>
      <c r="F178" s="300">
        <v>0</v>
      </c>
      <c r="G178" s="300"/>
      <c r="H178" s="300">
        <f t="shared" si="31"/>
        <v>1818340.9496417111</v>
      </c>
      <c r="I178" s="300">
        <f t="shared" si="33"/>
        <v>1175178.991437152</v>
      </c>
      <c r="J178" s="300">
        <f t="shared" si="34"/>
        <v>179005420.07449567</v>
      </c>
      <c r="K178" s="299">
        <f t="shared" si="32"/>
        <v>757520.56318361079</v>
      </c>
      <c r="O178" s="295"/>
    </row>
    <row r="179" spans="1:15">
      <c r="A179" s="298">
        <f t="shared" si="30"/>
        <v>89</v>
      </c>
      <c r="B179" s="301">
        <v>45962</v>
      </c>
      <c r="C179" s="300"/>
      <c r="D179" s="300">
        <v>1674508.5489341847</v>
      </c>
      <c r="E179" s="300">
        <v>1036753.0126767249</v>
      </c>
      <c r="F179" s="300">
        <v>0</v>
      </c>
      <c r="G179" s="300"/>
      <c r="H179" s="300">
        <f t="shared" si="31"/>
        <v>1674508.5489341847</v>
      </c>
      <c r="I179" s="300">
        <f t="shared" si="33"/>
        <v>1036753.0126767249</v>
      </c>
      <c r="J179" s="300">
        <f t="shared" si="34"/>
        <v>180679928.62342986</v>
      </c>
      <c r="K179" s="299">
        <f t="shared" si="32"/>
        <v>690693.07615374238</v>
      </c>
      <c r="O179" s="295"/>
    </row>
    <row r="180" spans="1:15">
      <c r="A180" s="298">
        <f t="shared" si="30"/>
        <v>90</v>
      </c>
      <c r="B180" s="301">
        <v>45992</v>
      </c>
      <c r="C180" s="300"/>
      <c r="D180" s="300">
        <v>1603122.9678488597</v>
      </c>
      <c r="E180" s="300">
        <v>970765.15440099582</v>
      </c>
      <c r="F180" s="300">
        <v>0</v>
      </c>
      <c r="G180" s="300"/>
      <c r="H180" s="300">
        <f t="shared" si="31"/>
        <v>1603122.9678488597</v>
      </c>
      <c r="I180" s="300">
        <f t="shared" si="33"/>
        <v>970765.15440099582</v>
      </c>
      <c r="J180" s="300">
        <f t="shared" si="34"/>
        <v>182283051.59127873</v>
      </c>
      <c r="K180" s="299">
        <f t="shared" si="32"/>
        <v>654701.28878313629</v>
      </c>
      <c r="O180" s="295"/>
    </row>
    <row r="181" spans="1:15">
      <c r="A181" s="298">
        <f t="shared" si="30"/>
        <v>91</v>
      </c>
      <c r="B181" s="301">
        <v>46023</v>
      </c>
      <c r="C181" s="300"/>
      <c r="D181" s="300">
        <v>1491986.6820138667</v>
      </c>
      <c r="E181" s="300">
        <v>865018.13888634916</v>
      </c>
      <c r="F181" s="300">
        <v>0</v>
      </c>
      <c r="G181" s="300"/>
      <c r="H181" s="300">
        <f t="shared" si="31"/>
        <v>1491986.6820138667</v>
      </c>
      <c r="I181" s="300">
        <f t="shared" si="33"/>
        <v>865018.13888634916</v>
      </c>
      <c r="J181" s="300">
        <f t="shared" si="34"/>
        <v>183775038.2732926</v>
      </c>
      <c r="K181" s="299">
        <f t="shared" si="32"/>
        <v>603281.3953442229</v>
      </c>
      <c r="O181" s="295"/>
    </row>
    <row r="182" spans="1:15">
      <c r="A182" s="298">
        <f t="shared" si="30"/>
        <v>92</v>
      </c>
      <c r="B182" s="301">
        <v>46054</v>
      </c>
      <c r="C182" s="300"/>
      <c r="D182" s="300">
        <v>1445979.4372164751</v>
      </c>
      <c r="E182" s="300">
        <v>824391.95157504478</v>
      </c>
      <c r="F182" s="300">
        <v>0</v>
      </c>
      <c r="G182" s="300"/>
      <c r="H182" s="300">
        <f t="shared" si="31"/>
        <v>1445979.4372164751</v>
      </c>
      <c r="I182" s="300">
        <f t="shared" si="33"/>
        <v>824391.95157504478</v>
      </c>
      <c r="J182" s="300">
        <f t="shared" si="34"/>
        <v>185221017.71050906</v>
      </c>
      <c r="K182" s="299">
        <f t="shared" si="32"/>
        <v>578889.57559975528</v>
      </c>
      <c r="O182" s="295"/>
    </row>
    <row r="183" spans="1:15">
      <c r="A183" s="298">
        <f t="shared" si="30"/>
        <v>93</v>
      </c>
      <c r="B183" s="301">
        <v>46082</v>
      </c>
      <c r="C183" s="300"/>
      <c r="D183" s="300">
        <v>1116524.8907214799</v>
      </c>
      <c r="E183" s="300">
        <v>500310.48259188596</v>
      </c>
      <c r="F183" s="300">
        <v>0</v>
      </c>
      <c r="G183" s="300"/>
      <c r="H183" s="300">
        <f t="shared" si="31"/>
        <v>1116524.8907214799</v>
      </c>
      <c r="I183" s="300">
        <f t="shared" si="33"/>
        <v>500310.48259188596</v>
      </c>
      <c r="J183" s="300">
        <f t="shared" si="34"/>
        <v>186337542.60123053</v>
      </c>
      <c r="K183" s="299">
        <f t="shared" si="32"/>
        <v>442568.65068821685</v>
      </c>
      <c r="O183" s="295"/>
    </row>
    <row r="184" spans="1:15">
      <c r="A184" s="298">
        <f t="shared" si="30"/>
        <v>94</v>
      </c>
      <c r="B184" s="301">
        <v>46113</v>
      </c>
      <c r="C184" s="300"/>
      <c r="D184" s="300">
        <v>986809.8283838249</v>
      </c>
      <c r="E184" s="300">
        <v>375960.74404950195</v>
      </c>
      <c r="F184" s="300">
        <v>0</v>
      </c>
      <c r="G184" s="300"/>
      <c r="H184" s="300">
        <f t="shared" si="31"/>
        <v>986809.8283838249</v>
      </c>
      <c r="I184" s="300">
        <f t="shared" si="33"/>
        <v>375960.74404950195</v>
      </c>
      <c r="J184" s="300">
        <f t="shared" si="34"/>
        <v>187324352.42961437</v>
      </c>
      <c r="K184" s="299">
        <f t="shared" si="32"/>
        <v>387279.34109408723</v>
      </c>
      <c r="O184" s="295"/>
    </row>
    <row r="185" spans="1:15">
      <c r="A185" s="298">
        <f t="shared" si="30"/>
        <v>95</v>
      </c>
      <c r="B185" s="301">
        <v>46143</v>
      </c>
      <c r="C185" s="300"/>
      <c r="D185" s="300">
        <v>912348.15571192966</v>
      </c>
      <c r="E185" s="300">
        <v>306856.86129887123</v>
      </c>
      <c r="F185" s="300">
        <v>0</v>
      </c>
      <c r="G185" s="300"/>
      <c r="H185" s="300">
        <f t="shared" si="31"/>
        <v>912348.15571192966</v>
      </c>
      <c r="I185" s="300">
        <f t="shared" si="33"/>
        <v>306856.86129887123</v>
      </c>
      <c r="J185" s="300">
        <f t="shared" si="34"/>
        <v>188236700.58532628</v>
      </c>
      <c r="K185" s="299">
        <f t="shared" si="32"/>
        <v>354511.30514535727</v>
      </c>
      <c r="O185" s="295"/>
    </row>
    <row r="186" spans="1:15">
      <c r="A186" s="298">
        <f t="shared" si="30"/>
        <v>96</v>
      </c>
      <c r="B186" s="301">
        <v>46174</v>
      </c>
      <c r="C186" s="300"/>
      <c r="D186" s="300">
        <v>902091.46894937754</v>
      </c>
      <c r="E186" s="300">
        <v>301950.64419289998</v>
      </c>
      <c r="F186" s="300">
        <v>0</v>
      </c>
      <c r="G186" s="300"/>
      <c r="H186" s="300">
        <f t="shared" si="31"/>
        <v>902091.46894937754</v>
      </c>
      <c r="I186" s="300">
        <f t="shared" si="33"/>
        <v>301950.64419289998</v>
      </c>
      <c r="J186" s="300">
        <f t="shared" si="34"/>
        <v>189138792.05427566</v>
      </c>
      <c r="K186" s="299">
        <f t="shared" si="32"/>
        <v>347055.30922853725</v>
      </c>
      <c r="O186" s="295"/>
    </row>
    <row r="187" spans="1:15">
      <c r="A187" s="298">
        <f t="shared" si="30"/>
        <v>97</v>
      </c>
      <c r="B187" s="301">
        <v>46204</v>
      </c>
      <c r="C187" s="300"/>
      <c r="D187" s="300">
        <v>851732.05810989835</v>
      </c>
      <c r="E187" s="300">
        <v>256934.5902981355</v>
      </c>
      <c r="F187" s="300">
        <v>0</v>
      </c>
      <c r="G187" s="300"/>
      <c r="H187" s="300">
        <f t="shared" si="31"/>
        <v>851732.05810989835</v>
      </c>
      <c r="I187" s="300">
        <f t="shared" si="33"/>
        <v>256934.5902981355</v>
      </c>
      <c r="J187" s="300">
        <f t="shared" si="34"/>
        <v>189990524.11238557</v>
      </c>
      <c r="K187" s="299">
        <f t="shared" si="32"/>
        <v>324436.52189931436</v>
      </c>
      <c r="O187" s="295"/>
    </row>
    <row r="188" spans="1:15">
      <c r="A188" s="298">
        <f t="shared" ref="A188:A217" si="35">A187+1</f>
        <v>98</v>
      </c>
      <c r="B188" s="301">
        <v>46235</v>
      </c>
      <c r="C188" s="300"/>
      <c r="D188" s="300">
        <v>787949.67598544783</v>
      </c>
      <c r="E188" s="300">
        <v>198488.65407456865</v>
      </c>
      <c r="F188" s="300">
        <v>0</v>
      </c>
      <c r="G188" s="300"/>
      <c r="H188" s="300">
        <f t="shared" si="31"/>
        <v>787949.67598544783</v>
      </c>
      <c r="I188" s="300">
        <f t="shared" si="33"/>
        <v>198488.65407456865</v>
      </c>
      <c r="J188" s="300">
        <f t="shared" si="34"/>
        <v>190778473.78837103</v>
      </c>
      <c r="K188" s="299">
        <f t="shared" si="32"/>
        <v>297169.2379451709</v>
      </c>
      <c r="O188" s="295"/>
    </row>
    <row r="189" spans="1:15">
      <c r="A189" s="298">
        <f t="shared" si="35"/>
        <v>99</v>
      </c>
      <c r="B189" s="301">
        <v>46266</v>
      </c>
      <c r="C189" s="300"/>
      <c r="D189" s="300">
        <v>702834.08197076898</v>
      </c>
      <c r="E189" s="300">
        <v>103141.03787899754</v>
      </c>
      <c r="F189" s="300">
        <v>0</v>
      </c>
      <c r="G189" s="300"/>
      <c r="H189" s="300">
        <f t="shared" si="31"/>
        <v>702834.08197076898</v>
      </c>
      <c r="I189" s="300">
        <f t="shared" si="33"/>
        <v>103141.03787899754</v>
      </c>
      <c r="J189" s="300">
        <f t="shared" si="34"/>
        <v>191481307.87034181</v>
      </c>
      <c r="K189" s="299">
        <f t="shared" si="32"/>
        <v>262444.09691675269</v>
      </c>
      <c r="O189" s="295"/>
    </row>
    <row r="190" spans="1:15">
      <c r="A190" s="298">
        <f t="shared" si="35"/>
        <v>100</v>
      </c>
      <c r="B190" s="301">
        <v>46296</v>
      </c>
      <c r="C190" s="300"/>
      <c r="D190" s="300">
        <v>437166.25643891725</v>
      </c>
      <c r="E190" s="300">
        <v>-141641.82855708466</v>
      </c>
      <c r="F190" s="300">
        <v>0</v>
      </c>
      <c r="G190" s="300"/>
      <c r="H190" s="300">
        <f t="shared" si="31"/>
        <v>437166.25643891725</v>
      </c>
      <c r="I190" s="300">
        <f t="shared" si="33"/>
        <v>-141641.82855708466</v>
      </c>
      <c r="J190" s="300">
        <f t="shared" si="34"/>
        <v>191918474.12678072</v>
      </c>
      <c r="K190" s="299">
        <f t="shared" si="32"/>
        <v>161625.26665741456</v>
      </c>
      <c r="O190" s="295"/>
    </row>
    <row r="191" spans="1:15">
      <c r="A191" s="298">
        <f t="shared" si="35"/>
        <v>101</v>
      </c>
      <c r="B191" s="301">
        <v>46327</v>
      </c>
      <c r="C191" s="300"/>
      <c r="D191" s="300">
        <v>434512.36646125343</v>
      </c>
      <c r="E191" s="300">
        <v>-138978.85213045141</v>
      </c>
      <c r="F191" s="300">
        <v>0</v>
      </c>
      <c r="G191" s="300"/>
      <c r="H191" s="300">
        <f t="shared" si="31"/>
        <v>434512.36646125343</v>
      </c>
      <c r="I191" s="300">
        <f t="shared" si="33"/>
        <v>-138978.85213045141</v>
      </c>
      <c r="J191" s="300">
        <f t="shared" si="34"/>
        <v>192352986.49324197</v>
      </c>
      <c r="K191" s="299">
        <f t="shared" si="32"/>
        <v>159053.55819443997</v>
      </c>
      <c r="O191" s="295"/>
    </row>
    <row r="192" spans="1:15">
      <c r="A192" s="298">
        <f t="shared" si="35"/>
        <v>102</v>
      </c>
      <c r="B192" s="301">
        <v>46357</v>
      </c>
      <c r="C192" s="300"/>
      <c r="D192" s="300">
        <v>375763.55568551086</v>
      </c>
      <c r="E192" s="300">
        <v>-192416.95645453822</v>
      </c>
      <c r="F192" s="300">
        <v>0</v>
      </c>
      <c r="G192" s="300"/>
      <c r="H192" s="300">
        <f t="shared" si="31"/>
        <v>375763.55568551086</v>
      </c>
      <c r="I192" s="300">
        <f t="shared" si="33"/>
        <v>-192416.95645453822</v>
      </c>
      <c r="J192" s="300">
        <f t="shared" si="34"/>
        <v>192728750.04892749</v>
      </c>
      <c r="K192" s="299">
        <f t="shared" si="32"/>
        <v>136186.64809488342</v>
      </c>
      <c r="O192" s="295"/>
    </row>
    <row r="193" spans="1:15">
      <c r="A193" s="298">
        <f t="shared" si="35"/>
        <v>103</v>
      </c>
      <c r="B193" s="301">
        <v>46388</v>
      </c>
      <c r="C193" s="300"/>
      <c r="D193" s="300">
        <v>320944.15188193391</v>
      </c>
      <c r="E193" s="300">
        <v>-241931.63910482475</v>
      </c>
      <c r="F193" s="300">
        <v>0</v>
      </c>
      <c r="G193" s="300"/>
      <c r="H193" s="300">
        <f t="shared" si="31"/>
        <v>320944.15188193391</v>
      </c>
      <c r="I193" s="300">
        <f t="shared" si="33"/>
        <v>-241931.63910482475</v>
      </c>
      <c r="J193" s="300">
        <f t="shared" si="34"/>
        <v>193049694.20080942</v>
      </c>
      <c r="K193" s="299">
        <f t="shared" si="32"/>
        <v>115166.9769147178</v>
      </c>
      <c r="O193" s="295"/>
    </row>
    <row r="194" spans="1:15">
      <c r="A194" s="298">
        <f t="shared" si="35"/>
        <v>104</v>
      </c>
      <c r="B194" s="301">
        <v>46419</v>
      </c>
      <c r="C194" s="300"/>
      <c r="D194" s="300">
        <v>309658.20297176228</v>
      </c>
      <c r="E194" s="300">
        <v>-247918.68245779999</v>
      </c>
      <c r="F194" s="300">
        <v>0</v>
      </c>
      <c r="G194" s="300"/>
      <c r="H194" s="300">
        <f t="shared" si="31"/>
        <v>309658.20297176228</v>
      </c>
      <c r="I194" s="300">
        <f t="shared" si="33"/>
        <v>-247918.68245779999</v>
      </c>
      <c r="J194" s="300">
        <f t="shared" si="34"/>
        <v>193359352.40378118</v>
      </c>
      <c r="K194" s="299">
        <f t="shared" si="32"/>
        <v>110016.979108457</v>
      </c>
      <c r="O194" s="295"/>
    </row>
    <row r="195" spans="1:15">
      <c r="A195" s="298">
        <f t="shared" si="35"/>
        <v>105</v>
      </c>
      <c r="B195" s="301">
        <v>46447</v>
      </c>
      <c r="C195" s="300"/>
      <c r="D195" s="300">
        <v>299376.39824100822</v>
      </c>
      <c r="E195" s="300">
        <v>-252907.2323367807</v>
      </c>
      <c r="F195" s="300">
        <v>0</v>
      </c>
      <c r="G195" s="300"/>
      <c r="H195" s="300">
        <f t="shared" si="31"/>
        <v>299376.39824100822</v>
      </c>
      <c r="I195" s="300">
        <f t="shared" si="33"/>
        <v>-252907.2323367807</v>
      </c>
      <c r="J195" s="300">
        <f t="shared" si="34"/>
        <v>193658728.80202219</v>
      </c>
      <c r="K195" s="299">
        <f t="shared" si="32"/>
        <v>105310.89700415057</v>
      </c>
      <c r="O195" s="295"/>
    </row>
    <row r="196" spans="1:15">
      <c r="A196" s="298">
        <f t="shared" si="35"/>
        <v>106</v>
      </c>
      <c r="B196" s="301">
        <v>46478</v>
      </c>
      <c r="C196" s="300"/>
      <c r="D196" s="300">
        <v>257756.8153514904</v>
      </c>
      <c r="E196" s="300">
        <v>-289239.05086445255</v>
      </c>
      <c r="F196" s="300">
        <v>0</v>
      </c>
      <c r="G196" s="300"/>
      <c r="H196" s="300">
        <f t="shared" si="31"/>
        <v>257756.8153514904</v>
      </c>
      <c r="I196" s="300">
        <f t="shared" si="33"/>
        <v>-289239.05086445255</v>
      </c>
      <c r="J196" s="300">
        <f t="shared" si="34"/>
        <v>193916485.61737368</v>
      </c>
      <c r="K196" s="299">
        <f t="shared" si="32"/>
        <v>89772.751497688383</v>
      </c>
      <c r="O196" s="295"/>
    </row>
    <row r="197" spans="1:15">
      <c r="A197" s="298">
        <f t="shared" si="35"/>
        <v>107</v>
      </c>
      <c r="B197" s="301">
        <v>46508</v>
      </c>
      <c r="C197" s="300"/>
      <c r="D197" s="300">
        <v>243632.90187736144</v>
      </c>
      <c r="E197" s="300">
        <v>-298080.53479378694</v>
      </c>
      <c r="F197" s="300">
        <v>0</v>
      </c>
      <c r="G197" s="300"/>
      <c r="H197" s="300">
        <f t="shared" si="31"/>
        <v>243632.90187736144</v>
      </c>
      <c r="I197" s="300">
        <f t="shared" si="33"/>
        <v>-298080.53479378694</v>
      </c>
      <c r="J197" s="300">
        <f t="shared" si="34"/>
        <v>194160118.51925105</v>
      </c>
      <c r="K197" s="299">
        <f t="shared" si="32"/>
        <v>84013.473988450554</v>
      </c>
      <c r="O197" s="295"/>
    </row>
    <row r="198" spans="1:15">
      <c r="A198" s="298">
        <f t="shared" si="35"/>
        <v>108</v>
      </c>
      <c r="B198" s="301">
        <v>46539</v>
      </c>
      <c r="C198" s="300"/>
      <c r="D198" s="300">
        <v>231864.51873979953</v>
      </c>
      <c r="E198" s="300">
        <v>-304571.6719445514</v>
      </c>
      <c r="F198" s="300">
        <v>0</v>
      </c>
      <c r="G198" s="300"/>
      <c r="H198" s="300">
        <f t="shared" ref="H198:H216" si="36">D198-F198-G198</f>
        <v>231864.51873979953</v>
      </c>
      <c r="I198" s="300">
        <f t="shared" si="33"/>
        <v>-304571.6719445514</v>
      </c>
      <c r="J198" s="300">
        <f t="shared" si="34"/>
        <v>194391983.03799084</v>
      </c>
      <c r="K198" s="299">
        <f t="shared" ref="K198:K216" si="37">PV($L$37,A198,,-H198)</f>
        <v>79163.671309287267</v>
      </c>
      <c r="O198" s="295"/>
    </row>
    <row r="199" spans="1:15">
      <c r="A199" s="298">
        <f t="shared" si="35"/>
        <v>109</v>
      </c>
      <c r="B199" s="301">
        <v>46569</v>
      </c>
      <c r="C199" s="300"/>
      <c r="D199" s="300">
        <v>195082.89007084552</v>
      </c>
      <c r="E199" s="300">
        <v>-336081.0912143272</v>
      </c>
      <c r="F199" s="300">
        <v>0</v>
      </c>
      <c r="G199" s="300"/>
      <c r="H199" s="300">
        <f t="shared" si="36"/>
        <v>195082.89007084552</v>
      </c>
      <c r="I199" s="300">
        <f t="shared" si="33"/>
        <v>-336081.0912143272</v>
      </c>
      <c r="J199" s="300">
        <f t="shared" ref="J199:J216" si="38">H199+J198</f>
        <v>194587065.92806169</v>
      </c>
      <c r="K199" s="299">
        <f t="shared" si="37"/>
        <v>65946.148854813815</v>
      </c>
      <c r="O199" s="295"/>
    </row>
    <row r="200" spans="1:15">
      <c r="A200" s="298">
        <f t="shared" si="35"/>
        <v>110</v>
      </c>
      <c r="B200" s="301">
        <v>46600</v>
      </c>
      <c r="C200" s="300"/>
      <c r="D200" s="300">
        <v>181399.93665063765</v>
      </c>
      <c r="E200" s="300">
        <v>-344496.72901967575</v>
      </c>
      <c r="F200" s="300">
        <v>0</v>
      </c>
      <c r="G200" s="300"/>
      <c r="H200" s="300">
        <f t="shared" si="36"/>
        <v>181399.93665063765</v>
      </c>
      <c r="I200" s="300">
        <f t="shared" si="33"/>
        <v>-344496.72901967575</v>
      </c>
      <c r="J200" s="300">
        <f t="shared" si="38"/>
        <v>194768465.86471233</v>
      </c>
      <c r="K200" s="299">
        <f t="shared" si="37"/>
        <v>60713.604184387375</v>
      </c>
      <c r="O200" s="295"/>
    </row>
    <row r="201" spans="1:15">
      <c r="A201" s="298">
        <f t="shared" si="35"/>
        <v>111</v>
      </c>
      <c r="B201" s="301">
        <v>46631</v>
      </c>
      <c r="C201" s="300"/>
      <c r="D201" s="300">
        <v>174291.05116534981</v>
      </c>
      <c r="E201" s="300">
        <v>-361904.80690809974</v>
      </c>
      <c r="F201" s="300">
        <v>0</v>
      </c>
      <c r="G201" s="300"/>
      <c r="H201" s="300">
        <f t="shared" si="36"/>
        <v>174291.05116534981</v>
      </c>
      <c r="I201" s="300">
        <f t="shared" si="33"/>
        <v>-361904.80690809974</v>
      </c>
      <c r="J201" s="300">
        <f t="shared" si="38"/>
        <v>194942756.91587767</v>
      </c>
      <c r="K201" s="299">
        <f t="shared" si="37"/>
        <v>57756.730319595765</v>
      </c>
      <c r="O201" s="295"/>
    </row>
    <row r="202" spans="1:15">
      <c r="A202" s="298">
        <f t="shared" si="35"/>
        <v>112</v>
      </c>
      <c r="B202" s="301">
        <v>46661</v>
      </c>
      <c r="C202" s="300"/>
      <c r="D202" s="300">
        <v>160076.34838743956</v>
      </c>
      <c r="E202" s="300">
        <v>-355299.81632275478</v>
      </c>
      <c r="F202" s="300">
        <v>0</v>
      </c>
      <c r="G202" s="300"/>
      <c r="H202" s="300">
        <f t="shared" si="36"/>
        <v>160076.34838743956</v>
      </c>
      <c r="I202" s="300">
        <f t="shared" si="33"/>
        <v>-355299.81632275478</v>
      </c>
      <c r="J202" s="300">
        <f t="shared" si="38"/>
        <v>195102833.26426512</v>
      </c>
      <c r="K202" s="299">
        <f t="shared" si="37"/>
        <v>52521.03853302537</v>
      </c>
      <c r="O202" s="295"/>
    </row>
    <row r="203" spans="1:15">
      <c r="A203" s="298">
        <f t="shared" si="35"/>
        <v>113</v>
      </c>
      <c r="B203" s="301">
        <v>46692</v>
      </c>
      <c r="C203" s="300"/>
      <c r="D203" s="300">
        <v>150761.85600002465</v>
      </c>
      <c r="E203" s="300">
        <v>-359360.85754700674</v>
      </c>
      <c r="F203" s="300">
        <v>0</v>
      </c>
      <c r="G203" s="300"/>
      <c r="H203" s="300">
        <f t="shared" si="36"/>
        <v>150761.85600002465</v>
      </c>
      <c r="I203" s="300">
        <f t="shared" si="33"/>
        <v>-359360.85754700674</v>
      </c>
      <c r="J203" s="300">
        <f t="shared" si="38"/>
        <v>195253595.12026516</v>
      </c>
      <c r="K203" s="299">
        <f t="shared" si="37"/>
        <v>48975.202220275569</v>
      </c>
      <c r="O203" s="295"/>
    </row>
    <row r="204" spans="1:15">
      <c r="A204" s="298">
        <f t="shared" si="35"/>
        <v>114</v>
      </c>
      <c r="B204" s="301">
        <v>46722</v>
      </c>
      <c r="C204" s="300"/>
      <c r="D204" s="300">
        <v>124630.36271780505</v>
      </c>
      <c r="E204" s="300">
        <v>-380243.26159464882</v>
      </c>
      <c r="F204" s="300">
        <v>0</v>
      </c>
      <c r="G204" s="300"/>
      <c r="H204" s="300">
        <f t="shared" si="36"/>
        <v>124630.36271780505</v>
      </c>
      <c r="I204" s="300">
        <f t="shared" si="33"/>
        <v>-380243.26159464882</v>
      </c>
      <c r="J204" s="300">
        <f t="shared" si="38"/>
        <v>195378225.48298296</v>
      </c>
      <c r="K204" s="299">
        <f t="shared" si="37"/>
        <v>40085.494709477483</v>
      </c>
      <c r="O204" s="295"/>
    </row>
    <row r="205" spans="1:15">
      <c r="A205" s="298">
        <f t="shared" si="35"/>
        <v>115</v>
      </c>
      <c r="B205" s="301">
        <v>46753</v>
      </c>
      <c r="C205" s="300"/>
      <c r="D205" s="300">
        <v>46452.858009878444</v>
      </c>
      <c r="E205" s="300">
        <v>-453175.91532201559</v>
      </c>
      <c r="F205" s="300">
        <v>0</v>
      </c>
      <c r="G205" s="300"/>
      <c r="H205" s="300">
        <f t="shared" si="36"/>
        <v>46452.858009878444</v>
      </c>
      <c r="I205" s="300">
        <f t="shared" si="33"/>
        <v>-453175.91532201559</v>
      </c>
      <c r="J205" s="300">
        <f t="shared" si="38"/>
        <v>195424678.34099284</v>
      </c>
      <c r="K205" s="299">
        <f t="shared" si="37"/>
        <v>14792.938580783335</v>
      </c>
      <c r="O205" s="295"/>
    </row>
    <row r="206" spans="1:15">
      <c r="A206" s="298">
        <f t="shared" si="35"/>
        <v>116</v>
      </c>
      <c r="B206" s="301">
        <v>46784</v>
      </c>
      <c r="C206" s="300"/>
      <c r="D206" s="300">
        <v>43990.891489224581</v>
      </c>
      <c r="E206" s="300">
        <v>-450397.14894812769</v>
      </c>
      <c r="F206" s="300">
        <v>0</v>
      </c>
      <c r="G206" s="300"/>
      <c r="H206" s="300">
        <f t="shared" si="36"/>
        <v>43990.891489224581</v>
      </c>
      <c r="I206" s="300">
        <f t="shared" si="33"/>
        <v>-450397.14894812769</v>
      </c>
      <c r="J206" s="300">
        <f t="shared" si="38"/>
        <v>195468669.23248208</v>
      </c>
      <c r="K206" s="299">
        <f t="shared" si="37"/>
        <v>13870.221749585293</v>
      </c>
      <c r="O206" s="295"/>
    </row>
    <row r="207" spans="1:15">
      <c r="A207" s="298">
        <f t="shared" si="35"/>
        <v>117</v>
      </c>
      <c r="B207" s="301">
        <v>46813</v>
      </c>
      <c r="C207" s="300"/>
      <c r="D207" s="300">
        <v>29607.073436207527</v>
      </c>
      <c r="E207" s="300">
        <v>-459544.23543176684</v>
      </c>
      <c r="F207" s="300">
        <v>0</v>
      </c>
      <c r="G207" s="300"/>
      <c r="H207" s="300">
        <f t="shared" si="36"/>
        <v>29607.073436207527</v>
      </c>
      <c r="I207" s="300">
        <f t="shared" si="33"/>
        <v>-459544.23543176684</v>
      </c>
      <c r="J207" s="300">
        <f t="shared" si="38"/>
        <v>195498276.30591828</v>
      </c>
      <c r="K207" s="299">
        <f t="shared" si="37"/>
        <v>9242.6125611368552</v>
      </c>
      <c r="O207" s="295"/>
    </row>
    <row r="208" spans="1:15">
      <c r="A208" s="298">
        <f t="shared" si="35"/>
        <v>118</v>
      </c>
      <c r="B208" s="301">
        <v>46844</v>
      </c>
      <c r="C208" s="300"/>
      <c r="D208" s="300">
        <v>25100.855559884068</v>
      </c>
      <c r="E208" s="300">
        <v>-458817.60961356404</v>
      </c>
      <c r="F208" s="300">
        <v>0</v>
      </c>
      <c r="G208" s="300"/>
      <c r="H208" s="300">
        <f t="shared" si="36"/>
        <v>25100.855559884068</v>
      </c>
      <c r="I208" s="300">
        <f t="shared" si="33"/>
        <v>-458817.60961356404</v>
      </c>
      <c r="J208" s="300">
        <f t="shared" si="38"/>
        <v>195523377.16147816</v>
      </c>
      <c r="K208" s="299">
        <f t="shared" si="37"/>
        <v>7758.2973071238466</v>
      </c>
    </row>
    <row r="209" spans="1:13">
      <c r="A209" s="298">
        <f t="shared" si="35"/>
        <v>119</v>
      </c>
      <c r="B209" s="301">
        <v>46874</v>
      </c>
      <c r="C209" s="300"/>
      <c r="D209" s="300">
        <v>-3254.8380161159357</v>
      </c>
      <c r="E209" s="300">
        <v>-481944.23713625513</v>
      </c>
      <c r="F209" s="300">
        <v>0</v>
      </c>
      <c r="G209" s="300"/>
      <c r="H209" s="300">
        <f t="shared" si="36"/>
        <v>-3254.8380161159357</v>
      </c>
      <c r="I209" s="300">
        <f t="shared" si="33"/>
        <v>-481944.23713625513</v>
      </c>
      <c r="J209" s="300">
        <f t="shared" si="38"/>
        <v>195520122.32346204</v>
      </c>
      <c r="K209" s="299">
        <f t="shared" si="37"/>
        <v>-996.06091688282095</v>
      </c>
    </row>
    <row r="210" spans="1:13">
      <c r="A210" s="298">
        <f t="shared" si="35"/>
        <v>120</v>
      </c>
      <c r="B210" s="301">
        <v>46905</v>
      </c>
      <c r="C210" s="300"/>
      <c r="D210" s="300">
        <v>0</v>
      </c>
      <c r="E210" s="300">
        <v>-473464.00359988748</v>
      </c>
      <c r="F210" s="300">
        <v>0</v>
      </c>
      <c r="G210" s="300"/>
      <c r="H210" s="300">
        <f t="shared" si="36"/>
        <v>0</v>
      </c>
      <c r="I210" s="300">
        <f t="shared" si="33"/>
        <v>-473464.00359988748</v>
      </c>
      <c r="J210" s="300">
        <f t="shared" si="38"/>
        <v>195520122.32346204</v>
      </c>
      <c r="K210" s="299">
        <f t="shared" si="37"/>
        <v>0</v>
      </c>
    </row>
    <row r="211" spans="1:13">
      <c r="A211" s="298">
        <f t="shared" si="35"/>
        <v>121</v>
      </c>
      <c r="B211" s="301">
        <v>46935</v>
      </c>
      <c r="D211" s="296">
        <v>0</v>
      </c>
      <c r="E211" s="296">
        <v>-468242.17454139097</v>
      </c>
      <c r="H211" s="300">
        <f t="shared" si="36"/>
        <v>0</v>
      </c>
      <c r="I211" s="300">
        <f t="shared" si="33"/>
        <v>-468242.17454139097</v>
      </c>
      <c r="J211" s="300">
        <f t="shared" si="38"/>
        <v>195520122.32346204</v>
      </c>
      <c r="K211" s="299">
        <f t="shared" si="37"/>
        <v>0</v>
      </c>
      <c r="M211" s="295"/>
    </row>
    <row r="212" spans="1:13">
      <c r="A212" s="298">
        <f t="shared" si="35"/>
        <v>122</v>
      </c>
      <c r="B212" s="301">
        <v>46966</v>
      </c>
      <c r="D212" s="296">
        <v>0</v>
      </c>
      <c r="E212" s="296">
        <v>-463023.81082409993</v>
      </c>
      <c r="H212" s="300">
        <f t="shared" si="36"/>
        <v>0</v>
      </c>
      <c r="I212" s="300">
        <f t="shared" si="33"/>
        <v>-463023.81082409993</v>
      </c>
      <c r="J212" s="300">
        <f t="shared" si="38"/>
        <v>195520122.32346204</v>
      </c>
      <c r="K212" s="299">
        <f t="shared" si="37"/>
        <v>0</v>
      </c>
      <c r="M212" s="295"/>
    </row>
    <row r="213" spans="1:13">
      <c r="A213" s="298">
        <f t="shared" si="35"/>
        <v>123</v>
      </c>
      <c r="B213" s="301">
        <v>46997</v>
      </c>
      <c r="D213" s="296">
        <v>0</v>
      </c>
      <c r="E213" s="296">
        <v>2286629.4328173976</v>
      </c>
      <c r="H213" s="300">
        <f t="shared" si="36"/>
        <v>0</v>
      </c>
      <c r="I213" s="300">
        <f t="shared" si="33"/>
        <v>2286629.4328173976</v>
      </c>
      <c r="J213" s="300">
        <f t="shared" si="38"/>
        <v>195520122.32346204</v>
      </c>
      <c r="K213" s="299">
        <f t="shared" si="37"/>
        <v>0</v>
      </c>
      <c r="M213" s="295"/>
    </row>
    <row r="214" spans="1:13">
      <c r="A214" s="298">
        <f t="shared" si="35"/>
        <v>124</v>
      </c>
      <c r="B214" s="301">
        <v>47027</v>
      </c>
      <c r="D214" s="296">
        <v>0</v>
      </c>
      <c r="E214" s="296">
        <v>0</v>
      </c>
      <c r="H214" s="300">
        <f t="shared" si="36"/>
        <v>0</v>
      </c>
      <c r="I214" s="300">
        <f t="shared" si="33"/>
        <v>0</v>
      </c>
      <c r="J214" s="300">
        <f t="shared" si="38"/>
        <v>195520122.32346204</v>
      </c>
      <c r="K214" s="299">
        <f t="shared" si="37"/>
        <v>0</v>
      </c>
      <c r="M214" s="295"/>
    </row>
    <row r="215" spans="1:13">
      <c r="A215" s="298">
        <f t="shared" si="35"/>
        <v>125</v>
      </c>
      <c r="B215" s="301">
        <v>47058</v>
      </c>
      <c r="D215" s="296">
        <v>0</v>
      </c>
      <c r="E215" s="296">
        <v>0</v>
      </c>
      <c r="H215" s="300">
        <f t="shared" si="36"/>
        <v>0</v>
      </c>
      <c r="I215" s="300">
        <f t="shared" si="33"/>
        <v>0</v>
      </c>
      <c r="J215" s="300">
        <f t="shared" si="38"/>
        <v>195520122.32346204</v>
      </c>
      <c r="K215" s="299">
        <f t="shared" si="37"/>
        <v>0</v>
      </c>
      <c r="M215" s="295"/>
    </row>
    <row r="216" spans="1:13">
      <c r="A216" s="298">
        <f t="shared" si="35"/>
        <v>126</v>
      </c>
      <c r="B216" s="301">
        <v>47088</v>
      </c>
      <c r="D216" s="296">
        <v>0</v>
      </c>
      <c r="E216" s="296">
        <v>0</v>
      </c>
      <c r="H216" s="300">
        <f t="shared" si="36"/>
        <v>0</v>
      </c>
      <c r="I216" s="300">
        <f t="shared" si="33"/>
        <v>0</v>
      </c>
      <c r="J216" s="300">
        <f t="shared" si="38"/>
        <v>195520122.32346204</v>
      </c>
      <c r="K216" s="299">
        <f t="shared" si="37"/>
        <v>0</v>
      </c>
      <c r="M216" s="295"/>
    </row>
    <row r="217" spans="1:13">
      <c r="A217" s="298">
        <f t="shared" si="35"/>
        <v>127</v>
      </c>
      <c r="B217" s="301">
        <v>47119</v>
      </c>
      <c r="D217" s="296">
        <v>0</v>
      </c>
      <c r="E217" s="296">
        <v>0</v>
      </c>
      <c r="G217" s="300">
        <f>D217-E217-F217</f>
        <v>0</v>
      </c>
      <c r="H217" s="300">
        <f>G217+J216</f>
        <v>195520122.32346204</v>
      </c>
      <c r="I217" s="300">
        <f t="shared" si="33"/>
        <v>0</v>
      </c>
      <c r="J217" s="299">
        <f>PV($L$37,A217,,-G217)</f>
        <v>0</v>
      </c>
      <c r="K217"/>
      <c r="L217" s="295"/>
    </row>
    <row r="218" spans="1:13">
      <c r="A218" s="298"/>
      <c r="D218" s="296">
        <v>0</v>
      </c>
      <c r="E218" s="296">
        <v>0</v>
      </c>
      <c r="I218" s="300">
        <f t="shared" si="33"/>
        <v>0</v>
      </c>
    </row>
    <row r="219" spans="1:13">
      <c r="D219" s="296">
        <v>0</v>
      </c>
      <c r="E219" s="296">
        <v>0</v>
      </c>
    </row>
  </sheetData>
  <mergeCells count="2">
    <mergeCell ref="B3:J3"/>
    <mergeCell ref="B10:J10"/>
  </mergeCells>
  <conditionalFormatting sqref="B38:B217">
    <cfRule type="expression" dxfId="19" priority="9">
      <formula>#REF!=SMALL(#REF!,1)</formula>
    </cfRule>
  </conditionalFormatting>
  <conditionalFormatting sqref="B46:B217">
    <cfRule type="expression" dxfId="18" priority="3584">
      <formula>$B46="FIM CARTEIRA"</formula>
    </cfRule>
    <cfRule type="expression" dxfId="17" priority="3585">
      <formula>$B46="INÍCIO OBRA"</formula>
    </cfRule>
    <cfRule type="expression" dxfId="16" priority="3586">
      <formula>$B46="FIM OBRA"</formula>
    </cfRule>
    <cfRule type="expression" dxfId="15" priority="3587">
      <formula>$BK45=SMALL($BG$8:$BG$191,1)</formula>
    </cfRule>
    <cfRule type="expression" dxfId="14" priority="3588">
      <formula>$B46="LANÇAMENTO"</formula>
    </cfRule>
    <cfRule type="expression" dxfId="13" priority="3589">
      <formula>$B46="ACOMPANHAMENTO"</formula>
    </cfRule>
  </conditionalFormatting>
  <conditionalFormatting sqref="B38:B41">
    <cfRule type="expression" dxfId="12" priority="3590">
      <formula>$B38="FIM CARTEIRA"</formula>
    </cfRule>
    <cfRule type="expression" dxfId="11" priority="3591">
      <formula>$B38="INÍCIO OBRA"</formula>
    </cfRule>
    <cfRule type="expression" dxfId="10" priority="3592">
      <formula>$B38="FIM OBRA"</formula>
    </cfRule>
    <cfRule type="expression" dxfId="9" priority="3593">
      <formula>$BI37=SMALL($BG$8:$BG$191,1)</formula>
    </cfRule>
    <cfRule type="expression" dxfId="8" priority="3594">
      <formula>$B38="LANÇAMENTO"</formula>
    </cfRule>
    <cfRule type="expression" dxfId="7" priority="3595">
      <formula>$B38="ACOMPANHAMENTO"</formula>
    </cfRule>
  </conditionalFormatting>
  <conditionalFormatting sqref="B42:B45">
    <cfRule type="expression" dxfId="6" priority="3596">
      <formula>$B42="FIM CARTEIRA"</formula>
    </cfRule>
    <cfRule type="expression" dxfId="5" priority="3597">
      <formula>$B42="INÍCIO OBRA"</formula>
    </cfRule>
    <cfRule type="expression" dxfId="4" priority="3598">
      <formula>$B42="FIM OBRA"</formula>
    </cfRule>
    <cfRule type="expression" dxfId="3" priority="3599">
      <formula>$AX41=SMALL($BG$8:$BG$191,1)</formula>
    </cfRule>
    <cfRule type="expression" dxfId="2" priority="3600">
      <formula>$B42="LANÇAMENTO"</formula>
    </cfRule>
    <cfRule type="expression" dxfId="1" priority="3601">
      <formula>$B42="ACOMPANHAMENTO"</formula>
    </cfRule>
  </conditionalFormatting>
  <dataValidations disablePrompts="1" count="2">
    <dataValidation allowBlank="1" showInputMessage="1" showErrorMessage="1" prompt="Sem Aporte" sqref="H36" xr:uid="{DC853503-3388-42AF-BE0B-B4FA54475EC7}"/>
    <dataValidation allowBlank="1" showInputMessage="1" showErrorMessage="1" prompt="Com Aporte" sqref="D36:E36 I36" xr:uid="{69197C8F-90C9-4CDF-9C80-CB419FE79C2B}"/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0DCA-3809-40D9-A5E9-A82F5F30F3E0}">
  <sheetPr>
    <pageSetUpPr fitToPage="1"/>
  </sheetPr>
  <dimension ref="A1:AC194"/>
  <sheetViews>
    <sheetView showGridLines="0" zoomScale="85" zoomScaleNormal="85" workbookViewId="0">
      <pane xSplit="1" ySplit="9" topLeftCell="B10" activePane="bottomRight" state="frozen"/>
      <selection pane="topRight" activeCell="B1" sqref="B1"/>
      <selection pane="bottomLeft" activeCell="A9" sqref="A9"/>
      <selection pane="bottomRight" activeCell="B8" sqref="B8:F8"/>
    </sheetView>
  </sheetViews>
  <sheetFormatPr defaultColWidth="9.140625" defaultRowHeight="15" outlineLevelCol="1"/>
  <cols>
    <col min="1" max="1" width="10.7109375" style="344" customWidth="1"/>
    <col min="2" max="2" width="22.5703125" style="354" bestFit="1" customWidth="1"/>
    <col min="3" max="3" width="20.42578125" style="354" bestFit="1" customWidth="1"/>
    <col min="4" max="4" width="20.85546875" style="354" customWidth="1"/>
    <col min="5" max="5" width="21.28515625" style="354" bestFit="1" customWidth="1"/>
    <col min="6" max="6" width="18.85546875" style="354" bestFit="1" customWidth="1"/>
    <col min="7" max="8" width="20.28515625" style="344" hidden="1" customWidth="1" outlineLevel="1"/>
    <col min="9" max="10" width="21.140625" style="344" hidden="1" customWidth="1" outlineLevel="1"/>
    <col min="11" max="11" width="20.42578125" style="344" bestFit="1" customWidth="1" collapsed="1"/>
    <col min="12" max="12" width="20.42578125" style="344" bestFit="1" customWidth="1"/>
    <col min="13" max="14" width="21.28515625" style="344" bestFit="1" customWidth="1"/>
    <col min="15" max="15" width="17.5703125" style="344" customWidth="1"/>
    <col min="16" max="17" width="20.28515625" style="344" hidden="1" customWidth="1" outlineLevel="1"/>
    <col min="18" max="19" width="21.140625" style="344" hidden="1" customWidth="1" outlineLevel="1"/>
    <col min="20" max="20" width="20.28515625" style="344" bestFit="1" customWidth="1" collapsed="1"/>
    <col min="21" max="21" width="20.28515625" style="344" bestFit="1" customWidth="1"/>
    <col min="22" max="23" width="21.140625" style="344" bestFit="1" customWidth="1"/>
    <col min="24" max="24" width="17.5703125" style="344" customWidth="1"/>
    <col min="25" max="25" width="17.7109375" style="344" bestFit="1" customWidth="1"/>
    <col min="26" max="26" width="2.28515625" style="344" customWidth="1"/>
    <col min="27" max="27" width="17.5703125" style="344" customWidth="1"/>
    <col min="28" max="28" width="17.7109375" style="344" bestFit="1" customWidth="1"/>
    <col min="29" max="16384" width="9.140625" style="344"/>
  </cols>
  <sheetData>
    <row r="1" spans="1:28">
      <c r="B1" s="344"/>
      <c r="C1" s="345" t="s">
        <v>160</v>
      </c>
      <c r="D1" s="346" t="s">
        <v>161</v>
      </c>
      <c r="E1" s="347" t="s">
        <v>162</v>
      </c>
      <c r="F1" s="348">
        <v>0.85</v>
      </c>
      <c r="J1" s="349"/>
      <c r="K1" s="350"/>
      <c r="L1" s="350"/>
      <c r="M1" s="350"/>
      <c r="N1" s="349"/>
      <c r="O1" s="350"/>
      <c r="P1" s="349"/>
      <c r="Q1" s="349"/>
      <c r="R1" s="349"/>
    </row>
    <row r="2" spans="1:28">
      <c r="B2" s="351" t="s">
        <v>163</v>
      </c>
      <c r="C2" s="345">
        <v>1750</v>
      </c>
      <c r="D2" s="352">
        <f>217+12+9+389</f>
        <v>627</v>
      </c>
      <c r="E2" s="353">
        <f>C2-D2</f>
        <v>1123</v>
      </c>
      <c r="F2" s="354">
        <f>C2*0.85</f>
        <v>1487.5</v>
      </c>
      <c r="G2" s="355"/>
      <c r="H2" s="355"/>
      <c r="I2" s="356"/>
      <c r="J2" s="357"/>
      <c r="K2" s="350"/>
      <c r="L2" s="350"/>
      <c r="M2" s="350"/>
      <c r="N2" s="357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</row>
    <row r="3" spans="1:28">
      <c r="B3" s="351" t="s">
        <v>164</v>
      </c>
      <c r="C3" s="358">
        <v>4165</v>
      </c>
      <c r="D3" s="359">
        <v>2334</v>
      </c>
      <c r="E3" s="358">
        <f>C3-D3</f>
        <v>1831</v>
      </c>
      <c r="F3" s="354">
        <f t="shared" ref="F3:F5" si="0">C3*0.85</f>
        <v>3540.25</v>
      </c>
      <c r="G3" s="360"/>
      <c r="H3" s="355"/>
      <c r="I3" s="356"/>
      <c r="J3" s="357"/>
      <c r="K3" s="350"/>
      <c r="L3" s="350"/>
      <c r="M3" s="350"/>
      <c r="N3" s="357"/>
      <c r="O3" s="350"/>
      <c r="P3" s="349"/>
      <c r="Q3" s="349"/>
      <c r="R3" s="349"/>
      <c r="S3" s="349"/>
      <c r="T3" s="349"/>
      <c r="U3" s="349"/>
      <c r="V3" s="349"/>
      <c r="W3" s="349"/>
      <c r="X3" s="349"/>
      <c r="Y3" s="349"/>
    </row>
    <row r="4" spans="1:28">
      <c r="B4" s="351" t="s">
        <v>165</v>
      </c>
      <c r="C4" s="345">
        <v>600</v>
      </c>
      <c r="D4" s="361">
        <f>134+5+17+198</f>
        <v>354</v>
      </c>
      <c r="E4" s="362">
        <f t="shared" ref="E4:E5" si="1">C4-D4</f>
        <v>246</v>
      </c>
      <c r="F4" s="354">
        <f t="shared" si="0"/>
        <v>510</v>
      </c>
      <c r="G4" s="360"/>
      <c r="H4" s="355"/>
      <c r="I4" s="356"/>
      <c r="J4" s="357"/>
      <c r="K4" s="587" t="s">
        <v>166</v>
      </c>
      <c r="L4" s="587"/>
      <c r="M4" s="587"/>
      <c r="N4" s="587"/>
      <c r="O4" s="587"/>
      <c r="P4" s="349"/>
      <c r="Q4" s="349"/>
      <c r="R4" s="349"/>
      <c r="S4" s="349"/>
      <c r="T4" s="349"/>
      <c r="U4" s="349"/>
      <c r="V4" s="349"/>
      <c r="W4" s="349"/>
      <c r="X4" s="349"/>
      <c r="Y4" s="349"/>
    </row>
    <row r="5" spans="1:28">
      <c r="B5" s="351" t="s">
        <v>167</v>
      </c>
      <c r="C5" s="358">
        <v>1428</v>
      </c>
      <c r="D5" s="359">
        <v>1330</v>
      </c>
      <c r="E5" s="358">
        <f t="shared" si="1"/>
        <v>98</v>
      </c>
      <c r="F5" s="354">
        <f t="shared" si="0"/>
        <v>1213.8</v>
      </c>
      <c r="G5" s="360"/>
      <c r="H5" s="355"/>
      <c r="I5" s="356"/>
      <c r="J5" s="357"/>
      <c r="K5" s="363">
        <v>17739965.260000002</v>
      </c>
      <c r="L5" s="363">
        <v>83420010.379999995</v>
      </c>
      <c r="M5" s="363">
        <v>60865405.07</v>
      </c>
      <c r="N5" s="364">
        <v>12975750.550000001</v>
      </c>
      <c r="O5" s="365">
        <f>SUM(K5:N5)</f>
        <v>175001131.26000002</v>
      </c>
      <c r="P5" s="349"/>
      <c r="Q5" s="349"/>
      <c r="R5" s="349"/>
      <c r="S5" s="349"/>
      <c r="T5" s="366"/>
      <c r="U5" s="366"/>
      <c r="V5" s="366"/>
      <c r="W5" s="366"/>
      <c r="X5" s="349"/>
      <c r="Y5" s="349"/>
    </row>
    <row r="6" spans="1:28">
      <c r="C6" s="354">
        <f t="shared" ref="C6" si="2">SUM(C2:C5)</f>
        <v>7943</v>
      </c>
      <c r="D6" s="354">
        <f>SUM(D2:D5)</f>
        <v>4645</v>
      </c>
      <c r="E6" s="354">
        <f>SUM(E2:E5)</f>
        <v>3298</v>
      </c>
      <c r="F6" s="354">
        <f>F2+F3+F4+F5</f>
        <v>6751.55</v>
      </c>
      <c r="G6" s="588"/>
      <c r="H6" s="588"/>
      <c r="I6" s="588"/>
      <c r="J6" s="588"/>
      <c r="K6" s="367"/>
      <c r="L6" s="367"/>
      <c r="M6" s="367"/>
      <c r="N6" s="367"/>
      <c r="T6" s="589"/>
      <c r="U6" s="589"/>
      <c r="V6" s="589"/>
      <c r="W6" s="589"/>
    </row>
    <row r="7" spans="1:28">
      <c r="D7" s="354">
        <f>D6+F10</f>
        <v>4979</v>
      </c>
      <c r="E7" s="368">
        <f>+D6/C6</f>
        <v>0.5847916404381216</v>
      </c>
      <c r="G7" s="369"/>
      <c r="H7" s="369"/>
      <c r="I7" s="369"/>
      <c r="J7" s="369"/>
      <c r="K7" s="370"/>
      <c r="L7" s="370"/>
      <c r="M7" s="370"/>
      <c r="N7" s="370"/>
      <c r="T7" s="369"/>
      <c r="U7" s="369"/>
      <c r="V7" s="369"/>
      <c r="W7" s="369"/>
    </row>
    <row r="8" spans="1:28" s="371" customFormat="1" ht="20.25" customHeight="1">
      <c r="B8" s="590" t="s">
        <v>168</v>
      </c>
      <c r="C8" s="591"/>
      <c r="D8" s="591"/>
      <c r="E8" s="591"/>
      <c r="F8" s="592"/>
      <c r="G8" s="593" t="s">
        <v>169</v>
      </c>
      <c r="H8" s="594"/>
      <c r="I8" s="594"/>
      <c r="J8" s="595"/>
      <c r="K8" s="596" t="s">
        <v>170</v>
      </c>
      <c r="L8" s="597"/>
      <c r="M8" s="597"/>
      <c r="N8" s="597"/>
      <c r="O8" s="598"/>
      <c r="P8" s="599" t="s">
        <v>171</v>
      </c>
      <c r="Q8" s="599"/>
      <c r="R8" s="599"/>
      <c r="S8" s="599"/>
      <c r="T8" s="599" t="s">
        <v>172</v>
      </c>
      <c r="U8" s="599"/>
      <c r="V8" s="599"/>
      <c r="W8" s="599"/>
      <c r="Y8" s="372"/>
      <c r="AB8" s="372"/>
    </row>
    <row r="9" spans="1:28" s="377" customFormat="1">
      <c r="A9" s="373" t="s">
        <v>126</v>
      </c>
      <c r="B9" s="374" t="s">
        <v>173</v>
      </c>
      <c r="C9" s="374" t="s">
        <v>174</v>
      </c>
      <c r="D9" s="374" t="s">
        <v>175</v>
      </c>
      <c r="E9" s="374" t="s">
        <v>176</v>
      </c>
      <c r="F9" s="375" t="s">
        <v>77</v>
      </c>
      <c r="G9" s="374" t="s">
        <v>173</v>
      </c>
      <c r="H9" s="374" t="s">
        <v>174</v>
      </c>
      <c r="I9" s="374" t="s">
        <v>175</v>
      </c>
      <c r="J9" s="374" t="s">
        <v>176</v>
      </c>
      <c r="K9" s="374" t="s">
        <v>173</v>
      </c>
      <c r="L9" s="374" t="s">
        <v>174</v>
      </c>
      <c r="M9" s="374" t="s">
        <v>175</v>
      </c>
      <c r="N9" s="374" t="s">
        <v>176</v>
      </c>
      <c r="O9" s="376" t="s">
        <v>77</v>
      </c>
      <c r="P9" s="374" t="s">
        <v>173</v>
      </c>
      <c r="Q9" s="374" t="s">
        <v>174</v>
      </c>
      <c r="R9" s="374" t="s">
        <v>175</v>
      </c>
      <c r="S9" s="374" t="s">
        <v>176</v>
      </c>
      <c r="T9" s="374" t="s">
        <v>173</v>
      </c>
      <c r="U9" s="374" t="s">
        <v>174</v>
      </c>
      <c r="V9" s="374" t="s">
        <v>175</v>
      </c>
      <c r="W9" s="374" t="s">
        <v>176</v>
      </c>
      <c r="Y9" s="378"/>
      <c r="AB9" s="378"/>
    </row>
    <row r="10" spans="1:28" s="349" customFormat="1" ht="15.75" customHeight="1">
      <c r="A10" s="379">
        <v>43282</v>
      </c>
      <c r="B10" s="380">
        <v>114</v>
      </c>
      <c r="C10" s="381">
        <v>150</v>
      </c>
      <c r="D10" s="381">
        <v>50</v>
      </c>
      <c r="E10" s="381">
        <v>20</v>
      </c>
      <c r="F10" s="382">
        <f t="shared" ref="F10:F27" si="3">SUM(B10:E10)</f>
        <v>334</v>
      </c>
      <c r="G10" s="383">
        <v>29815.13</v>
      </c>
      <c r="H10" s="384">
        <v>43412.84</v>
      </c>
      <c r="I10" s="384">
        <v>36441.199999999997</v>
      </c>
      <c r="J10" s="385">
        <v>53157.06</v>
      </c>
      <c r="K10" s="386">
        <f t="shared" ref="K10:N27" si="4">B10*G10</f>
        <v>3398924.8200000003</v>
      </c>
      <c r="L10" s="387">
        <f t="shared" si="4"/>
        <v>6511925.9999999991</v>
      </c>
      <c r="M10" s="387">
        <f t="shared" si="4"/>
        <v>1822059.9999999998</v>
      </c>
      <c r="N10" s="387">
        <f t="shared" si="4"/>
        <v>1063141.2</v>
      </c>
      <c r="O10" s="388">
        <f t="shared" ref="O10:O27" si="5">SUM(K10:N10)</f>
        <v>12796052.02</v>
      </c>
      <c r="P10" s="380">
        <v>84</v>
      </c>
      <c r="Q10" s="381">
        <v>84</v>
      </c>
      <c r="R10" s="381">
        <v>96</v>
      </c>
      <c r="S10" s="389">
        <v>108</v>
      </c>
      <c r="T10" s="390">
        <f t="shared" ref="T10:W27" si="6">K10/P10</f>
        <v>40463.390714285721</v>
      </c>
      <c r="U10" s="384">
        <f t="shared" si="6"/>
        <v>77522.928571428565</v>
      </c>
      <c r="V10" s="384">
        <f t="shared" si="6"/>
        <v>18979.791666666664</v>
      </c>
      <c r="W10" s="385">
        <f t="shared" si="6"/>
        <v>9843.9</v>
      </c>
      <c r="X10" s="357"/>
      <c r="Y10" s="357"/>
      <c r="Z10" s="391"/>
      <c r="AA10" s="357"/>
      <c r="AB10" s="357"/>
    </row>
    <row r="11" spans="1:28" s="349" customFormat="1">
      <c r="A11" s="379">
        <v>43313</v>
      </c>
      <c r="B11" s="380">
        <v>100</v>
      </c>
      <c r="C11" s="381">
        <v>90</v>
      </c>
      <c r="D11" s="381">
        <v>10</v>
      </c>
      <c r="E11" s="381">
        <v>20</v>
      </c>
      <c r="F11" s="382">
        <f t="shared" si="3"/>
        <v>220</v>
      </c>
      <c r="G11" s="383">
        <v>29815.13</v>
      </c>
      <c r="H11" s="384">
        <v>43412.84</v>
      </c>
      <c r="I11" s="384">
        <v>36441.199999999997</v>
      </c>
      <c r="J11" s="385">
        <v>53157.06</v>
      </c>
      <c r="K11" s="386">
        <f t="shared" si="4"/>
        <v>2981513</v>
      </c>
      <c r="L11" s="387">
        <f t="shared" si="4"/>
        <v>3907155.5999999996</v>
      </c>
      <c r="M11" s="387">
        <f t="shared" si="4"/>
        <v>364412</v>
      </c>
      <c r="N11" s="387">
        <f t="shared" si="4"/>
        <v>1063141.2</v>
      </c>
      <c r="O11" s="388">
        <f t="shared" si="5"/>
        <v>8316221.7999999998</v>
      </c>
      <c r="P11" s="380">
        <v>84</v>
      </c>
      <c r="Q11" s="381">
        <v>84</v>
      </c>
      <c r="R11" s="381">
        <v>96</v>
      </c>
      <c r="S11" s="389">
        <v>108</v>
      </c>
      <c r="T11" s="390">
        <f t="shared" si="6"/>
        <v>35494.202380952382</v>
      </c>
      <c r="U11" s="384">
        <f t="shared" si="6"/>
        <v>46513.757142857139</v>
      </c>
      <c r="V11" s="384">
        <f t="shared" si="6"/>
        <v>3795.9583333333335</v>
      </c>
      <c r="W11" s="385">
        <f t="shared" si="6"/>
        <v>9843.9</v>
      </c>
      <c r="X11" s="357"/>
      <c r="Y11" s="357"/>
      <c r="Z11" s="391"/>
      <c r="AA11" s="357"/>
      <c r="AB11" s="357"/>
    </row>
    <row r="12" spans="1:28" s="349" customFormat="1">
      <c r="A12" s="379">
        <v>43344</v>
      </c>
      <c r="B12" s="380">
        <v>25</v>
      </c>
      <c r="C12" s="381">
        <v>81</v>
      </c>
      <c r="D12" s="381">
        <v>10</v>
      </c>
      <c r="E12" s="381">
        <v>15</v>
      </c>
      <c r="F12" s="382">
        <f t="shared" si="3"/>
        <v>131</v>
      </c>
      <c r="G12" s="383">
        <v>29815.13</v>
      </c>
      <c r="H12" s="384">
        <v>43412.84</v>
      </c>
      <c r="I12" s="384">
        <v>36441.199999999997</v>
      </c>
      <c r="J12" s="385">
        <v>53157.06</v>
      </c>
      <c r="K12" s="386">
        <f t="shared" si="4"/>
        <v>745378.25</v>
      </c>
      <c r="L12" s="387">
        <f t="shared" si="4"/>
        <v>3516440.0399999996</v>
      </c>
      <c r="M12" s="387">
        <f t="shared" si="4"/>
        <v>364412</v>
      </c>
      <c r="N12" s="387">
        <f t="shared" si="4"/>
        <v>797355.89999999991</v>
      </c>
      <c r="O12" s="388">
        <f t="shared" si="5"/>
        <v>5423586.1899999995</v>
      </c>
      <c r="P12" s="380">
        <v>84</v>
      </c>
      <c r="Q12" s="381">
        <v>84</v>
      </c>
      <c r="R12" s="381">
        <v>96</v>
      </c>
      <c r="S12" s="389">
        <v>108</v>
      </c>
      <c r="T12" s="390">
        <f t="shared" si="6"/>
        <v>8873.5505952380954</v>
      </c>
      <c r="U12" s="384">
        <f t="shared" si="6"/>
        <v>41862.381428571425</v>
      </c>
      <c r="V12" s="384">
        <f t="shared" si="6"/>
        <v>3795.9583333333335</v>
      </c>
      <c r="W12" s="385">
        <f t="shared" si="6"/>
        <v>7382.9249999999993</v>
      </c>
      <c r="X12" s="357"/>
      <c r="Y12" s="357"/>
      <c r="Z12" s="391"/>
      <c r="AA12" s="357"/>
      <c r="AB12" s="357"/>
    </row>
    <row r="13" spans="1:28">
      <c r="A13" s="379">
        <v>43374</v>
      </c>
      <c r="B13" s="380">
        <v>50</v>
      </c>
      <c r="C13" s="381">
        <v>100</v>
      </c>
      <c r="D13" s="381">
        <v>3</v>
      </c>
      <c r="E13" s="381">
        <v>15</v>
      </c>
      <c r="F13" s="382">
        <f t="shared" si="3"/>
        <v>168</v>
      </c>
      <c r="G13" s="383">
        <v>29815.13</v>
      </c>
      <c r="H13" s="384">
        <v>43412.84</v>
      </c>
      <c r="I13" s="384">
        <v>36441.199999999997</v>
      </c>
      <c r="J13" s="385">
        <v>53157.06</v>
      </c>
      <c r="K13" s="386">
        <f t="shared" si="4"/>
        <v>1490756.5</v>
      </c>
      <c r="L13" s="387">
        <f t="shared" si="4"/>
        <v>4341284</v>
      </c>
      <c r="M13" s="387">
        <f t="shared" si="4"/>
        <v>109323.59999999999</v>
      </c>
      <c r="N13" s="387">
        <f t="shared" si="4"/>
        <v>797355.89999999991</v>
      </c>
      <c r="O13" s="388">
        <f t="shared" si="5"/>
        <v>6738720</v>
      </c>
      <c r="P13" s="380">
        <v>84</v>
      </c>
      <c r="Q13" s="381">
        <v>84</v>
      </c>
      <c r="R13" s="381">
        <v>96</v>
      </c>
      <c r="S13" s="389">
        <v>108</v>
      </c>
      <c r="T13" s="390">
        <f t="shared" si="6"/>
        <v>17747.101190476191</v>
      </c>
      <c r="U13" s="384">
        <f t="shared" si="6"/>
        <v>51681.952380952382</v>
      </c>
      <c r="V13" s="384">
        <f t="shared" si="6"/>
        <v>1138.7874999999999</v>
      </c>
      <c r="W13" s="385">
        <f t="shared" si="6"/>
        <v>7382.9249999999993</v>
      </c>
      <c r="X13" s="392"/>
      <c r="Y13" s="392"/>
      <c r="Z13" s="393"/>
      <c r="AA13" s="392"/>
      <c r="AB13" s="392"/>
    </row>
    <row r="14" spans="1:28">
      <c r="A14" s="379">
        <v>43405</v>
      </c>
      <c r="B14" s="380">
        <v>30</v>
      </c>
      <c r="C14" s="381">
        <v>50</v>
      </c>
      <c r="D14" s="381">
        <v>5</v>
      </c>
      <c r="E14" s="381">
        <v>20</v>
      </c>
      <c r="F14" s="382">
        <f t="shared" si="3"/>
        <v>105</v>
      </c>
      <c r="G14" s="383">
        <v>29815.13</v>
      </c>
      <c r="H14" s="384">
        <v>43412.84</v>
      </c>
      <c r="I14" s="384">
        <v>36441.199999999997</v>
      </c>
      <c r="J14" s="385">
        <v>53157.06</v>
      </c>
      <c r="K14" s="386">
        <f t="shared" si="4"/>
        <v>894453.9</v>
      </c>
      <c r="L14" s="387">
        <f t="shared" si="4"/>
        <v>2170642</v>
      </c>
      <c r="M14" s="387">
        <f t="shared" si="4"/>
        <v>182206</v>
      </c>
      <c r="N14" s="387">
        <f t="shared" si="4"/>
        <v>1063141.2</v>
      </c>
      <c r="O14" s="388">
        <f t="shared" si="5"/>
        <v>4310443.0999999996</v>
      </c>
      <c r="P14" s="380">
        <v>84</v>
      </c>
      <c r="Q14" s="381">
        <v>84</v>
      </c>
      <c r="R14" s="381">
        <v>96</v>
      </c>
      <c r="S14" s="389">
        <v>108</v>
      </c>
      <c r="T14" s="390">
        <f t="shared" si="6"/>
        <v>10648.260714285714</v>
      </c>
      <c r="U14" s="384">
        <f t="shared" si="6"/>
        <v>25840.976190476191</v>
      </c>
      <c r="V14" s="384">
        <f t="shared" si="6"/>
        <v>1897.9791666666667</v>
      </c>
      <c r="W14" s="385">
        <f t="shared" si="6"/>
        <v>9843.9</v>
      </c>
      <c r="X14" s="392"/>
      <c r="Y14" s="392"/>
      <c r="Z14" s="393"/>
      <c r="AA14" s="392"/>
      <c r="AB14" s="392"/>
    </row>
    <row r="15" spans="1:28">
      <c r="A15" s="379">
        <v>43435</v>
      </c>
      <c r="B15" s="380">
        <v>200</v>
      </c>
      <c r="C15" s="381">
        <v>300</v>
      </c>
      <c r="D15" s="381">
        <v>11</v>
      </c>
      <c r="E15" s="381">
        <v>8</v>
      </c>
      <c r="F15" s="382">
        <f t="shared" si="3"/>
        <v>519</v>
      </c>
      <c r="G15" s="383">
        <v>29815.13</v>
      </c>
      <c r="H15" s="384">
        <v>43412.84</v>
      </c>
      <c r="I15" s="384">
        <v>36441.199999999997</v>
      </c>
      <c r="J15" s="385">
        <v>53157.06</v>
      </c>
      <c r="K15" s="386">
        <f t="shared" si="4"/>
        <v>5963026</v>
      </c>
      <c r="L15" s="387">
        <f t="shared" si="4"/>
        <v>13023851.999999998</v>
      </c>
      <c r="M15" s="387">
        <f t="shared" si="4"/>
        <v>400853.19999999995</v>
      </c>
      <c r="N15" s="387">
        <f t="shared" si="4"/>
        <v>425256.48</v>
      </c>
      <c r="O15" s="388">
        <f t="shared" si="5"/>
        <v>19812987.68</v>
      </c>
      <c r="P15" s="380">
        <v>84</v>
      </c>
      <c r="Q15" s="381">
        <v>84</v>
      </c>
      <c r="R15" s="381">
        <v>96</v>
      </c>
      <c r="S15" s="389">
        <v>108</v>
      </c>
      <c r="T15" s="390">
        <f t="shared" si="6"/>
        <v>70988.404761904763</v>
      </c>
      <c r="U15" s="384">
        <f t="shared" si="6"/>
        <v>155045.85714285713</v>
      </c>
      <c r="V15" s="384">
        <f t="shared" si="6"/>
        <v>4175.5541666666659</v>
      </c>
      <c r="W15" s="385">
        <f t="shared" si="6"/>
        <v>3937.56</v>
      </c>
      <c r="X15" s="392"/>
      <c r="Y15" s="392"/>
      <c r="AA15" s="392"/>
      <c r="AB15" s="392"/>
    </row>
    <row r="16" spans="1:28">
      <c r="A16" s="379">
        <v>43466</v>
      </c>
      <c r="B16" s="380">
        <v>100</v>
      </c>
      <c r="C16" s="381">
        <v>150</v>
      </c>
      <c r="D16" s="381">
        <v>20</v>
      </c>
      <c r="E16" s="381">
        <v>0</v>
      </c>
      <c r="F16" s="382">
        <f t="shared" si="3"/>
        <v>270</v>
      </c>
      <c r="G16" s="383">
        <v>29815.13</v>
      </c>
      <c r="H16" s="384">
        <v>43412.84</v>
      </c>
      <c r="I16" s="384">
        <v>36441.199999999997</v>
      </c>
      <c r="J16" s="385">
        <v>53157.06</v>
      </c>
      <c r="K16" s="386">
        <f t="shared" si="4"/>
        <v>2981513</v>
      </c>
      <c r="L16" s="387">
        <f t="shared" si="4"/>
        <v>6511925.9999999991</v>
      </c>
      <c r="M16" s="387">
        <f t="shared" si="4"/>
        <v>728824</v>
      </c>
      <c r="N16" s="387">
        <f t="shared" si="4"/>
        <v>0</v>
      </c>
      <c r="O16" s="388">
        <f t="shared" si="5"/>
        <v>10222263</v>
      </c>
      <c r="P16" s="380">
        <v>84</v>
      </c>
      <c r="Q16" s="381">
        <v>84</v>
      </c>
      <c r="R16" s="381">
        <v>96</v>
      </c>
      <c r="S16" s="389">
        <v>108</v>
      </c>
      <c r="T16" s="390">
        <f t="shared" si="6"/>
        <v>35494.202380952382</v>
      </c>
      <c r="U16" s="384">
        <f t="shared" si="6"/>
        <v>77522.928571428565</v>
      </c>
      <c r="V16" s="384">
        <f t="shared" si="6"/>
        <v>7591.916666666667</v>
      </c>
      <c r="W16" s="385">
        <f t="shared" si="6"/>
        <v>0</v>
      </c>
      <c r="X16" s="392"/>
      <c r="Y16" s="392"/>
      <c r="Z16" s="394"/>
      <c r="AA16" s="392"/>
      <c r="AB16" s="392"/>
    </row>
    <row r="17" spans="1:28">
      <c r="A17" s="379">
        <v>43497</v>
      </c>
      <c r="B17" s="380">
        <v>45</v>
      </c>
      <c r="C17" s="381">
        <v>100</v>
      </c>
      <c r="D17" s="381">
        <v>5</v>
      </c>
      <c r="E17" s="381">
        <v>0</v>
      </c>
      <c r="F17" s="382">
        <f t="shared" si="3"/>
        <v>150</v>
      </c>
      <c r="G17" s="383">
        <v>29815.13</v>
      </c>
      <c r="H17" s="384">
        <v>43412.84</v>
      </c>
      <c r="I17" s="384">
        <v>36441.199999999997</v>
      </c>
      <c r="J17" s="385">
        <v>53157.06</v>
      </c>
      <c r="K17" s="386">
        <f t="shared" si="4"/>
        <v>1341680.8500000001</v>
      </c>
      <c r="L17" s="387">
        <f t="shared" si="4"/>
        <v>4341284</v>
      </c>
      <c r="M17" s="387">
        <f t="shared" si="4"/>
        <v>182206</v>
      </c>
      <c r="N17" s="387">
        <f t="shared" si="4"/>
        <v>0</v>
      </c>
      <c r="O17" s="388">
        <f t="shared" si="5"/>
        <v>5865170.8499999996</v>
      </c>
      <c r="P17" s="380">
        <v>84</v>
      </c>
      <c r="Q17" s="381">
        <v>84</v>
      </c>
      <c r="R17" s="381">
        <v>96</v>
      </c>
      <c r="S17" s="389">
        <v>108</v>
      </c>
      <c r="T17" s="390">
        <f t="shared" si="6"/>
        <v>15972.391071428572</v>
      </c>
      <c r="U17" s="384">
        <f t="shared" si="6"/>
        <v>51681.952380952382</v>
      </c>
      <c r="V17" s="384">
        <f t="shared" si="6"/>
        <v>1897.9791666666667</v>
      </c>
      <c r="W17" s="385">
        <f t="shared" si="6"/>
        <v>0</v>
      </c>
      <c r="X17" s="392"/>
      <c r="Y17" s="392"/>
      <c r="Z17" s="395"/>
      <c r="AA17" s="392"/>
      <c r="AB17" s="392"/>
    </row>
    <row r="18" spans="1:28">
      <c r="A18" s="379">
        <v>43525</v>
      </c>
      <c r="B18" s="380">
        <v>20</v>
      </c>
      <c r="C18" s="381">
        <v>20</v>
      </c>
      <c r="D18" s="381">
        <v>5</v>
      </c>
      <c r="E18" s="381">
        <v>0</v>
      </c>
      <c r="F18" s="382">
        <f t="shared" si="3"/>
        <v>45</v>
      </c>
      <c r="G18" s="383">
        <v>29815.13</v>
      </c>
      <c r="H18" s="384">
        <v>43412.84</v>
      </c>
      <c r="I18" s="384">
        <v>36441.199999999997</v>
      </c>
      <c r="J18" s="385">
        <v>53157.06</v>
      </c>
      <c r="K18" s="386">
        <f t="shared" si="4"/>
        <v>596302.6</v>
      </c>
      <c r="L18" s="387">
        <f t="shared" si="4"/>
        <v>868256.79999999993</v>
      </c>
      <c r="M18" s="387">
        <f t="shared" si="4"/>
        <v>182206</v>
      </c>
      <c r="N18" s="387">
        <f t="shared" si="4"/>
        <v>0</v>
      </c>
      <c r="O18" s="388">
        <f t="shared" si="5"/>
        <v>1646765.4</v>
      </c>
      <c r="P18" s="380">
        <v>84</v>
      </c>
      <c r="Q18" s="381">
        <v>84</v>
      </c>
      <c r="R18" s="381">
        <v>96</v>
      </c>
      <c r="S18" s="389">
        <v>108</v>
      </c>
      <c r="T18" s="390">
        <f t="shared" si="6"/>
        <v>7098.8404761904758</v>
      </c>
      <c r="U18" s="384">
        <f t="shared" si="6"/>
        <v>10336.390476190476</v>
      </c>
      <c r="V18" s="384">
        <f t="shared" si="6"/>
        <v>1897.9791666666667</v>
      </c>
      <c r="W18" s="385">
        <f t="shared" si="6"/>
        <v>0</v>
      </c>
      <c r="X18" s="392"/>
      <c r="Y18" s="392"/>
      <c r="Z18" s="395"/>
      <c r="AA18" s="392"/>
      <c r="AB18" s="392"/>
    </row>
    <row r="19" spans="1:28">
      <c r="A19" s="379">
        <v>43556</v>
      </c>
      <c r="B19" s="380">
        <v>50</v>
      </c>
      <c r="C19" s="381">
        <v>40</v>
      </c>
      <c r="D19" s="381">
        <v>10</v>
      </c>
      <c r="E19" s="381">
        <v>0</v>
      </c>
      <c r="F19" s="382">
        <f t="shared" si="3"/>
        <v>100</v>
      </c>
      <c r="G19" s="383">
        <v>29815.13</v>
      </c>
      <c r="H19" s="384">
        <v>43412.84</v>
      </c>
      <c r="I19" s="384">
        <v>36441.199999999997</v>
      </c>
      <c r="J19" s="385">
        <v>53157.06</v>
      </c>
      <c r="K19" s="386">
        <f t="shared" si="4"/>
        <v>1490756.5</v>
      </c>
      <c r="L19" s="387">
        <f t="shared" si="4"/>
        <v>1736513.5999999999</v>
      </c>
      <c r="M19" s="387">
        <f t="shared" si="4"/>
        <v>364412</v>
      </c>
      <c r="N19" s="387">
        <f t="shared" si="4"/>
        <v>0</v>
      </c>
      <c r="O19" s="388">
        <f t="shared" si="5"/>
        <v>3591682.0999999996</v>
      </c>
      <c r="P19" s="380">
        <v>84</v>
      </c>
      <c r="Q19" s="381">
        <v>84</v>
      </c>
      <c r="R19" s="381">
        <v>96</v>
      </c>
      <c r="S19" s="389">
        <v>108</v>
      </c>
      <c r="T19" s="390">
        <f t="shared" si="6"/>
        <v>17747.101190476191</v>
      </c>
      <c r="U19" s="384">
        <f t="shared" si="6"/>
        <v>20672.780952380952</v>
      </c>
      <c r="V19" s="384">
        <f t="shared" si="6"/>
        <v>3795.9583333333335</v>
      </c>
      <c r="W19" s="385">
        <f t="shared" si="6"/>
        <v>0</v>
      </c>
      <c r="X19" s="392"/>
      <c r="Y19" s="392"/>
      <c r="Z19" s="395"/>
      <c r="AA19" s="392"/>
      <c r="AB19" s="392"/>
    </row>
    <row r="20" spans="1:28">
      <c r="A20" s="379">
        <v>43586</v>
      </c>
      <c r="B20" s="380">
        <v>70</v>
      </c>
      <c r="C20" s="381">
        <v>50</v>
      </c>
      <c r="D20" s="381">
        <v>5</v>
      </c>
      <c r="E20" s="381">
        <v>0</v>
      </c>
      <c r="F20" s="382">
        <f t="shared" si="3"/>
        <v>125</v>
      </c>
      <c r="G20" s="383">
        <v>29815.13</v>
      </c>
      <c r="H20" s="384">
        <v>43412.84</v>
      </c>
      <c r="I20" s="384">
        <v>36441.199999999997</v>
      </c>
      <c r="J20" s="385">
        <v>53157.06</v>
      </c>
      <c r="K20" s="386">
        <f t="shared" si="4"/>
        <v>2087059.1</v>
      </c>
      <c r="L20" s="387">
        <f t="shared" si="4"/>
        <v>2170642</v>
      </c>
      <c r="M20" s="387">
        <f t="shared" si="4"/>
        <v>182206</v>
      </c>
      <c r="N20" s="387">
        <f t="shared" si="4"/>
        <v>0</v>
      </c>
      <c r="O20" s="388">
        <f t="shared" si="5"/>
        <v>4439907.0999999996</v>
      </c>
      <c r="P20" s="380">
        <v>84</v>
      </c>
      <c r="Q20" s="381">
        <v>84</v>
      </c>
      <c r="R20" s="381">
        <v>96</v>
      </c>
      <c r="S20" s="389">
        <v>108</v>
      </c>
      <c r="T20" s="390">
        <f t="shared" si="6"/>
        <v>24845.941666666669</v>
      </c>
      <c r="U20" s="384">
        <f t="shared" si="6"/>
        <v>25840.976190476191</v>
      </c>
      <c r="V20" s="384">
        <f t="shared" si="6"/>
        <v>1897.9791666666667</v>
      </c>
      <c r="W20" s="385">
        <f t="shared" si="6"/>
        <v>0</v>
      </c>
      <c r="X20" s="392"/>
      <c r="Y20" s="392"/>
      <c r="Z20" s="395"/>
      <c r="AA20" s="392"/>
      <c r="AB20" s="392"/>
    </row>
    <row r="21" spans="1:28">
      <c r="A21" s="379">
        <v>43617</v>
      </c>
      <c r="B21" s="380">
        <v>50</v>
      </c>
      <c r="C21" s="381">
        <v>95</v>
      </c>
      <c r="D21" s="381">
        <v>5</v>
      </c>
      <c r="E21" s="381">
        <v>0</v>
      </c>
      <c r="F21" s="382">
        <f t="shared" si="3"/>
        <v>150</v>
      </c>
      <c r="G21" s="383">
        <v>29815.13</v>
      </c>
      <c r="H21" s="384">
        <v>43412.84</v>
      </c>
      <c r="I21" s="384">
        <v>36441.199999999997</v>
      </c>
      <c r="J21" s="385">
        <v>53157.06</v>
      </c>
      <c r="K21" s="386">
        <f t="shared" si="4"/>
        <v>1490756.5</v>
      </c>
      <c r="L21" s="387">
        <f t="shared" si="4"/>
        <v>4124219.8</v>
      </c>
      <c r="M21" s="387">
        <f t="shared" si="4"/>
        <v>182206</v>
      </c>
      <c r="N21" s="387">
        <f t="shared" si="4"/>
        <v>0</v>
      </c>
      <c r="O21" s="388">
        <f t="shared" si="5"/>
        <v>5797182.2999999998</v>
      </c>
      <c r="P21" s="380">
        <v>84</v>
      </c>
      <c r="Q21" s="381">
        <v>84</v>
      </c>
      <c r="R21" s="381">
        <v>96</v>
      </c>
      <c r="S21" s="389">
        <v>108</v>
      </c>
      <c r="T21" s="390">
        <f t="shared" si="6"/>
        <v>17747.101190476191</v>
      </c>
      <c r="U21" s="384">
        <f t="shared" si="6"/>
        <v>49097.85476190476</v>
      </c>
      <c r="V21" s="384">
        <f t="shared" si="6"/>
        <v>1897.9791666666667</v>
      </c>
      <c r="W21" s="385">
        <f t="shared" si="6"/>
        <v>0</v>
      </c>
      <c r="X21" s="392"/>
      <c r="Y21" s="392"/>
      <c r="Z21" s="395"/>
      <c r="AA21" s="392"/>
      <c r="AB21" s="392"/>
    </row>
    <row r="22" spans="1:28">
      <c r="A22" s="379">
        <v>43647</v>
      </c>
      <c r="B22" s="380">
        <v>100</v>
      </c>
      <c r="C22" s="381">
        <v>475</v>
      </c>
      <c r="D22" s="381">
        <v>15</v>
      </c>
      <c r="E22" s="381">
        <v>0</v>
      </c>
      <c r="F22" s="382">
        <f t="shared" si="3"/>
        <v>590</v>
      </c>
      <c r="G22" s="383">
        <v>29815.13</v>
      </c>
      <c r="H22" s="384">
        <v>43412.84</v>
      </c>
      <c r="I22" s="384">
        <v>36441.199999999997</v>
      </c>
      <c r="J22" s="385">
        <v>53157.06</v>
      </c>
      <c r="K22" s="386">
        <f t="shared" si="4"/>
        <v>2981513</v>
      </c>
      <c r="L22" s="387">
        <f t="shared" si="4"/>
        <v>20621099</v>
      </c>
      <c r="M22" s="387">
        <f t="shared" si="4"/>
        <v>546618</v>
      </c>
      <c r="N22" s="387">
        <f t="shared" si="4"/>
        <v>0</v>
      </c>
      <c r="O22" s="388">
        <f t="shared" si="5"/>
        <v>24149230</v>
      </c>
      <c r="P22" s="380">
        <v>84</v>
      </c>
      <c r="Q22" s="381">
        <v>84</v>
      </c>
      <c r="R22" s="381">
        <v>96</v>
      </c>
      <c r="S22" s="389">
        <v>108</v>
      </c>
      <c r="T22" s="390">
        <f t="shared" si="6"/>
        <v>35494.202380952382</v>
      </c>
      <c r="U22" s="384">
        <f t="shared" si="6"/>
        <v>245489.27380952382</v>
      </c>
      <c r="V22" s="384">
        <f t="shared" si="6"/>
        <v>5693.9375</v>
      </c>
      <c r="W22" s="385">
        <f t="shared" si="6"/>
        <v>0</v>
      </c>
      <c r="X22" s="392"/>
      <c r="Y22" s="392"/>
      <c r="Z22" s="395"/>
      <c r="AA22" s="392"/>
      <c r="AB22" s="392"/>
    </row>
    <row r="23" spans="1:28">
      <c r="A23" s="379">
        <v>43678</v>
      </c>
      <c r="B23" s="380">
        <v>57</v>
      </c>
      <c r="C23" s="381">
        <v>100</v>
      </c>
      <c r="D23" s="381">
        <v>15</v>
      </c>
      <c r="E23" s="381">
        <v>0</v>
      </c>
      <c r="F23" s="382">
        <f t="shared" si="3"/>
        <v>172</v>
      </c>
      <c r="G23" s="383">
        <v>29815.13</v>
      </c>
      <c r="H23" s="384">
        <v>43412.84</v>
      </c>
      <c r="I23" s="384">
        <v>36441.199999999997</v>
      </c>
      <c r="J23" s="385">
        <v>53157.06</v>
      </c>
      <c r="K23" s="386">
        <f t="shared" si="4"/>
        <v>1699462.4100000001</v>
      </c>
      <c r="L23" s="387">
        <f t="shared" si="4"/>
        <v>4341284</v>
      </c>
      <c r="M23" s="387">
        <f t="shared" si="4"/>
        <v>546618</v>
      </c>
      <c r="N23" s="387">
        <f t="shared" si="4"/>
        <v>0</v>
      </c>
      <c r="O23" s="388">
        <f t="shared" si="5"/>
        <v>6587364.4100000001</v>
      </c>
      <c r="P23" s="380">
        <v>84</v>
      </c>
      <c r="Q23" s="381">
        <v>84</v>
      </c>
      <c r="R23" s="381">
        <v>96</v>
      </c>
      <c r="S23" s="389">
        <v>108</v>
      </c>
      <c r="T23" s="390">
        <f t="shared" si="6"/>
        <v>20231.69535714286</v>
      </c>
      <c r="U23" s="384">
        <f t="shared" si="6"/>
        <v>51681.952380952382</v>
      </c>
      <c r="V23" s="384">
        <f t="shared" si="6"/>
        <v>5693.9375</v>
      </c>
      <c r="W23" s="385">
        <f t="shared" si="6"/>
        <v>0</v>
      </c>
      <c r="X23" s="392"/>
      <c r="Y23" s="392"/>
      <c r="Z23" s="395"/>
      <c r="AA23" s="392"/>
      <c r="AB23" s="392"/>
    </row>
    <row r="24" spans="1:28">
      <c r="A24" s="379">
        <v>43709</v>
      </c>
      <c r="B24" s="396">
        <v>112</v>
      </c>
      <c r="C24" s="397">
        <v>30</v>
      </c>
      <c r="D24" s="397">
        <v>77</v>
      </c>
      <c r="E24" s="381">
        <v>0</v>
      </c>
      <c r="F24" s="382">
        <f t="shared" si="3"/>
        <v>219</v>
      </c>
      <c r="G24" s="383">
        <v>29815.13</v>
      </c>
      <c r="H24" s="384">
        <v>43412.84</v>
      </c>
      <c r="I24" s="384">
        <v>36441.199999999997</v>
      </c>
      <c r="J24" s="385">
        <v>53157.06</v>
      </c>
      <c r="K24" s="386">
        <f t="shared" si="4"/>
        <v>3339294.56</v>
      </c>
      <c r="L24" s="387">
        <f t="shared" si="4"/>
        <v>1302385.2</v>
      </c>
      <c r="M24" s="387">
        <f t="shared" si="4"/>
        <v>2805972.4</v>
      </c>
      <c r="N24" s="387">
        <f t="shared" si="4"/>
        <v>0</v>
      </c>
      <c r="O24" s="388">
        <f t="shared" si="5"/>
        <v>7447652.1600000001</v>
      </c>
      <c r="P24" s="380">
        <v>84</v>
      </c>
      <c r="Q24" s="381">
        <v>84</v>
      </c>
      <c r="R24" s="381">
        <v>96</v>
      </c>
      <c r="S24" s="389">
        <v>108</v>
      </c>
      <c r="T24" s="390">
        <f t="shared" si="6"/>
        <v>39753.506666666668</v>
      </c>
      <c r="U24" s="384">
        <f t="shared" si="6"/>
        <v>15504.585714285713</v>
      </c>
      <c r="V24" s="384">
        <f t="shared" si="6"/>
        <v>29228.879166666666</v>
      </c>
      <c r="W24" s="385">
        <f t="shared" si="6"/>
        <v>0</v>
      </c>
      <c r="X24" s="392"/>
      <c r="Y24" s="392"/>
      <c r="Z24" s="395"/>
      <c r="AA24" s="392"/>
      <c r="AB24" s="392"/>
    </row>
    <row r="25" spans="1:28">
      <c r="A25" s="379">
        <v>43739</v>
      </c>
      <c r="B25" s="396">
        <v>0</v>
      </c>
      <c r="C25" s="397">
        <v>0</v>
      </c>
      <c r="D25" s="397">
        <v>0</v>
      </c>
      <c r="E25" s="381">
        <v>0</v>
      </c>
      <c r="F25" s="382">
        <f t="shared" si="3"/>
        <v>0</v>
      </c>
      <c r="G25" s="383">
        <v>29815.13</v>
      </c>
      <c r="H25" s="384">
        <v>43412.84</v>
      </c>
      <c r="I25" s="384">
        <v>36441.199999999997</v>
      </c>
      <c r="J25" s="385">
        <v>53157.06</v>
      </c>
      <c r="K25" s="386">
        <f t="shared" si="4"/>
        <v>0</v>
      </c>
      <c r="L25" s="387">
        <f t="shared" si="4"/>
        <v>0</v>
      </c>
      <c r="M25" s="387">
        <f t="shared" si="4"/>
        <v>0</v>
      </c>
      <c r="N25" s="387">
        <f t="shared" si="4"/>
        <v>0</v>
      </c>
      <c r="O25" s="388">
        <f t="shared" si="5"/>
        <v>0</v>
      </c>
      <c r="P25" s="380">
        <v>84</v>
      </c>
      <c r="Q25" s="381">
        <v>84</v>
      </c>
      <c r="R25" s="381">
        <v>96</v>
      </c>
      <c r="S25" s="389">
        <v>108</v>
      </c>
      <c r="T25" s="390">
        <f t="shared" si="6"/>
        <v>0</v>
      </c>
      <c r="U25" s="384">
        <f t="shared" si="6"/>
        <v>0</v>
      </c>
      <c r="V25" s="384">
        <f t="shared" si="6"/>
        <v>0</v>
      </c>
      <c r="W25" s="385">
        <f t="shared" si="6"/>
        <v>0</v>
      </c>
      <c r="X25" s="392"/>
      <c r="Y25" s="392"/>
      <c r="Z25" s="395"/>
      <c r="AA25" s="392"/>
      <c r="AB25" s="392"/>
    </row>
    <row r="26" spans="1:28">
      <c r="A26" s="379">
        <v>43770</v>
      </c>
      <c r="B26" s="396">
        <v>0</v>
      </c>
      <c r="C26" s="397">
        <v>0</v>
      </c>
      <c r="D26" s="397">
        <v>0</v>
      </c>
      <c r="E26" s="381">
        <v>0</v>
      </c>
      <c r="F26" s="382">
        <f t="shared" si="3"/>
        <v>0</v>
      </c>
      <c r="G26" s="383">
        <v>29815.13</v>
      </c>
      <c r="H26" s="384">
        <v>43412.84</v>
      </c>
      <c r="I26" s="384">
        <v>36441.199999999997</v>
      </c>
      <c r="J26" s="385">
        <v>53157.06</v>
      </c>
      <c r="K26" s="386">
        <f t="shared" si="4"/>
        <v>0</v>
      </c>
      <c r="L26" s="387">
        <f t="shared" si="4"/>
        <v>0</v>
      </c>
      <c r="M26" s="387">
        <f t="shared" si="4"/>
        <v>0</v>
      </c>
      <c r="N26" s="387">
        <f t="shared" si="4"/>
        <v>0</v>
      </c>
      <c r="O26" s="388">
        <f t="shared" si="5"/>
        <v>0</v>
      </c>
      <c r="P26" s="380">
        <v>84</v>
      </c>
      <c r="Q26" s="381">
        <v>84</v>
      </c>
      <c r="R26" s="381">
        <v>96</v>
      </c>
      <c r="S26" s="389">
        <v>108</v>
      </c>
      <c r="T26" s="390">
        <f t="shared" si="6"/>
        <v>0</v>
      </c>
      <c r="U26" s="384">
        <f t="shared" si="6"/>
        <v>0</v>
      </c>
      <c r="V26" s="384">
        <f t="shared" si="6"/>
        <v>0</v>
      </c>
      <c r="W26" s="385">
        <f t="shared" si="6"/>
        <v>0</v>
      </c>
      <c r="X26" s="392"/>
      <c r="Y26" s="392"/>
      <c r="Z26" s="395"/>
      <c r="AA26" s="392"/>
      <c r="AB26" s="392"/>
    </row>
    <row r="27" spans="1:28">
      <c r="A27" s="379">
        <v>43800</v>
      </c>
      <c r="B27" s="396">
        <v>0</v>
      </c>
      <c r="C27" s="397">
        <v>0</v>
      </c>
      <c r="D27" s="397">
        <v>0</v>
      </c>
      <c r="E27" s="381">
        <v>0</v>
      </c>
      <c r="F27" s="382">
        <f t="shared" si="3"/>
        <v>0</v>
      </c>
      <c r="G27" s="383">
        <v>29815.13</v>
      </c>
      <c r="H27" s="384">
        <v>43412.84</v>
      </c>
      <c r="I27" s="384">
        <v>36441.199999999997</v>
      </c>
      <c r="J27" s="385">
        <v>53157.06</v>
      </c>
      <c r="K27" s="386">
        <f t="shared" si="4"/>
        <v>0</v>
      </c>
      <c r="L27" s="387">
        <f t="shared" si="4"/>
        <v>0</v>
      </c>
      <c r="M27" s="387">
        <f t="shared" si="4"/>
        <v>0</v>
      </c>
      <c r="N27" s="387">
        <f t="shared" si="4"/>
        <v>0</v>
      </c>
      <c r="O27" s="388">
        <f t="shared" si="5"/>
        <v>0</v>
      </c>
      <c r="P27" s="380">
        <v>84</v>
      </c>
      <c r="Q27" s="381">
        <v>84</v>
      </c>
      <c r="R27" s="381">
        <v>96</v>
      </c>
      <c r="S27" s="389">
        <v>108</v>
      </c>
      <c r="T27" s="390">
        <f t="shared" si="6"/>
        <v>0</v>
      </c>
      <c r="U27" s="384">
        <f t="shared" si="6"/>
        <v>0</v>
      </c>
      <c r="V27" s="384">
        <f t="shared" si="6"/>
        <v>0</v>
      </c>
      <c r="W27" s="385">
        <f t="shared" si="6"/>
        <v>0</v>
      </c>
      <c r="X27" s="392"/>
      <c r="Y27" s="392"/>
      <c r="Z27" s="395"/>
      <c r="AA27" s="392"/>
      <c r="AB27" s="392"/>
    </row>
    <row r="28" spans="1:28">
      <c r="A28" s="379"/>
      <c r="B28" s="396"/>
      <c r="C28" s="397"/>
      <c r="D28" s="397"/>
      <c r="E28" s="397"/>
      <c r="F28" s="398"/>
      <c r="G28" s="399"/>
      <c r="H28" s="400"/>
      <c r="I28" s="400"/>
      <c r="J28" s="401"/>
      <c r="K28" s="402"/>
      <c r="L28" s="403"/>
      <c r="M28" s="403"/>
      <c r="N28" s="403"/>
      <c r="O28" s="404"/>
      <c r="P28" s="396"/>
      <c r="Q28" s="397"/>
      <c r="R28" s="397"/>
      <c r="S28" s="405"/>
      <c r="T28" s="390"/>
      <c r="U28" s="400"/>
      <c r="V28" s="400"/>
      <c r="W28" s="401"/>
      <c r="X28" s="392"/>
      <c r="Y28" s="392"/>
      <c r="Z28" s="395"/>
      <c r="AA28" s="392"/>
      <c r="AB28" s="392"/>
    </row>
    <row r="29" spans="1:28">
      <c r="A29" s="379"/>
      <c r="B29" s="406"/>
      <c r="C29" s="407"/>
      <c r="D29" s="407"/>
      <c r="E29" s="407"/>
      <c r="F29" s="408"/>
      <c r="G29" s="409"/>
      <c r="H29" s="410"/>
      <c r="I29" s="410"/>
      <c r="J29" s="411"/>
      <c r="K29" s="412"/>
      <c r="L29" s="410"/>
      <c r="M29" s="410"/>
      <c r="N29" s="410"/>
      <c r="O29" s="411"/>
      <c r="P29" s="413"/>
      <c r="Q29" s="414"/>
      <c r="R29" s="414"/>
      <c r="S29" s="415"/>
      <c r="T29" s="412"/>
      <c r="U29" s="410"/>
      <c r="V29" s="410"/>
      <c r="W29" s="411"/>
      <c r="Y29" s="392"/>
      <c r="Z29" s="393"/>
      <c r="AB29" s="392"/>
    </row>
    <row r="30" spans="1:28">
      <c r="A30" s="416" t="s">
        <v>177</v>
      </c>
      <c r="B30" s="417">
        <f>SUM(B10:B29)</f>
        <v>1123</v>
      </c>
      <c r="C30" s="417">
        <f>SUM(C10:C29)</f>
        <v>1831</v>
      </c>
      <c r="D30" s="417">
        <f>SUM(D10:D29)</f>
        <v>246</v>
      </c>
      <c r="E30" s="417">
        <f>SUM(E10:E29)</f>
        <v>98</v>
      </c>
      <c r="F30" s="417">
        <f>SUM(F10:F29)</f>
        <v>3298</v>
      </c>
      <c r="G30" s="418"/>
      <c r="H30" s="418"/>
      <c r="I30" s="418"/>
      <c r="J30" s="418"/>
      <c r="K30" s="419">
        <f>SUM(K10:K24)</f>
        <v>33482390.990000002</v>
      </c>
      <c r="L30" s="419">
        <f>SUM(L10:L24)</f>
        <v>79488910.039999992</v>
      </c>
      <c r="M30" s="419">
        <f>SUM(M10:M24)</f>
        <v>8964535.1999999993</v>
      </c>
      <c r="N30" s="419">
        <f>SUM(N10:N24)</f>
        <v>5209391.879999999</v>
      </c>
      <c r="O30" s="419">
        <f>SUM(O10:O24)</f>
        <v>127145228.10999997</v>
      </c>
      <c r="P30" s="418"/>
      <c r="Q30" s="418"/>
      <c r="R30" s="418"/>
      <c r="S30" s="418"/>
      <c r="T30" s="420"/>
      <c r="U30" s="420"/>
      <c r="V30" s="420"/>
      <c r="W30" s="420"/>
      <c r="Y30" s="392"/>
      <c r="AB30" s="392"/>
    </row>
    <row r="31" spans="1:28" s="392" customFormat="1">
      <c r="A31" s="421" t="s">
        <v>178</v>
      </c>
      <c r="B31" s="417">
        <f>+D2</f>
        <v>627</v>
      </c>
      <c r="C31" s="417">
        <f>+D3</f>
        <v>2334</v>
      </c>
      <c r="D31" s="417">
        <f>+D4</f>
        <v>354</v>
      </c>
      <c r="E31" s="417">
        <f>+D5</f>
        <v>1330</v>
      </c>
      <c r="F31" s="417">
        <f>+D6</f>
        <v>4645</v>
      </c>
      <c r="G31" s="422"/>
      <c r="H31" s="422"/>
      <c r="I31" s="422"/>
      <c r="J31" s="422"/>
      <c r="K31" s="423">
        <f>+K5+K30</f>
        <v>51222356.25</v>
      </c>
      <c r="L31" s="423">
        <f>+L5+L30</f>
        <v>162908920.41999999</v>
      </c>
      <c r="M31" s="423">
        <f>+M5+M30</f>
        <v>69829940.269999996</v>
      </c>
      <c r="N31" s="423">
        <f>+N5+N30</f>
        <v>18185142.43</v>
      </c>
      <c r="O31" s="423">
        <f>+O5+O30</f>
        <v>302146359.37</v>
      </c>
      <c r="P31" s="422"/>
      <c r="Q31" s="422"/>
      <c r="R31" s="422"/>
      <c r="S31" s="422"/>
      <c r="W31" s="424"/>
    </row>
    <row r="32" spans="1:28" s="392" customFormat="1">
      <c r="A32" s="425" t="s">
        <v>179</v>
      </c>
      <c r="B32" s="426">
        <f>+B31+B30</f>
        <v>1750</v>
      </c>
      <c r="C32" s="426">
        <f t="shared" ref="C32:O32" si="7">+C31+C30</f>
        <v>4165</v>
      </c>
      <c r="D32" s="426">
        <f t="shared" si="7"/>
        <v>600</v>
      </c>
      <c r="E32" s="426">
        <f t="shared" si="7"/>
        <v>1428</v>
      </c>
      <c r="F32" s="426">
        <f t="shared" si="7"/>
        <v>7943</v>
      </c>
      <c r="G32" s="427">
        <f t="shared" si="7"/>
        <v>0</v>
      </c>
      <c r="H32" s="427">
        <f t="shared" si="7"/>
        <v>0</v>
      </c>
      <c r="I32" s="427">
        <f t="shared" si="7"/>
        <v>0</v>
      </c>
      <c r="J32" s="427">
        <f t="shared" si="7"/>
        <v>0</v>
      </c>
      <c r="K32" s="427">
        <f t="shared" si="7"/>
        <v>84704747.24000001</v>
      </c>
      <c r="L32" s="427">
        <f t="shared" si="7"/>
        <v>242397830.45999998</v>
      </c>
      <c r="M32" s="427">
        <f t="shared" si="7"/>
        <v>78794475.469999999</v>
      </c>
      <c r="N32" s="427">
        <f t="shared" si="7"/>
        <v>23394534.309999999</v>
      </c>
      <c r="O32" s="427">
        <f t="shared" si="7"/>
        <v>429291587.47999996</v>
      </c>
      <c r="P32" s="422"/>
      <c r="Q32" s="422"/>
      <c r="R32" s="422"/>
      <c r="S32" s="422"/>
      <c r="W32" s="424"/>
    </row>
    <row r="33" spans="1:29" s="392" customFormat="1">
      <c r="B33" s="428">
        <f>+B32-C2</f>
        <v>0</v>
      </c>
      <c r="C33" s="428">
        <f>+C32-C3</f>
        <v>0</v>
      </c>
      <c r="D33" s="428">
        <f>+D32-C4</f>
        <v>0</v>
      </c>
      <c r="E33" s="428">
        <f>+E32-C5</f>
        <v>0</v>
      </c>
      <c r="F33" s="423"/>
      <c r="G33" s="422"/>
      <c r="H33" s="422"/>
      <c r="I33" s="422"/>
      <c r="J33" s="422"/>
      <c r="K33" s="422"/>
      <c r="L33" s="422"/>
      <c r="M33" s="422"/>
      <c r="N33" s="422"/>
      <c r="O33" s="422"/>
      <c r="P33" s="422"/>
      <c r="Q33" s="422"/>
      <c r="R33" s="422"/>
      <c r="S33" s="422"/>
      <c r="W33" s="424"/>
    </row>
    <row r="34" spans="1:29">
      <c r="A34" s="429"/>
      <c r="B34" s="418"/>
      <c r="C34" s="418"/>
      <c r="D34" s="418"/>
      <c r="E34" s="418"/>
      <c r="F34" s="418">
        <f>F32-F6</f>
        <v>1191.4499999999998</v>
      </c>
      <c r="G34" s="418"/>
      <c r="H34" s="418"/>
      <c r="I34" s="418"/>
      <c r="J34" s="418"/>
      <c r="K34" s="418"/>
      <c r="L34" s="418"/>
      <c r="M34" s="418"/>
      <c r="N34" s="418"/>
      <c r="O34" s="418"/>
      <c r="P34" s="418"/>
      <c r="Q34" s="418"/>
      <c r="R34" s="418"/>
      <c r="S34" s="418"/>
      <c r="Y34" s="392"/>
      <c r="AB34" s="392"/>
    </row>
    <row r="35" spans="1:29">
      <c r="A35" s="430" t="s">
        <v>180</v>
      </c>
      <c r="B35" s="418"/>
      <c r="C35" s="418"/>
      <c r="D35" s="418"/>
      <c r="E35" s="418"/>
      <c r="F35" s="418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31"/>
      <c r="U35" s="431"/>
      <c r="V35" s="431"/>
      <c r="Y35" s="392"/>
      <c r="AB35" s="392"/>
    </row>
    <row r="36" spans="1:29">
      <c r="A36" s="429"/>
      <c r="B36" s="418"/>
      <c r="C36" s="418"/>
      <c r="D36" s="418"/>
      <c r="E36" s="418"/>
      <c r="F36" s="418"/>
      <c r="G36" s="418"/>
      <c r="H36" s="418"/>
      <c r="I36" s="418"/>
      <c r="J36" s="418"/>
      <c r="K36" s="432"/>
      <c r="L36" s="418"/>
      <c r="M36" s="418"/>
      <c r="N36" s="418"/>
      <c r="O36" s="418"/>
      <c r="P36" s="418"/>
      <c r="Q36" s="418"/>
      <c r="R36" s="418"/>
      <c r="S36" s="418"/>
      <c r="Y36" s="431"/>
      <c r="AB36" s="431"/>
    </row>
    <row r="37" spans="1:29">
      <c r="A37" s="429"/>
      <c r="B37" s="374" t="s">
        <v>173</v>
      </c>
      <c r="C37" s="374" t="s">
        <v>174</v>
      </c>
      <c r="D37" s="374" t="s">
        <v>175</v>
      </c>
      <c r="E37" s="374" t="s">
        <v>176</v>
      </c>
      <c r="F37" s="433" t="s">
        <v>101</v>
      </c>
      <c r="G37" s="418"/>
      <c r="H37" s="418"/>
      <c r="I37" s="418"/>
      <c r="J37" s="418"/>
      <c r="K37" s="434"/>
      <c r="L37" s="418"/>
      <c r="M37" s="418"/>
      <c r="N37" s="418"/>
      <c r="O37" s="418"/>
      <c r="P37" s="418"/>
      <c r="Q37" s="418"/>
      <c r="R37" s="418"/>
      <c r="S37" s="418"/>
      <c r="Y37" s="431"/>
      <c r="AB37" s="431"/>
    </row>
    <row r="38" spans="1:29">
      <c r="A38" s="435">
        <v>43374</v>
      </c>
      <c r="B38" s="436">
        <f>SUM($T10:T$10)</f>
        <v>40463.390714285721</v>
      </c>
      <c r="C38" s="436">
        <f>SUM($U10:U$10)</f>
        <v>77522.928571428565</v>
      </c>
      <c r="D38" s="436">
        <f>SUM($V10:V$10)</f>
        <v>18979.791666666664</v>
      </c>
      <c r="E38" s="436">
        <f>SUM($W10:W$10)</f>
        <v>9843.9</v>
      </c>
      <c r="F38" s="437">
        <f t="shared" ref="F38:F101" si="8">SUM(B38:E38)</f>
        <v>146810.01095238095</v>
      </c>
      <c r="H38" s="438"/>
      <c r="I38" s="438"/>
      <c r="J38" s="418"/>
      <c r="K38" s="439">
        <v>1</v>
      </c>
      <c r="L38" s="418"/>
      <c r="M38" s="418"/>
      <c r="N38" s="418"/>
      <c r="O38" s="418"/>
      <c r="P38" s="418"/>
      <c r="Q38" s="418"/>
      <c r="R38" s="418"/>
      <c r="S38" s="418"/>
      <c r="T38" s="366"/>
      <c r="U38" s="366"/>
      <c r="V38" s="366"/>
      <c r="Z38" s="440"/>
      <c r="AA38" s="366"/>
      <c r="AB38" s="363"/>
      <c r="AC38" s="366"/>
    </row>
    <row r="39" spans="1:29">
      <c r="A39" s="435">
        <v>43405</v>
      </c>
      <c r="B39" s="436">
        <f>SUM($T$10:T11)</f>
        <v>75957.593095238102</v>
      </c>
      <c r="C39" s="436">
        <f>SUM($U$10:U11)</f>
        <v>124036.6857142857</v>
      </c>
      <c r="D39" s="436">
        <f>SUM($V$10:V11)</f>
        <v>22775.749999999996</v>
      </c>
      <c r="E39" s="436">
        <f>SUM($W$10:W10)</f>
        <v>9843.9</v>
      </c>
      <c r="F39" s="437">
        <f t="shared" si="8"/>
        <v>232613.92880952379</v>
      </c>
      <c r="H39" s="438"/>
      <c r="I39" s="438"/>
      <c r="J39" s="418"/>
      <c r="K39" s="439">
        <v>2</v>
      </c>
      <c r="L39" s="418"/>
      <c r="M39" s="418"/>
      <c r="N39" s="418"/>
      <c r="O39" s="418"/>
      <c r="P39" s="418"/>
      <c r="Q39" s="418"/>
      <c r="R39" s="418"/>
      <c r="S39" s="418"/>
      <c r="T39" s="364"/>
      <c r="U39" s="364"/>
      <c r="V39" s="364"/>
      <c r="Z39" s="440"/>
      <c r="AA39" s="366"/>
      <c r="AB39" s="366"/>
      <c r="AC39" s="366"/>
    </row>
    <row r="40" spans="1:29">
      <c r="A40" s="435">
        <v>43435</v>
      </c>
      <c r="B40" s="436">
        <f>SUM($T$10:T12)</f>
        <v>84831.143690476194</v>
      </c>
      <c r="C40" s="436">
        <f>SUM($U$10:U12)</f>
        <v>165899.06714285712</v>
      </c>
      <c r="D40" s="436">
        <f>SUM($V$10:V12)</f>
        <v>26571.708333333328</v>
      </c>
      <c r="E40" s="436">
        <f>SUM($W$10:W11)</f>
        <v>19687.8</v>
      </c>
      <c r="F40" s="437">
        <f t="shared" si="8"/>
        <v>296989.71916666662</v>
      </c>
      <c r="H40" s="438"/>
      <c r="I40" s="438"/>
      <c r="J40" s="418"/>
      <c r="K40" s="438">
        <f t="shared" ref="K40:K103" si="9">K39+1</f>
        <v>3</v>
      </c>
      <c r="L40" s="418"/>
      <c r="M40" s="418"/>
      <c r="N40" s="418"/>
      <c r="O40" s="418"/>
      <c r="P40" s="418"/>
      <c r="Q40" s="418"/>
      <c r="R40" s="418"/>
      <c r="S40" s="418"/>
      <c r="T40" s="364"/>
      <c r="U40" s="364"/>
      <c r="V40" s="364"/>
      <c r="Z40" s="441"/>
      <c r="AA40" s="366"/>
      <c r="AB40" s="366"/>
      <c r="AC40" s="366"/>
    </row>
    <row r="41" spans="1:29" ht="15" customHeight="1">
      <c r="A41" s="435">
        <v>43466</v>
      </c>
      <c r="B41" s="436">
        <f>SUM($T$10:T13)</f>
        <v>102578.24488095238</v>
      </c>
      <c r="C41" s="436">
        <f>SUM($U$10:U13)</f>
        <v>217581.01952380949</v>
      </c>
      <c r="D41" s="436">
        <f>SUM($V$10:V13)</f>
        <v>27710.495833333327</v>
      </c>
      <c r="E41" s="436">
        <f>SUM($W$10:W12)</f>
        <v>27070.724999999999</v>
      </c>
      <c r="F41" s="437">
        <f t="shared" si="8"/>
        <v>374940.48523809516</v>
      </c>
      <c r="H41" s="438"/>
      <c r="I41" s="438"/>
      <c r="J41" s="418"/>
      <c r="K41" s="438">
        <f t="shared" si="9"/>
        <v>4</v>
      </c>
      <c r="L41" s="418"/>
      <c r="M41" s="418"/>
      <c r="N41" s="418"/>
      <c r="O41" s="418"/>
      <c r="P41" s="418"/>
      <c r="Q41" s="418"/>
      <c r="R41" s="418"/>
      <c r="S41" s="418"/>
      <c r="T41" s="442"/>
      <c r="U41" s="442"/>
      <c r="V41" s="442"/>
      <c r="Z41" s="440"/>
      <c r="AA41" s="443"/>
      <c r="AB41" s="443"/>
      <c r="AC41" s="366"/>
    </row>
    <row r="42" spans="1:29">
      <c r="A42" s="435">
        <v>43497</v>
      </c>
      <c r="B42" s="436">
        <f>SUM($T$10:T14)</f>
        <v>113226.50559523809</v>
      </c>
      <c r="C42" s="436">
        <f>SUM($U$10:U14)</f>
        <v>243421.99571428567</v>
      </c>
      <c r="D42" s="436">
        <f>SUM($V$10:V14)</f>
        <v>29608.474999999995</v>
      </c>
      <c r="E42" s="436">
        <f>SUM($W$10:W13)</f>
        <v>34453.649999999994</v>
      </c>
      <c r="F42" s="437">
        <f t="shared" si="8"/>
        <v>420710.62630952371</v>
      </c>
      <c r="H42" s="438"/>
      <c r="I42" s="438"/>
      <c r="J42" s="418"/>
      <c r="K42" s="438">
        <f t="shared" si="9"/>
        <v>5</v>
      </c>
      <c r="L42" s="418"/>
      <c r="M42" s="418"/>
      <c r="N42" s="418"/>
      <c r="O42" s="418"/>
      <c r="P42" s="418"/>
      <c r="Q42" s="418"/>
      <c r="R42" s="418"/>
      <c r="S42" s="418"/>
      <c r="T42" s="444"/>
      <c r="U42" s="444"/>
      <c r="V42" s="444"/>
      <c r="Z42" s="440"/>
      <c r="AA42" s="366"/>
      <c r="AB42" s="366"/>
      <c r="AC42" s="366"/>
    </row>
    <row r="43" spans="1:29">
      <c r="A43" s="435">
        <v>43525</v>
      </c>
      <c r="B43" s="436">
        <f>SUM($T$10:T15)</f>
        <v>184214.91035714286</v>
      </c>
      <c r="C43" s="436">
        <f>SUM($U$10:U15)</f>
        <v>398467.8528571428</v>
      </c>
      <c r="D43" s="436">
        <f>SUM($V$10:V15)</f>
        <v>33784.02916666666</v>
      </c>
      <c r="E43" s="436">
        <f>SUM($W$10:W14)</f>
        <v>44297.549999999996</v>
      </c>
      <c r="F43" s="437">
        <f t="shared" si="8"/>
        <v>660764.34238095244</v>
      </c>
      <c r="H43" s="438"/>
      <c r="I43" s="438"/>
      <c r="J43" s="418"/>
      <c r="K43" s="438">
        <f t="shared" si="9"/>
        <v>6</v>
      </c>
      <c r="L43" s="418"/>
      <c r="M43" s="418"/>
      <c r="N43" s="418"/>
      <c r="O43" s="418"/>
      <c r="P43" s="418"/>
      <c r="Q43" s="418"/>
      <c r="R43" s="418"/>
      <c r="S43" s="418"/>
      <c r="T43" s="445"/>
      <c r="U43" s="445"/>
      <c r="V43" s="445"/>
      <c r="Z43" s="440"/>
      <c r="AA43" s="366"/>
      <c r="AB43" s="366"/>
      <c r="AC43" s="366"/>
    </row>
    <row r="44" spans="1:29">
      <c r="A44" s="435">
        <v>43556</v>
      </c>
      <c r="B44" s="436">
        <f>SUM($T$10:T16)</f>
        <v>219709.11273809522</v>
      </c>
      <c r="C44" s="436">
        <f>SUM($U$10:U16)</f>
        <v>475990.78142857138</v>
      </c>
      <c r="D44" s="436">
        <f>SUM($V$10:V16)</f>
        <v>41375.945833333324</v>
      </c>
      <c r="E44" s="436">
        <f>SUM($W$10:W15)</f>
        <v>48235.109999999993</v>
      </c>
      <c r="F44" s="437">
        <f t="shared" si="8"/>
        <v>785310.94999999984</v>
      </c>
      <c r="H44" s="438"/>
      <c r="I44" s="438"/>
      <c r="J44" s="418"/>
      <c r="K44" s="438">
        <f t="shared" si="9"/>
        <v>7</v>
      </c>
      <c r="L44" s="418"/>
      <c r="M44" s="418"/>
      <c r="N44" s="418"/>
      <c r="O44" s="418"/>
      <c r="P44" s="418"/>
      <c r="Q44" s="418"/>
      <c r="R44" s="418"/>
      <c r="S44" s="418"/>
      <c r="T44" s="445"/>
      <c r="U44" s="445"/>
      <c r="V44" s="445"/>
      <c r="Z44" s="440"/>
      <c r="AA44" s="446"/>
      <c r="AB44" s="447"/>
      <c r="AC44" s="366"/>
    </row>
    <row r="45" spans="1:29">
      <c r="A45" s="435">
        <v>43586</v>
      </c>
      <c r="B45" s="436">
        <f>SUM($T$10:T17)</f>
        <v>235681.5038095238</v>
      </c>
      <c r="C45" s="436">
        <f>SUM($U$10:U17)</f>
        <v>527672.73380952375</v>
      </c>
      <c r="D45" s="436">
        <f>SUM($V$10:V17)</f>
        <v>43273.924999999988</v>
      </c>
      <c r="E45" s="436">
        <f>SUM($W$10:W16)</f>
        <v>48235.109999999993</v>
      </c>
      <c r="F45" s="437">
        <f t="shared" si="8"/>
        <v>854863.27261904755</v>
      </c>
      <c r="H45" s="438"/>
      <c r="I45" s="438"/>
      <c r="J45" s="418"/>
      <c r="K45" s="438">
        <f t="shared" si="9"/>
        <v>8</v>
      </c>
      <c r="L45" s="418"/>
      <c r="M45" s="418"/>
      <c r="N45" s="418"/>
      <c r="O45" s="418"/>
      <c r="P45" s="418"/>
      <c r="Q45" s="418"/>
      <c r="R45" s="418"/>
      <c r="S45" s="418"/>
      <c r="T45" s="445"/>
      <c r="U45" s="445"/>
      <c r="V45" s="445"/>
      <c r="Z45" s="440"/>
      <c r="AA45" s="448"/>
      <c r="AB45" s="449"/>
      <c r="AC45" s="366"/>
    </row>
    <row r="46" spans="1:29">
      <c r="A46" s="435">
        <v>43617</v>
      </c>
      <c r="B46" s="436">
        <f>SUM($T$10:T18)</f>
        <v>242780.34428571427</v>
      </c>
      <c r="C46" s="436">
        <f>SUM($U$10:U18)</f>
        <v>538009.12428571424</v>
      </c>
      <c r="D46" s="436">
        <f>SUM($V$10:V18)</f>
        <v>45171.904166666653</v>
      </c>
      <c r="E46" s="436">
        <f>SUM($W$10:W17)</f>
        <v>48235.109999999993</v>
      </c>
      <c r="F46" s="437">
        <f t="shared" si="8"/>
        <v>874196.4827380951</v>
      </c>
      <c r="H46" s="438"/>
      <c r="I46" s="438"/>
      <c r="J46" s="418"/>
      <c r="K46" s="438">
        <f t="shared" si="9"/>
        <v>9</v>
      </c>
      <c r="L46" s="418"/>
      <c r="M46" s="418"/>
      <c r="N46" s="418"/>
      <c r="O46" s="418"/>
      <c r="P46" s="418"/>
      <c r="Q46" s="418"/>
      <c r="R46" s="418"/>
      <c r="S46" s="418"/>
      <c r="T46" s="445"/>
      <c r="U46" s="445"/>
      <c r="V46" s="445"/>
      <c r="Z46" s="440"/>
      <c r="AA46" s="448"/>
      <c r="AB46" s="449"/>
      <c r="AC46" s="366"/>
    </row>
    <row r="47" spans="1:29">
      <c r="A47" s="435">
        <v>43647</v>
      </c>
      <c r="B47" s="436">
        <f>SUM($T$10:T19)</f>
        <v>260527.44547619045</v>
      </c>
      <c r="C47" s="436">
        <f>SUM($U$10:U19)</f>
        <v>558681.90523809521</v>
      </c>
      <c r="D47" s="436">
        <f>SUM($V$10:V19)</f>
        <v>48967.862499999988</v>
      </c>
      <c r="E47" s="436">
        <f>SUM($W$10:W18)</f>
        <v>48235.109999999993</v>
      </c>
      <c r="F47" s="437">
        <f t="shared" si="8"/>
        <v>916412.32321428566</v>
      </c>
      <c r="H47" s="438"/>
      <c r="I47" s="438"/>
      <c r="J47" s="418"/>
      <c r="K47" s="438">
        <f t="shared" si="9"/>
        <v>10</v>
      </c>
      <c r="L47" s="418"/>
      <c r="M47" s="418"/>
      <c r="N47" s="418"/>
      <c r="O47" s="418"/>
      <c r="P47" s="418"/>
      <c r="Q47" s="418"/>
      <c r="R47" s="418"/>
      <c r="S47" s="418"/>
      <c r="T47" s="445"/>
      <c r="U47" s="445"/>
      <c r="V47" s="445"/>
      <c r="Z47" s="440"/>
      <c r="AA47" s="450"/>
      <c r="AB47" s="449"/>
      <c r="AC47" s="366"/>
    </row>
    <row r="48" spans="1:29">
      <c r="A48" s="435">
        <v>43678</v>
      </c>
      <c r="B48" s="436">
        <f>SUM($T$10:T20)</f>
        <v>285373.38714285713</v>
      </c>
      <c r="C48" s="436">
        <f>SUM($U$10:U20)</f>
        <v>584522.88142857142</v>
      </c>
      <c r="D48" s="436">
        <f>SUM($V$10:V20)</f>
        <v>50865.841666666653</v>
      </c>
      <c r="E48" s="436">
        <f>SUM($W$10:W19)</f>
        <v>48235.109999999993</v>
      </c>
      <c r="F48" s="437">
        <f t="shared" si="8"/>
        <v>968997.22023809515</v>
      </c>
      <c r="H48" s="438"/>
      <c r="I48" s="438"/>
      <c r="J48" s="429"/>
      <c r="K48" s="438">
        <f t="shared" si="9"/>
        <v>11</v>
      </c>
      <c r="L48" s="451"/>
      <c r="M48" s="451"/>
      <c r="N48" s="451"/>
      <c r="O48" s="431"/>
      <c r="P48" s="452"/>
      <c r="Q48" s="452"/>
      <c r="R48" s="452"/>
      <c r="S48" s="364"/>
      <c r="T48" s="445"/>
      <c r="U48" s="445"/>
      <c r="V48" s="445"/>
      <c r="Z48" s="440"/>
      <c r="AA48" s="366"/>
      <c r="AB48" s="366"/>
      <c r="AC48" s="366"/>
    </row>
    <row r="49" spans="1:29">
      <c r="A49" s="435">
        <v>43709</v>
      </c>
      <c r="B49" s="436">
        <f>SUM($T$10:T21)</f>
        <v>303120.48833333334</v>
      </c>
      <c r="C49" s="436">
        <f>SUM($U$10:U21)</f>
        <v>633620.73619047622</v>
      </c>
      <c r="D49" s="436">
        <f>SUM($V$10:V21)</f>
        <v>52763.820833333317</v>
      </c>
      <c r="E49" s="436">
        <f>SUM($W$10:W20)</f>
        <v>48235.109999999993</v>
      </c>
      <c r="F49" s="437">
        <f t="shared" si="8"/>
        <v>1037740.1553571428</v>
      </c>
      <c r="H49" s="438"/>
      <c r="I49" s="438"/>
      <c r="J49" s="429"/>
      <c r="K49" s="438">
        <f t="shared" si="9"/>
        <v>12</v>
      </c>
      <c r="L49" s="453"/>
      <c r="M49" s="453"/>
      <c r="N49" s="451"/>
      <c r="O49" s="431"/>
      <c r="P49" s="452"/>
      <c r="Q49" s="452"/>
      <c r="R49" s="452"/>
      <c r="S49" s="364"/>
      <c r="T49" s="445"/>
      <c r="U49" s="445"/>
      <c r="V49" s="445"/>
      <c r="Z49" s="440"/>
      <c r="AA49" s="366"/>
      <c r="AB49" s="366"/>
      <c r="AC49" s="366"/>
    </row>
    <row r="50" spans="1:29">
      <c r="A50" s="435">
        <v>43739</v>
      </c>
      <c r="B50" s="436">
        <f>SUM($T$10:T22)</f>
        <v>338614.69071428571</v>
      </c>
      <c r="C50" s="436">
        <f>SUM($U$10:U22)</f>
        <v>879110.01</v>
      </c>
      <c r="D50" s="436">
        <f>SUM($V$10:V22)</f>
        <v>58457.758333333317</v>
      </c>
      <c r="E50" s="436">
        <f>SUM($W$10:W21)</f>
        <v>48235.109999999993</v>
      </c>
      <c r="F50" s="437">
        <f t="shared" si="8"/>
        <v>1324417.5690476191</v>
      </c>
      <c r="H50" s="438"/>
      <c r="I50" s="438"/>
      <c r="J50" s="429"/>
      <c r="K50" s="438">
        <f t="shared" si="9"/>
        <v>13</v>
      </c>
      <c r="L50" s="451"/>
      <c r="M50" s="451"/>
      <c r="N50" s="451"/>
      <c r="O50" s="431"/>
      <c r="P50" s="452"/>
      <c r="Q50" s="452"/>
      <c r="R50" s="452"/>
      <c r="S50" s="454"/>
      <c r="T50" s="445"/>
      <c r="U50" s="445"/>
      <c r="V50" s="445"/>
      <c r="Z50" s="440"/>
      <c r="AA50" s="446"/>
      <c r="AB50" s="447"/>
      <c r="AC50" s="366"/>
    </row>
    <row r="51" spans="1:29">
      <c r="A51" s="435">
        <v>43770</v>
      </c>
      <c r="B51" s="436">
        <f>SUM($T$10:T23)</f>
        <v>358846.38607142854</v>
      </c>
      <c r="C51" s="436">
        <f>SUM($U$10:U23)</f>
        <v>930791.96238095243</v>
      </c>
      <c r="D51" s="436">
        <f>SUM($V$10:V23)</f>
        <v>64151.695833333317</v>
      </c>
      <c r="E51" s="436">
        <f>SUM($W$10:W22)</f>
        <v>48235.109999999993</v>
      </c>
      <c r="F51" s="437">
        <f t="shared" si="8"/>
        <v>1402025.1542857143</v>
      </c>
      <c r="H51" s="438"/>
      <c r="I51" s="438"/>
      <c r="J51" s="429"/>
      <c r="K51" s="438">
        <f t="shared" si="9"/>
        <v>14</v>
      </c>
      <c r="L51" s="453"/>
      <c r="M51" s="453"/>
      <c r="N51" s="451"/>
      <c r="O51" s="431"/>
      <c r="P51" s="452"/>
      <c r="Q51" s="452"/>
      <c r="R51" s="452"/>
      <c r="S51" s="364"/>
      <c r="T51" s="445"/>
      <c r="U51" s="445"/>
      <c r="V51" s="445"/>
      <c r="Z51" s="440"/>
      <c r="AA51" s="366"/>
      <c r="AB51" s="449"/>
      <c r="AC51" s="366"/>
    </row>
    <row r="52" spans="1:29">
      <c r="A52" s="435">
        <v>43800</v>
      </c>
      <c r="B52" s="436">
        <f>SUM($T$10:T24)</f>
        <v>398599.89273809519</v>
      </c>
      <c r="C52" s="436">
        <f>SUM($U$10:U24)</f>
        <v>946296.54809523816</v>
      </c>
      <c r="D52" s="436">
        <f>SUM($V$10:V24)</f>
        <v>93380.574999999983</v>
      </c>
      <c r="E52" s="436">
        <f>SUM($W$10:W23)</f>
        <v>48235.109999999993</v>
      </c>
      <c r="F52" s="437">
        <f t="shared" si="8"/>
        <v>1486512.1258333335</v>
      </c>
      <c r="H52" s="438"/>
      <c r="I52" s="438"/>
      <c r="J52" s="429"/>
      <c r="K52" s="438">
        <f t="shared" si="9"/>
        <v>15</v>
      </c>
      <c r="L52" s="451"/>
      <c r="M52" s="451"/>
      <c r="N52" s="451"/>
      <c r="O52" s="431"/>
      <c r="P52" s="452"/>
      <c r="Q52" s="452"/>
      <c r="R52" s="452"/>
      <c r="S52" s="364"/>
      <c r="T52" s="445"/>
      <c r="U52" s="445"/>
      <c r="V52" s="445"/>
      <c r="Z52" s="440"/>
      <c r="AA52" s="366"/>
      <c r="AB52" s="449"/>
      <c r="AC52" s="366"/>
    </row>
    <row r="53" spans="1:29">
      <c r="A53" s="435">
        <v>43831</v>
      </c>
      <c r="B53" s="436">
        <f>SUM($T$10:T25)</f>
        <v>398599.89273809519</v>
      </c>
      <c r="C53" s="436">
        <f>SUM($U$10:U25)</f>
        <v>946296.54809523816</v>
      </c>
      <c r="D53" s="436">
        <f>SUM($V$10:V25)</f>
        <v>93380.574999999983</v>
      </c>
      <c r="E53" s="436">
        <f>SUM($W$10:W24)</f>
        <v>48235.109999999993</v>
      </c>
      <c r="F53" s="437">
        <f t="shared" si="8"/>
        <v>1486512.1258333335</v>
      </c>
      <c r="H53" s="438"/>
      <c r="I53" s="438"/>
      <c r="J53" s="429"/>
      <c r="K53" s="438">
        <f t="shared" si="9"/>
        <v>16</v>
      </c>
      <c r="L53" s="451"/>
      <c r="M53" s="451"/>
      <c r="N53" s="451"/>
      <c r="O53" s="431"/>
      <c r="P53" s="452"/>
      <c r="Q53" s="452"/>
      <c r="R53" s="452"/>
      <c r="S53" s="364"/>
      <c r="T53" s="445"/>
      <c r="U53" s="445"/>
      <c r="V53" s="445"/>
      <c r="Z53" s="440"/>
      <c r="AA53" s="450"/>
      <c r="AB53" s="450"/>
      <c r="AC53" s="366"/>
    </row>
    <row r="54" spans="1:29">
      <c r="A54" s="435">
        <v>43862</v>
      </c>
      <c r="B54" s="436">
        <f>SUM($T$10:T26)</f>
        <v>398599.89273809519</v>
      </c>
      <c r="C54" s="436">
        <f>SUM($U$10:U26)</f>
        <v>946296.54809523816</v>
      </c>
      <c r="D54" s="436">
        <f>SUM($V$10:V26)</f>
        <v>93380.574999999983</v>
      </c>
      <c r="E54" s="436">
        <f>SUM($W$10:W24)</f>
        <v>48235.109999999993</v>
      </c>
      <c r="F54" s="437">
        <f t="shared" si="8"/>
        <v>1486512.1258333335</v>
      </c>
      <c r="H54" s="438"/>
      <c r="I54" s="438"/>
      <c r="J54" s="429"/>
      <c r="K54" s="438">
        <f t="shared" si="9"/>
        <v>17</v>
      </c>
      <c r="L54" s="451"/>
      <c r="M54" s="451"/>
      <c r="N54" s="451"/>
      <c r="O54" s="431"/>
      <c r="P54" s="452"/>
      <c r="Q54" s="452"/>
      <c r="R54" s="452"/>
      <c r="S54" s="364"/>
      <c r="T54" s="445"/>
      <c r="U54" s="445"/>
      <c r="V54" s="445"/>
      <c r="W54" s="366"/>
      <c r="X54" s="366"/>
      <c r="Y54" s="366"/>
      <c r="Z54" s="366"/>
      <c r="AA54" s="366"/>
      <c r="AB54" s="366"/>
      <c r="AC54" s="366"/>
    </row>
    <row r="55" spans="1:29">
      <c r="A55" s="435">
        <v>43891</v>
      </c>
      <c r="B55" s="436">
        <f>SUM($T$10:T27)</f>
        <v>398599.89273809519</v>
      </c>
      <c r="C55" s="436">
        <f>SUM($U$10:U27)</f>
        <v>946296.54809523816</v>
      </c>
      <c r="D55" s="436">
        <f>SUM($V$10:V27)</f>
        <v>93380.574999999983</v>
      </c>
      <c r="E55" s="436">
        <f>SUM($W$10:W24)</f>
        <v>48235.109999999993</v>
      </c>
      <c r="F55" s="437">
        <f t="shared" si="8"/>
        <v>1486512.1258333335</v>
      </c>
      <c r="H55" s="438"/>
      <c r="I55" s="438"/>
      <c r="J55" s="429"/>
      <c r="K55" s="438">
        <f t="shared" si="9"/>
        <v>18</v>
      </c>
      <c r="L55" s="451"/>
      <c r="M55" s="451"/>
      <c r="N55" s="451"/>
      <c r="O55" s="431"/>
      <c r="P55" s="452"/>
      <c r="Q55" s="452"/>
      <c r="R55" s="452"/>
      <c r="S55" s="364"/>
      <c r="T55" s="445"/>
      <c r="U55" s="445"/>
      <c r="V55" s="445"/>
      <c r="W55" s="366"/>
      <c r="X55" s="366"/>
      <c r="Y55" s="455"/>
      <c r="Z55" s="456"/>
      <c r="AA55" s="366"/>
      <c r="AB55" s="455"/>
      <c r="AC55" s="366"/>
    </row>
    <row r="56" spans="1:29">
      <c r="A56" s="435">
        <v>43922</v>
      </c>
      <c r="B56" s="436">
        <f>SUM($T$10:T28)</f>
        <v>398599.89273809519</v>
      </c>
      <c r="C56" s="436">
        <f>SUM($U$10:U28)</f>
        <v>946296.54809523816</v>
      </c>
      <c r="D56" s="436">
        <f>SUM($V$10:V28)</f>
        <v>93380.574999999983</v>
      </c>
      <c r="E56" s="436">
        <f>SUM($W$10:W24)</f>
        <v>48235.109999999993</v>
      </c>
      <c r="F56" s="437">
        <f t="shared" si="8"/>
        <v>1486512.1258333335</v>
      </c>
      <c r="H56" s="438"/>
      <c r="I56" s="438"/>
      <c r="J56" s="429"/>
      <c r="K56" s="438">
        <f t="shared" si="9"/>
        <v>19</v>
      </c>
      <c r="L56" s="451"/>
      <c r="M56" s="451"/>
      <c r="N56" s="451"/>
      <c r="O56" s="431"/>
      <c r="P56" s="452"/>
      <c r="Q56" s="452"/>
      <c r="R56" s="452"/>
      <c r="S56" s="364"/>
      <c r="T56" s="445"/>
      <c r="U56" s="445"/>
      <c r="V56" s="445"/>
      <c r="W56" s="366"/>
      <c r="X56" s="366"/>
      <c r="Y56" s="366"/>
      <c r="Z56" s="366"/>
      <c r="AA56" s="366"/>
      <c r="AB56" s="366"/>
      <c r="AC56" s="366"/>
    </row>
    <row r="57" spans="1:29">
      <c r="A57" s="435">
        <v>43952</v>
      </c>
      <c r="B57" s="436">
        <f>SUM($T$10:T29)</f>
        <v>398599.89273809519</v>
      </c>
      <c r="C57" s="436">
        <f>SUM($U$10:U29)</f>
        <v>946296.54809523816</v>
      </c>
      <c r="D57" s="436">
        <f>SUM($V$10:V29)</f>
        <v>93380.574999999983</v>
      </c>
      <c r="E57" s="436">
        <f>SUM($W$10:W24)</f>
        <v>48235.109999999993</v>
      </c>
      <c r="F57" s="437">
        <f t="shared" si="8"/>
        <v>1486512.1258333335</v>
      </c>
      <c r="H57" s="438"/>
      <c r="I57" s="438"/>
      <c r="J57" s="429"/>
      <c r="K57" s="438">
        <f t="shared" si="9"/>
        <v>20</v>
      </c>
      <c r="L57" s="451"/>
      <c r="M57" s="451"/>
      <c r="N57" s="451"/>
      <c r="O57" s="431"/>
      <c r="P57" s="452"/>
      <c r="Q57" s="452"/>
      <c r="R57" s="452"/>
      <c r="S57" s="454"/>
      <c r="T57" s="445"/>
      <c r="U57" s="445"/>
      <c r="V57" s="445"/>
      <c r="W57" s="446"/>
      <c r="X57" s="446"/>
      <c r="Y57" s="447"/>
      <c r="Z57" s="366"/>
      <c r="AA57" s="446"/>
      <c r="AB57" s="447"/>
      <c r="AC57" s="366"/>
    </row>
    <row r="58" spans="1:29">
      <c r="A58" s="435">
        <v>43983</v>
      </c>
      <c r="B58" s="436">
        <f>SUM($T$10:T30)</f>
        <v>398599.89273809519</v>
      </c>
      <c r="C58" s="436">
        <f>SUM($U$10:U30)</f>
        <v>946296.54809523816</v>
      </c>
      <c r="D58" s="436">
        <f>SUM($V$10:V30)</f>
        <v>93380.574999999983</v>
      </c>
      <c r="E58" s="436">
        <f>SUM($W$10:W24)</f>
        <v>48235.109999999993</v>
      </c>
      <c r="F58" s="437">
        <f t="shared" si="8"/>
        <v>1486512.1258333335</v>
      </c>
      <c r="H58" s="438"/>
      <c r="I58" s="438"/>
      <c r="J58" s="429"/>
      <c r="K58" s="438">
        <f t="shared" si="9"/>
        <v>21</v>
      </c>
      <c r="L58" s="451"/>
      <c r="M58" s="451"/>
      <c r="N58" s="451"/>
      <c r="O58" s="431"/>
      <c r="P58" s="452"/>
      <c r="Q58" s="452"/>
      <c r="R58" s="452"/>
      <c r="S58" s="457"/>
      <c r="T58" s="445"/>
      <c r="U58" s="445"/>
      <c r="V58" s="445"/>
      <c r="W58" s="458"/>
      <c r="X58" s="458"/>
      <c r="Y58" s="449"/>
      <c r="Z58" s="366"/>
      <c r="AA58" s="458"/>
      <c r="AB58" s="449"/>
      <c r="AC58" s="366"/>
    </row>
    <row r="59" spans="1:29">
      <c r="A59" s="435">
        <v>44013</v>
      </c>
      <c r="B59" s="436">
        <f>SUM($T$10:T31)</f>
        <v>398599.89273809519</v>
      </c>
      <c r="C59" s="436">
        <f>SUM($U$10:U31)</f>
        <v>946296.54809523816</v>
      </c>
      <c r="D59" s="436">
        <f>SUM($V$10:V31)</f>
        <v>93380.574999999983</v>
      </c>
      <c r="E59" s="436">
        <f>SUM($W$10:W24)</f>
        <v>48235.109999999993</v>
      </c>
      <c r="F59" s="437">
        <f t="shared" si="8"/>
        <v>1486512.1258333335</v>
      </c>
      <c r="H59" s="438"/>
      <c r="I59" s="438"/>
      <c r="J59" s="429"/>
      <c r="K59" s="438">
        <f t="shared" si="9"/>
        <v>22</v>
      </c>
      <c r="L59" s="451"/>
      <c r="M59" s="451"/>
      <c r="N59" s="451"/>
      <c r="O59" s="431"/>
      <c r="P59" s="452"/>
      <c r="Q59" s="452"/>
      <c r="R59" s="452"/>
      <c r="S59" s="457"/>
      <c r="T59" s="445"/>
      <c r="U59" s="445"/>
      <c r="V59" s="445"/>
      <c r="W59" s="458"/>
      <c r="X59" s="458"/>
      <c r="Y59" s="449"/>
      <c r="Z59" s="366"/>
      <c r="AA59" s="458"/>
      <c r="AB59" s="449"/>
      <c r="AC59" s="366"/>
    </row>
    <row r="60" spans="1:29">
      <c r="A60" s="435">
        <v>44044</v>
      </c>
      <c r="B60" s="436">
        <f>SUM($T$10:T32)</f>
        <v>398599.89273809519</v>
      </c>
      <c r="C60" s="436">
        <f>SUM($U$10:U32)</f>
        <v>946296.54809523816</v>
      </c>
      <c r="D60" s="436">
        <f>SUM($V$10:V32)</f>
        <v>93380.574999999983</v>
      </c>
      <c r="E60" s="436">
        <f t="shared" ref="E60:E123" si="10">SUM($W$10:$W$24)</f>
        <v>48235.109999999993</v>
      </c>
      <c r="F60" s="437">
        <f t="shared" si="8"/>
        <v>1486512.1258333335</v>
      </c>
      <c r="H60" s="438"/>
      <c r="I60" s="438"/>
      <c r="J60" s="429"/>
      <c r="K60" s="438">
        <f t="shared" si="9"/>
        <v>23</v>
      </c>
      <c r="L60" s="451"/>
      <c r="M60" s="451"/>
      <c r="N60" s="451"/>
      <c r="O60" s="431"/>
      <c r="P60" s="452"/>
      <c r="Q60" s="452"/>
      <c r="R60" s="452"/>
      <c r="S60" s="459"/>
      <c r="T60" s="445"/>
      <c r="U60" s="445"/>
      <c r="V60" s="445"/>
      <c r="W60" s="460"/>
      <c r="X60" s="460"/>
      <c r="Y60" s="460"/>
      <c r="Z60" s="456"/>
      <c r="AA60" s="460"/>
      <c r="AB60" s="460"/>
      <c r="AC60" s="366"/>
    </row>
    <row r="61" spans="1:29">
      <c r="A61" s="435">
        <v>44075</v>
      </c>
      <c r="B61" s="436">
        <f>SUM($T$10:T33)</f>
        <v>398599.89273809519</v>
      </c>
      <c r="C61" s="436">
        <f>SUM($U$10:U33)</f>
        <v>946296.54809523816</v>
      </c>
      <c r="D61" s="436">
        <f>SUM($V$10:V33)</f>
        <v>93380.574999999983</v>
      </c>
      <c r="E61" s="436">
        <f t="shared" si="10"/>
        <v>48235.109999999993</v>
      </c>
      <c r="F61" s="437">
        <f t="shared" si="8"/>
        <v>1486512.1258333335</v>
      </c>
      <c r="H61" s="438"/>
      <c r="I61" s="438"/>
      <c r="J61" s="429"/>
      <c r="K61" s="438">
        <f t="shared" si="9"/>
        <v>24</v>
      </c>
      <c r="L61" s="451"/>
      <c r="M61" s="451"/>
      <c r="N61" s="451"/>
      <c r="O61" s="431"/>
      <c r="P61" s="452"/>
      <c r="Q61" s="452"/>
      <c r="R61" s="452"/>
      <c r="S61" s="364"/>
      <c r="T61" s="445"/>
      <c r="U61" s="445"/>
      <c r="V61" s="445"/>
      <c r="W61" s="366"/>
      <c r="X61" s="366"/>
      <c r="Y61" s="366"/>
      <c r="Z61" s="366"/>
      <c r="AA61" s="366"/>
      <c r="AB61" s="366"/>
      <c r="AC61" s="366"/>
    </row>
    <row r="62" spans="1:29">
      <c r="A62" s="435">
        <v>44105</v>
      </c>
      <c r="B62" s="436">
        <f>SUM($T$10:T34)</f>
        <v>398599.89273809519</v>
      </c>
      <c r="C62" s="436">
        <f>SUM($U$10:U34)</f>
        <v>946296.54809523816</v>
      </c>
      <c r="D62" s="436">
        <f>SUM($V$10:V34)</f>
        <v>93380.574999999983</v>
      </c>
      <c r="E62" s="436">
        <f t="shared" si="10"/>
        <v>48235.109999999993</v>
      </c>
      <c r="F62" s="437">
        <f t="shared" si="8"/>
        <v>1486512.1258333335</v>
      </c>
      <c r="H62" s="438"/>
      <c r="I62" s="438"/>
      <c r="J62" s="429"/>
      <c r="K62" s="438">
        <f t="shared" si="9"/>
        <v>25</v>
      </c>
      <c r="L62" s="451"/>
      <c r="M62" s="451"/>
      <c r="N62" s="451"/>
      <c r="O62" s="431"/>
      <c r="P62" s="452"/>
      <c r="Q62" s="452"/>
      <c r="R62" s="452"/>
      <c r="S62" s="364"/>
      <c r="T62" s="445"/>
      <c r="U62" s="445"/>
      <c r="V62" s="445"/>
      <c r="W62" s="366"/>
      <c r="X62" s="366"/>
      <c r="Y62" s="366"/>
      <c r="Z62" s="366"/>
      <c r="AA62" s="366"/>
      <c r="AB62" s="366"/>
      <c r="AC62" s="366"/>
    </row>
    <row r="63" spans="1:29">
      <c r="A63" s="435">
        <v>44136</v>
      </c>
      <c r="B63" s="436">
        <f>SUM($T$10:T35)</f>
        <v>398599.89273809519</v>
      </c>
      <c r="C63" s="436">
        <f>SUM($U$10:U35)</f>
        <v>946296.54809523816</v>
      </c>
      <c r="D63" s="436">
        <f>SUM($V$10:V35)</f>
        <v>93380.574999999983</v>
      </c>
      <c r="E63" s="436">
        <f t="shared" si="10"/>
        <v>48235.109999999993</v>
      </c>
      <c r="F63" s="437">
        <f t="shared" si="8"/>
        <v>1486512.1258333335</v>
      </c>
      <c r="H63" s="438"/>
      <c r="I63" s="438"/>
      <c r="J63" s="429"/>
      <c r="K63" s="438">
        <f t="shared" si="9"/>
        <v>26</v>
      </c>
      <c r="L63" s="451"/>
      <c r="M63" s="451"/>
      <c r="N63" s="451"/>
      <c r="O63" s="431"/>
      <c r="P63" s="452"/>
      <c r="Q63" s="452"/>
      <c r="R63" s="452"/>
      <c r="S63" s="364"/>
      <c r="T63" s="445"/>
      <c r="U63" s="445"/>
      <c r="V63" s="445"/>
      <c r="W63" s="366"/>
      <c r="X63" s="366"/>
      <c r="Y63" s="366"/>
      <c r="Z63" s="366"/>
      <c r="AA63" s="366"/>
      <c r="AB63" s="366"/>
      <c r="AC63" s="366"/>
    </row>
    <row r="64" spans="1:29">
      <c r="A64" s="435">
        <v>44166</v>
      </c>
      <c r="B64" s="436">
        <f>SUM($T$10:T36)</f>
        <v>398599.89273809519</v>
      </c>
      <c r="C64" s="436">
        <f>SUM($U$10:U36)</f>
        <v>946296.54809523816</v>
      </c>
      <c r="D64" s="436">
        <f>SUM($V$10:V36)</f>
        <v>93380.574999999983</v>
      </c>
      <c r="E64" s="436">
        <f t="shared" si="10"/>
        <v>48235.109999999993</v>
      </c>
      <c r="F64" s="437">
        <f t="shared" si="8"/>
        <v>1486512.1258333335</v>
      </c>
      <c r="H64" s="438"/>
      <c r="I64" s="438"/>
      <c r="J64" s="429"/>
      <c r="K64" s="438">
        <f t="shared" si="9"/>
        <v>27</v>
      </c>
      <c r="L64" s="451"/>
      <c r="M64" s="451"/>
      <c r="N64" s="451"/>
      <c r="O64" s="431"/>
      <c r="P64" s="452"/>
      <c r="Q64" s="452"/>
      <c r="R64" s="452"/>
      <c r="S64" s="454"/>
      <c r="T64" s="445"/>
      <c r="U64" s="445"/>
      <c r="V64" s="445"/>
      <c r="W64" s="446"/>
      <c r="X64" s="446"/>
      <c r="Y64" s="447"/>
      <c r="Z64" s="366"/>
      <c r="AA64" s="446"/>
      <c r="AB64" s="447"/>
      <c r="AC64" s="366"/>
    </row>
    <row r="65" spans="1:29">
      <c r="A65" s="435">
        <v>44197</v>
      </c>
      <c r="B65" s="436">
        <f>SUM($T$10:T37)</f>
        <v>398599.89273809519</v>
      </c>
      <c r="C65" s="436">
        <f>SUM($U$10:U37)</f>
        <v>946296.54809523816</v>
      </c>
      <c r="D65" s="436">
        <f>SUM($V$10:V37)</f>
        <v>93380.574999999983</v>
      </c>
      <c r="E65" s="436">
        <f t="shared" si="10"/>
        <v>48235.109999999993</v>
      </c>
      <c r="F65" s="437">
        <f t="shared" si="8"/>
        <v>1486512.1258333335</v>
      </c>
      <c r="H65" s="438"/>
      <c r="I65" s="438"/>
      <c r="J65" s="429"/>
      <c r="K65" s="438">
        <f t="shared" si="9"/>
        <v>28</v>
      </c>
      <c r="L65" s="451"/>
      <c r="M65" s="451"/>
      <c r="N65" s="451"/>
      <c r="O65" s="431"/>
      <c r="P65" s="452"/>
      <c r="Q65" s="452"/>
      <c r="R65" s="452"/>
      <c r="S65" s="457"/>
      <c r="T65" s="445"/>
      <c r="U65" s="445"/>
      <c r="V65" s="445"/>
      <c r="W65" s="458"/>
      <c r="X65" s="458"/>
      <c r="Y65" s="449"/>
      <c r="Z65" s="366"/>
      <c r="AA65" s="458"/>
      <c r="AB65" s="449"/>
      <c r="AC65" s="366"/>
    </row>
    <row r="66" spans="1:29">
      <c r="A66" s="435">
        <v>44228</v>
      </c>
      <c r="B66" s="436">
        <f>SUM($T$10:T38)</f>
        <v>398599.89273809519</v>
      </c>
      <c r="C66" s="436">
        <f>SUM($U$10:U38)</f>
        <v>946296.54809523816</v>
      </c>
      <c r="D66" s="436">
        <f>SUM($V$10:V38)</f>
        <v>93380.574999999983</v>
      </c>
      <c r="E66" s="436">
        <f t="shared" si="10"/>
        <v>48235.109999999993</v>
      </c>
      <c r="F66" s="437">
        <f t="shared" si="8"/>
        <v>1486512.1258333335</v>
      </c>
      <c r="H66" s="438"/>
      <c r="I66" s="438"/>
      <c r="J66" s="429"/>
      <c r="K66" s="438">
        <f t="shared" si="9"/>
        <v>29</v>
      </c>
      <c r="L66" s="451"/>
      <c r="M66" s="451"/>
      <c r="N66" s="451"/>
      <c r="O66" s="431"/>
      <c r="P66" s="452"/>
      <c r="Q66" s="452"/>
      <c r="R66" s="452"/>
      <c r="S66" s="457"/>
      <c r="T66" s="445"/>
      <c r="U66" s="445"/>
      <c r="V66" s="445"/>
      <c r="W66" s="458"/>
      <c r="X66" s="458"/>
      <c r="Y66" s="449"/>
      <c r="Z66" s="366"/>
      <c r="AA66" s="458"/>
      <c r="AB66" s="449"/>
      <c r="AC66" s="366"/>
    </row>
    <row r="67" spans="1:29">
      <c r="A67" s="435">
        <v>44256</v>
      </c>
      <c r="B67" s="436">
        <f>SUM($T$10:T39)</f>
        <v>398599.89273809519</v>
      </c>
      <c r="C67" s="436">
        <f>SUM($U$10:U39)</f>
        <v>946296.54809523816</v>
      </c>
      <c r="D67" s="436">
        <f>SUM($V$10:V39)</f>
        <v>93380.574999999983</v>
      </c>
      <c r="E67" s="436">
        <f t="shared" si="10"/>
        <v>48235.109999999993</v>
      </c>
      <c r="F67" s="437">
        <f t="shared" si="8"/>
        <v>1486512.1258333335</v>
      </c>
      <c r="H67" s="438"/>
      <c r="I67" s="438"/>
      <c r="J67" s="429"/>
      <c r="K67" s="438">
        <f t="shared" si="9"/>
        <v>30</v>
      </c>
      <c r="L67" s="451"/>
      <c r="M67" s="451"/>
      <c r="N67" s="451"/>
      <c r="O67" s="431"/>
      <c r="P67" s="452"/>
      <c r="Q67" s="452"/>
      <c r="R67" s="452"/>
      <c r="S67" s="459"/>
      <c r="T67" s="445"/>
      <c r="U67" s="445"/>
      <c r="V67" s="445"/>
      <c r="W67" s="460"/>
      <c r="X67" s="460"/>
      <c r="Y67" s="460"/>
      <c r="Z67" s="366"/>
      <c r="AA67" s="460"/>
      <c r="AB67" s="460"/>
      <c r="AC67" s="366"/>
    </row>
    <row r="68" spans="1:29">
      <c r="A68" s="435">
        <v>44287</v>
      </c>
      <c r="B68" s="436">
        <f>SUM($T$10:T40)</f>
        <v>398599.89273809519</v>
      </c>
      <c r="C68" s="436">
        <f>SUM($U$10:U40)</f>
        <v>946296.54809523816</v>
      </c>
      <c r="D68" s="436">
        <f>SUM($V$10:V40)</f>
        <v>93380.574999999983</v>
      </c>
      <c r="E68" s="436">
        <f t="shared" si="10"/>
        <v>48235.109999999993</v>
      </c>
      <c r="F68" s="437">
        <f t="shared" si="8"/>
        <v>1486512.1258333335</v>
      </c>
      <c r="H68" s="438"/>
      <c r="I68" s="438"/>
      <c r="J68" s="429"/>
      <c r="K68" s="438">
        <f t="shared" si="9"/>
        <v>31</v>
      </c>
      <c r="L68" s="451"/>
      <c r="M68" s="451"/>
      <c r="N68" s="451"/>
      <c r="O68" s="431"/>
      <c r="P68" s="452"/>
      <c r="Q68" s="452"/>
      <c r="R68" s="452"/>
      <c r="S68" s="364"/>
      <c r="T68" s="445"/>
      <c r="U68" s="445"/>
      <c r="V68" s="445"/>
      <c r="W68" s="366"/>
      <c r="X68" s="366"/>
      <c r="Y68" s="366"/>
      <c r="Z68" s="366"/>
      <c r="AA68" s="366"/>
      <c r="AB68" s="366"/>
      <c r="AC68" s="366"/>
    </row>
    <row r="69" spans="1:29">
      <c r="A69" s="435">
        <v>44317</v>
      </c>
      <c r="B69" s="436">
        <f>SUM($T$10:T41)</f>
        <v>398599.89273809519</v>
      </c>
      <c r="C69" s="436">
        <f>SUM($U$10:U41)</f>
        <v>946296.54809523816</v>
      </c>
      <c r="D69" s="436">
        <f>SUM($V$10:V41)</f>
        <v>93380.574999999983</v>
      </c>
      <c r="E69" s="436">
        <f t="shared" si="10"/>
        <v>48235.109999999993</v>
      </c>
      <c r="F69" s="437">
        <f t="shared" si="8"/>
        <v>1486512.1258333335</v>
      </c>
      <c r="H69" s="438"/>
      <c r="I69" s="438"/>
      <c r="J69" s="429"/>
      <c r="K69" s="438">
        <f t="shared" si="9"/>
        <v>32</v>
      </c>
      <c r="L69" s="451"/>
      <c r="M69" s="451"/>
      <c r="N69" s="451"/>
      <c r="O69" s="431"/>
      <c r="P69" s="452"/>
      <c r="Q69" s="452"/>
      <c r="R69" s="452"/>
      <c r="S69" s="364"/>
      <c r="T69" s="445"/>
      <c r="U69" s="445"/>
      <c r="V69" s="445"/>
      <c r="W69" s="366"/>
      <c r="X69" s="366"/>
      <c r="Y69" s="366"/>
      <c r="Z69" s="366"/>
      <c r="AA69" s="366"/>
      <c r="AB69" s="366"/>
      <c r="AC69" s="366"/>
    </row>
    <row r="70" spans="1:29">
      <c r="A70" s="435">
        <v>44348</v>
      </c>
      <c r="B70" s="436">
        <f>SUM($T$10:T42)</f>
        <v>398599.89273809519</v>
      </c>
      <c r="C70" s="436">
        <f>SUM($U$10:U42)</f>
        <v>946296.54809523816</v>
      </c>
      <c r="D70" s="436">
        <f>SUM($V$10:V42)</f>
        <v>93380.574999999983</v>
      </c>
      <c r="E70" s="436">
        <f t="shared" si="10"/>
        <v>48235.109999999993</v>
      </c>
      <c r="F70" s="437">
        <f t="shared" si="8"/>
        <v>1486512.1258333335</v>
      </c>
      <c r="H70" s="438"/>
      <c r="I70" s="438"/>
      <c r="J70" s="429"/>
      <c r="K70" s="438">
        <f t="shared" si="9"/>
        <v>33</v>
      </c>
      <c r="L70" s="451"/>
      <c r="M70" s="451"/>
      <c r="N70" s="451"/>
      <c r="O70" s="431"/>
      <c r="P70" s="452"/>
      <c r="Q70" s="452"/>
      <c r="R70" s="452"/>
      <c r="S70" s="364"/>
      <c r="T70" s="445"/>
      <c r="U70" s="445"/>
      <c r="V70" s="445"/>
      <c r="W70" s="366"/>
      <c r="X70" s="366"/>
      <c r="Y70" s="366"/>
      <c r="Z70" s="366"/>
      <c r="AA70" s="366"/>
      <c r="AB70" s="366"/>
      <c r="AC70" s="366"/>
    </row>
    <row r="71" spans="1:29">
      <c r="A71" s="435">
        <v>44378</v>
      </c>
      <c r="B71" s="436">
        <f>SUM($T$10:T43)</f>
        <v>398599.89273809519</v>
      </c>
      <c r="C71" s="436">
        <f>SUM($U$10:U43)</f>
        <v>946296.54809523816</v>
      </c>
      <c r="D71" s="436">
        <f>SUM($V$10:V43)</f>
        <v>93380.574999999983</v>
      </c>
      <c r="E71" s="436">
        <f t="shared" si="10"/>
        <v>48235.109999999993</v>
      </c>
      <c r="F71" s="437">
        <f t="shared" si="8"/>
        <v>1486512.1258333335</v>
      </c>
      <c r="H71" s="438"/>
      <c r="I71" s="438"/>
      <c r="J71" s="429"/>
      <c r="K71" s="438">
        <f t="shared" si="9"/>
        <v>34</v>
      </c>
      <c r="L71" s="451"/>
      <c r="M71" s="451"/>
      <c r="N71" s="451"/>
      <c r="O71" s="431"/>
      <c r="P71" s="452"/>
      <c r="Q71" s="452"/>
      <c r="R71" s="452"/>
      <c r="S71" s="392"/>
      <c r="T71" s="445"/>
      <c r="U71" s="445"/>
      <c r="V71" s="445"/>
    </row>
    <row r="72" spans="1:29">
      <c r="A72" s="435">
        <v>44409</v>
      </c>
      <c r="B72" s="436">
        <f>SUM($T$10:T44)</f>
        <v>398599.89273809519</v>
      </c>
      <c r="C72" s="436">
        <f>SUM($U$10:U44)</f>
        <v>946296.54809523816</v>
      </c>
      <c r="D72" s="436">
        <f>SUM($V$10:V44)</f>
        <v>93380.574999999983</v>
      </c>
      <c r="E72" s="436">
        <f t="shared" si="10"/>
        <v>48235.109999999993</v>
      </c>
      <c r="F72" s="437">
        <f t="shared" si="8"/>
        <v>1486512.1258333335</v>
      </c>
      <c r="H72" s="438"/>
      <c r="I72" s="438"/>
      <c r="J72" s="429"/>
      <c r="K72" s="438">
        <f t="shared" si="9"/>
        <v>35</v>
      </c>
      <c r="L72" s="451"/>
      <c r="M72" s="451"/>
      <c r="N72" s="451"/>
      <c r="O72" s="431"/>
      <c r="P72" s="452"/>
      <c r="Q72" s="452"/>
      <c r="R72" s="452"/>
      <c r="S72" s="392"/>
      <c r="T72" s="445"/>
      <c r="U72" s="445"/>
      <c r="V72" s="445"/>
    </row>
    <row r="73" spans="1:29">
      <c r="A73" s="435">
        <v>44440</v>
      </c>
      <c r="B73" s="436">
        <f>SUM($T$10:T45)</f>
        <v>398599.89273809519</v>
      </c>
      <c r="C73" s="436">
        <f>SUM($U$10:U45)</f>
        <v>946296.54809523816</v>
      </c>
      <c r="D73" s="436">
        <f>SUM($V$10:V45)</f>
        <v>93380.574999999983</v>
      </c>
      <c r="E73" s="436">
        <f t="shared" si="10"/>
        <v>48235.109999999993</v>
      </c>
      <c r="F73" s="437">
        <f t="shared" si="8"/>
        <v>1486512.1258333335</v>
      </c>
      <c r="H73" s="438"/>
      <c r="I73" s="438"/>
      <c r="J73" s="429"/>
      <c r="K73" s="438">
        <f t="shared" si="9"/>
        <v>36</v>
      </c>
      <c r="L73" s="451"/>
      <c r="M73" s="451"/>
      <c r="N73" s="451"/>
      <c r="O73" s="431"/>
      <c r="P73" s="452"/>
      <c r="Q73" s="452"/>
      <c r="R73" s="452"/>
      <c r="S73" s="392"/>
      <c r="T73" s="445"/>
      <c r="U73" s="445"/>
      <c r="V73" s="445"/>
    </row>
    <row r="74" spans="1:29">
      <c r="A74" s="435">
        <v>44470</v>
      </c>
      <c r="B74" s="436">
        <f>SUM($T$10:T46)</f>
        <v>398599.89273809519</v>
      </c>
      <c r="C74" s="436">
        <f>SUM($U$10:U46)</f>
        <v>946296.54809523816</v>
      </c>
      <c r="D74" s="436">
        <f>SUM($V$10:V46)</f>
        <v>93380.574999999983</v>
      </c>
      <c r="E74" s="436">
        <f t="shared" si="10"/>
        <v>48235.109999999993</v>
      </c>
      <c r="F74" s="437">
        <f t="shared" si="8"/>
        <v>1486512.1258333335</v>
      </c>
      <c r="H74" s="438"/>
      <c r="I74" s="438"/>
      <c r="J74" s="429"/>
      <c r="K74" s="438">
        <f t="shared" si="9"/>
        <v>37</v>
      </c>
      <c r="L74" s="451"/>
      <c r="M74" s="451"/>
      <c r="N74" s="451"/>
      <c r="O74" s="431"/>
      <c r="P74" s="452"/>
      <c r="Q74" s="452"/>
      <c r="R74" s="452"/>
      <c r="S74" s="392"/>
      <c r="T74" s="445"/>
      <c r="U74" s="445"/>
      <c r="V74" s="445"/>
    </row>
    <row r="75" spans="1:29">
      <c r="A75" s="435">
        <v>44501</v>
      </c>
      <c r="B75" s="436">
        <f>SUM($T$10:T47)</f>
        <v>398599.89273809519</v>
      </c>
      <c r="C75" s="436">
        <f>SUM($U$10:U47)</f>
        <v>946296.54809523816</v>
      </c>
      <c r="D75" s="436">
        <f>SUM($V$10:V47)</f>
        <v>93380.574999999983</v>
      </c>
      <c r="E75" s="436">
        <f t="shared" si="10"/>
        <v>48235.109999999993</v>
      </c>
      <c r="F75" s="437">
        <f t="shared" si="8"/>
        <v>1486512.1258333335</v>
      </c>
      <c r="H75" s="438"/>
      <c r="I75" s="438"/>
      <c r="J75" s="429"/>
      <c r="K75" s="438">
        <f t="shared" si="9"/>
        <v>38</v>
      </c>
      <c r="L75" s="451"/>
      <c r="M75" s="451"/>
      <c r="N75" s="451"/>
      <c r="O75" s="431"/>
      <c r="P75" s="452"/>
      <c r="Q75" s="452"/>
      <c r="R75" s="452"/>
      <c r="S75" s="392"/>
      <c r="T75" s="445"/>
      <c r="U75" s="445"/>
      <c r="V75" s="445"/>
    </row>
    <row r="76" spans="1:29">
      <c r="A76" s="435">
        <v>44531</v>
      </c>
      <c r="B76" s="436">
        <f>SUM($T$10:T48)</f>
        <v>398599.89273809519</v>
      </c>
      <c r="C76" s="436">
        <f>SUM($U$10:U48)</f>
        <v>946296.54809523816</v>
      </c>
      <c r="D76" s="436">
        <f>SUM($V$10:V48)</f>
        <v>93380.574999999983</v>
      </c>
      <c r="E76" s="436">
        <f t="shared" si="10"/>
        <v>48235.109999999993</v>
      </c>
      <c r="F76" s="437">
        <f t="shared" si="8"/>
        <v>1486512.1258333335</v>
      </c>
      <c r="H76" s="438"/>
      <c r="I76" s="438"/>
      <c r="J76" s="429"/>
      <c r="K76" s="438">
        <f t="shared" si="9"/>
        <v>39</v>
      </c>
      <c r="L76" s="451"/>
      <c r="M76" s="451"/>
      <c r="N76" s="451"/>
      <c r="O76" s="431"/>
      <c r="P76" s="452"/>
      <c r="Q76" s="452"/>
      <c r="R76" s="452"/>
      <c r="S76" s="392"/>
      <c r="T76" s="445"/>
      <c r="U76" s="445"/>
      <c r="V76" s="445"/>
    </row>
    <row r="77" spans="1:29">
      <c r="A77" s="435">
        <v>44562</v>
      </c>
      <c r="B77" s="436">
        <f>SUM($T$10:T49)</f>
        <v>398599.89273809519</v>
      </c>
      <c r="C77" s="436">
        <f>SUM($U$10:U49)</f>
        <v>946296.54809523816</v>
      </c>
      <c r="D77" s="436">
        <f>SUM($V$10:V49)</f>
        <v>93380.574999999983</v>
      </c>
      <c r="E77" s="436">
        <f t="shared" si="10"/>
        <v>48235.109999999993</v>
      </c>
      <c r="F77" s="437">
        <f t="shared" si="8"/>
        <v>1486512.1258333335</v>
      </c>
      <c r="H77" s="438"/>
      <c r="I77" s="438"/>
      <c r="J77" s="429"/>
      <c r="K77" s="438">
        <f t="shared" si="9"/>
        <v>40</v>
      </c>
      <c r="L77" s="451"/>
      <c r="M77" s="451"/>
      <c r="N77" s="451"/>
      <c r="O77" s="431"/>
      <c r="P77" s="452"/>
      <c r="Q77" s="452"/>
      <c r="R77" s="452"/>
      <c r="S77" s="392"/>
      <c r="T77" s="445"/>
      <c r="U77" s="445"/>
      <c r="V77" s="445"/>
    </row>
    <row r="78" spans="1:29">
      <c r="A78" s="435">
        <v>44593</v>
      </c>
      <c r="B78" s="436">
        <f>SUM($T$10:T50)</f>
        <v>398599.89273809519</v>
      </c>
      <c r="C78" s="436">
        <f>SUM($U$10:U50)</f>
        <v>946296.54809523816</v>
      </c>
      <c r="D78" s="436">
        <f>SUM($V$10:V50)</f>
        <v>93380.574999999983</v>
      </c>
      <c r="E78" s="436">
        <f t="shared" si="10"/>
        <v>48235.109999999993</v>
      </c>
      <c r="F78" s="437">
        <f t="shared" si="8"/>
        <v>1486512.1258333335</v>
      </c>
      <c r="H78" s="438"/>
      <c r="I78" s="438"/>
      <c r="J78" s="429"/>
      <c r="K78" s="438">
        <f t="shared" si="9"/>
        <v>41</v>
      </c>
      <c r="L78" s="451"/>
      <c r="M78" s="451"/>
      <c r="N78" s="451"/>
      <c r="O78" s="431"/>
      <c r="P78" s="452"/>
      <c r="Q78" s="452"/>
      <c r="R78" s="452"/>
      <c r="S78" s="392"/>
      <c r="T78" s="445"/>
      <c r="U78" s="445"/>
      <c r="V78" s="445"/>
    </row>
    <row r="79" spans="1:29">
      <c r="A79" s="435">
        <v>44621</v>
      </c>
      <c r="B79" s="436">
        <f>SUM($T$10:T51)</f>
        <v>398599.89273809519</v>
      </c>
      <c r="C79" s="436">
        <f>SUM($U$10:U51)</f>
        <v>946296.54809523816</v>
      </c>
      <c r="D79" s="436">
        <f>SUM($V$10:V51)</f>
        <v>93380.574999999983</v>
      </c>
      <c r="E79" s="436">
        <f t="shared" si="10"/>
        <v>48235.109999999993</v>
      </c>
      <c r="F79" s="437">
        <f t="shared" si="8"/>
        <v>1486512.1258333335</v>
      </c>
      <c r="H79" s="438"/>
      <c r="I79" s="438"/>
      <c r="J79" s="429"/>
      <c r="K79" s="438">
        <f t="shared" si="9"/>
        <v>42</v>
      </c>
      <c r="L79" s="451"/>
      <c r="M79" s="451"/>
      <c r="N79" s="451"/>
      <c r="O79" s="431"/>
      <c r="P79" s="452"/>
      <c r="Q79" s="452"/>
      <c r="R79" s="452"/>
      <c r="S79" s="392"/>
      <c r="T79" s="445"/>
      <c r="U79" s="445"/>
      <c r="V79" s="445"/>
    </row>
    <row r="80" spans="1:29">
      <c r="A80" s="435">
        <v>44652</v>
      </c>
      <c r="B80" s="436">
        <f>SUM($T$10:T52)</f>
        <v>398599.89273809519</v>
      </c>
      <c r="C80" s="436">
        <f>SUM($U$10:U52)</f>
        <v>946296.54809523816</v>
      </c>
      <c r="D80" s="436">
        <f>SUM($V$10:V52)</f>
        <v>93380.574999999983</v>
      </c>
      <c r="E80" s="436">
        <f t="shared" si="10"/>
        <v>48235.109999999993</v>
      </c>
      <c r="F80" s="437">
        <f t="shared" si="8"/>
        <v>1486512.1258333335</v>
      </c>
      <c r="H80" s="438"/>
      <c r="I80" s="438"/>
      <c r="J80" s="429"/>
      <c r="K80" s="438">
        <f t="shared" si="9"/>
        <v>43</v>
      </c>
      <c r="L80" s="451"/>
      <c r="M80" s="451"/>
      <c r="N80" s="451"/>
      <c r="O80" s="431"/>
      <c r="P80" s="452"/>
      <c r="Q80" s="452"/>
      <c r="R80" s="452"/>
      <c r="S80" s="392"/>
      <c r="T80" s="445"/>
      <c r="U80" s="445"/>
      <c r="V80" s="445"/>
    </row>
    <row r="81" spans="1:22">
      <c r="A81" s="435">
        <v>44682</v>
      </c>
      <c r="B81" s="436">
        <f>SUM($T$10:T53)</f>
        <v>398599.89273809519</v>
      </c>
      <c r="C81" s="436">
        <f>SUM($U$10:U53)</f>
        <v>946296.54809523816</v>
      </c>
      <c r="D81" s="436">
        <f>SUM($V$10:V53)</f>
        <v>93380.574999999983</v>
      </c>
      <c r="E81" s="436">
        <f t="shared" si="10"/>
        <v>48235.109999999993</v>
      </c>
      <c r="F81" s="437">
        <f t="shared" si="8"/>
        <v>1486512.1258333335</v>
      </c>
      <c r="H81" s="438"/>
      <c r="I81" s="438"/>
      <c r="J81" s="429"/>
      <c r="K81" s="438">
        <f t="shared" si="9"/>
        <v>44</v>
      </c>
      <c r="L81" s="451"/>
      <c r="M81" s="451"/>
      <c r="N81" s="451"/>
      <c r="O81" s="431"/>
      <c r="P81" s="452"/>
      <c r="Q81" s="452"/>
      <c r="R81" s="452"/>
      <c r="S81" s="392"/>
      <c r="T81" s="445"/>
      <c r="U81" s="445"/>
      <c r="V81" s="445"/>
    </row>
    <row r="82" spans="1:22">
      <c r="A82" s="435">
        <v>44713</v>
      </c>
      <c r="B82" s="436">
        <f>SUM($T$10:T54)</f>
        <v>398599.89273809519</v>
      </c>
      <c r="C82" s="436">
        <f>SUM($U$10:U54)</f>
        <v>946296.54809523816</v>
      </c>
      <c r="D82" s="436">
        <f>SUM($V$10:V54)</f>
        <v>93380.574999999983</v>
      </c>
      <c r="E82" s="436">
        <f t="shared" si="10"/>
        <v>48235.109999999993</v>
      </c>
      <c r="F82" s="437">
        <f t="shared" si="8"/>
        <v>1486512.1258333335</v>
      </c>
      <c r="H82" s="438"/>
      <c r="I82" s="438"/>
      <c r="J82" s="429"/>
      <c r="K82" s="438">
        <f t="shared" si="9"/>
        <v>45</v>
      </c>
      <c r="L82" s="451"/>
      <c r="M82" s="451"/>
      <c r="N82" s="451"/>
      <c r="O82" s="431"/>
      <c r="P82" s="452"/>
      <c r="Q82" s="452"/>
      <c r="R82" s="452"/>
      <c r="S82" s="392"/>
      <c r="T82" s="445"/>
      <c r="U82" s="445"/>
      <c r="V82" s="445"/>
    </row>
    <row r="83" spans="1:22">
      <c r="A83" s="435">
        <v>44743</v>
      </c>
      <c r="B83" s="436">
        <f>SUM($T$10:T55)</f>
        <v>398599.89273809519</v>
      </c>
      <c r="C83" s="436">
        <f>SUM($U$10:U55)</f>
        <v>946296.54809523816</v>
      </c>
      <c r="D83" s="436">
        <f>SUM($V$10:V55)</f>
        <v>93380.574999999983</v>
      </c>
      <c r="E83" s="436">
        <f t="shared" si="10"/>
        <v>48235.109999999993</v>
      </c>
      <c r="F83" s="437">
        <f t="shared" si="8"/>
        <v>1486512.1258333335</v>
      </c>
      <c r="H83" s="438"/>
      <c r="I83" s="438"/>
      <c r="J83" s="429"/>
      <c r="K83" s="438">
        <f t="shared" si="9"/>
        <v>46</v>
      </c>
      <c r="L83" s="451"/>
      <c r="M83" s="451"/>
      <c r="N83" s="451"/>
      <c r="O83" s="431"/>
      <c r="P83" s="452"/>
      <c r="Q83" s="452"/>
      <c r="R83" s="452"/>
      <c r="S83" s="392"/>
      <c r="T83" s="445"/>
      <c r="U83" s="445"/>
      <c r="V83" s="445"/>
    </row>
    <row r="84" spans="1:22">
      <c r="A84" s="435">
        <v>44774</v>
      </c>
      <c r="B84" s="436">
        <f>SUM($T$10:T56)</f>
        <v>398599.89273809519</v>
      </c>
      <c r="C84" s="436">
        <f>SUM($U$10:U56)</f>
        <v>946296.54809523816</v>
      </c>
      <c r="D84" s="436">
        <f>SUM($V$10:V56)</f>
        <v>93380.574999999983</v>
      </c>
      <c r="E84" s="436">
        <f t="shared" si="10"/>
        <v>48235.109999999993</v>
      </c>
      <c r="F84" s="437">
        <f t="shared" si="8"/>
        <v>1486512.1258333335</v>
      </c>
      <c r="H84" s="438"/>
      <c r="I84" s="438"/>
      <c r="J84" s="429"/>
      <c r="K84" s="438">
        <f t="shared" si="9"/>
        <v>47</v>
      </c>
      <c r="L84" s="451"/>
      <c r="M84" s="451"/>
      <c r="N84" s="451"/>
      <c r="O84" s="431"/>
      <c r="P84" s="452"/>
      <c r="Q84" s="452"/>
      <c r="R84" s="452"/>
      <c r="S84" s="392"/>
      <c r="T84" s="445"/>
      <c r="U84" s="445"/>
      <c r="V84" s="445"/>
    </row>
    <row r="85" spans="1:22">
      <c r="A85" s="435">
        <v>44805</v>
      </c>
      <c r="B85" s="436">
        <f>SUM($T$10:T57)</f>
        <v>398599.89273809519</v>
      </c>
      <c r="C85" s="436">
        <f>SUM($U$10:U57)</f>
        <v>946296.54809523816</v>
      </c>
      <c r="D85" s="436">
        <f>SUM($V$10:V57)</f>
        <v>93380.574999999983</v>
      </c>
      <c r="E85" s="436">
        <f t="shared" si="10"/>
        <v>48235.109999999993</v>
      </c>
      <c r="F85" s="437">
        <f t="shared" si="8"/>
        <v>1486512.1258333335</v>
      </c>
      <c r="H85" s="438"/>
      <c r="I85" s="438"/>
      <c r="J85" s="429"/>
      <c r="K85" s="438">
        <f t="shared" si="9"/>
        <v>48</v>
      </c>
      <c r="L85" s="451"/>
      <c r="M85" s="451"/>
      <c r="N85" s="451"/>
      <c r="O85" s="431"/>
      <c r="P85" s="452"/>
      <c r="Q85" s="452"/>
      <c r="R85" s="452"/>
      <c r="S85" s="392"/>
      <c r="T85" s="445"/>
      <c r="U85" s="445"/>
      <c r="V85" s="445"/>
    </row>
    <row r="86" spans="1:22">
      <c r="A86" s="435">
        <v>44835</v>
      </c>
      <c r="B86" s="436">
        <f>SUM($T$10:T58)</f>
        <v>398599.89273809519</v>
      </c>
      <c r="C86" s="436">
        <f>SUM($U$10:U58)</f>
        <v>946296.54809523816</v>
      </c>
      <c r="D86" s="436">
        <f>SUM($V$10:V58)</f>
        <v>93380.574999999983</v>
      </c>
      <c r="E86" s="436">
        <f t="shared" si="10"/>
        <v>48235.109999999993</v>
      </c>
      <c r="F86" s="437">
        <f t="shared" si="8"/>
        <v>1486512.1258333335</v>
      </c>
      <c r="H86" s="438"/>
      <c r="I86" s="438"/>
      <c r="J86" s="429"/>
      <c r="K86" s="438">
        <f t="shared" si="9"/>
        <v>49</v>
      </c>
      <c r="L86" s="451"/>
      <c r="M86" s="451"/>
      <c r="N86" s="451"/>
      <c r="O86" s="431"/>
      <c r="P86" s="452"/>
      <c r="Q86" s="452"/>
      <c r="R86" s="452"/>
      <c r="S86" s="392"/>
      <c r="T86" s="445"/>
      <c r="U86" s="445"/>
      <c r="V86" s="445"/>
    </row>
    <row r="87" spans="1:22">
      <c r="A87" s="435">
        <v>44866</v>
      </c>
      <c r="B87" s="436">
        <f>SUM($T$10:T59)</f>
        <v>398599.89273809519</v>
      </c>
      <c r="C87" s="436">
        <f>SUM($U$10:U59)</f>
        <v>946296.54809523816</v>
      </c>
      <c r="D87" s="436">
        <f>SUM($V$10:V59)</f>
        <v>93380.574999999983</v>
      </c>
      <c r="E87" s="436">
        <f t="shared" si="10"/>
        <v>48235.109999999993</v>
      </c>
      <c r="F87" s="437">
        <f t="shared" si="8"/>
        <v>1486512.1258333335</v>
      </c>
      <c r="H87" s="438"/>
      <c r="I87" s="438"/>
      <c r="J87" s="429"/>
      <c r="K87" s="438">
        <f t="shared" si="9"/>
        <v>50</v>
      </c>
      <c r="L87" s="451"/>
      <c r="M87" s="451"/>
      <c r="N87" s="451"/>
      <c r="O87" s="431"/>
      <c r="P87" s="452"/>
      <c r="Q87" s="452"/>
      <c r="R87" s="452"/>
      <c r="S87" s="392"/>
      <c r="T87" s="445"/>
      <c r="U87" s="445"/>
      <c r="V87" s="445"/>
    </row>
    <row r="88" spans="1:22">
      <c r="A88" s="435">
        <v>44896</v>
      </c>
      <c r="B88" s="436">
        <f>SUM($T$10:T60)</f>
        <v>398599.89273809519</v>
      </c>
      <c r="C88" s="436">
        <f>SUM($U$10:U60)</f>
        <v>946296.54809523816</v>
      </c>
      <c r="D88" s="436">
        <f>SUM($V$10:V60)</f>
        <v>93380.574999999983</v>
      </c>
      <c r="E88" s="436">
        <f t="shared" si="10"/>
        <v>48235.109999999993</v>
      </c>
      <c r="F88" s="437">
        <f t="shared" si="8"/>
        <v>1486512.1258333335</v>
      </c>
      <c r="H88" s="438"/>
      <c r="I88" s="438"/>
      <c r="J88" s="429"/>
      <c r="K88" s="438">
        <f t="shared" si="9"/>
        <v>51</v>
      </c>
      <c r="L88" s="451"/>
      <c r="M88" s="451"/>
      <c r="N88" s="451"/>
      <c r="O88" s="431"/>
      <c r="P88" s="452"/>
      <c r="Q88" s="452"/>
      <c r="R88" s="452"/>
      <c r="S88" s="392"/>
      <c r="T88" s="445"/>
      <c r="U88" s="445"/>
      <c r="V88" s="445"/>
    </row>
    <row r="89" spans="1:22">
      <c r="A89" s="435">
        <v>44927</v>
      </c>
      <c r="B89" s="436">
        <f>SUM($T$10:T61)</f>
        <v>398599.89273809519</v>
      </c>
      <c r="C89" s="436">
        <f>SUM($U$10:U61)</f>
        <v>946296.54809523816</v>
      </c>
      <c r="D89" s="436">
        <f>SUM($V$10:V61)</f>
        <v>93380.574999999983</v>
      </c>
      <c r="E89" s="436">
        <f t="shared" si="10"/>
        <v>48235.109999999993</v>
      </c>
      <c r="F89" s="437">
        <f t="shared" si="8"/>
        <v>1486512.1258333335</v>
      </c>
      <c r="H89" s="438"/>
      <c r="I89" s="438"/>
      <c r="J89" s="429"/>
      <c r="K89" s="438">
        <f t="shared" si="9"/>
        <v>52</v>
      </c>
      <c r="L89" s="451"/>
      <c r="M89" s="451"/>
      <c r="N89" s="451"/>
      <c r="O89" s="431"/>
      <c r="P89" s="452"/>
      <c r="Q89" s="452"/>
      <c r="R89" s="452"/>
      <c r="S89" s="392"/>
      <c r="T89" s="445"/>
      <c r="U89" s="445"/>
      <c r="V89" s="445"/>
    </row>
    <row r="90" spans="1:22">
      <c r="A90" s="435">
        <v>44958</v>
      </c>
      <c r="B90" s="436">
        <f>SUM($T$10:T62)</f>
        <v>398599.89273809519</v>
      </c>
      <c r="C90" s="436">
        <f>SUM($U$10:U62)</f>
        <v>946296.54809523816</v>
      </c>
      <c r="D90" s="436">
        <f>SUM($V$10:V62)</f>
        <v>93380.574999999983</v>
      </c>
      <c r="E90" s="436">
        <f t="shared" si="10"/>
        <v>48235.109999999993</v>
      </c>
      <c r="F90" s="437">
        <f t="shared" si="8"/>
        <v>1486512.1258333335</v>
      </c>
      <c r="H90" s="438"/>
      <c r="I90" s="438"/>
      <c r="J90" s="429"/>
      <c r="K90" s="438">
        <f t="shared" si="9"/>
        <v>53</v>
      </c>
      <c r="L90" s="451"/>
      <c r="M90" s="451"/>
      <c r="N90" s="451"/>
      <c r="O90" s="431"/>
      <c r="P90" s="452"/>
      <c r="Q90" s="452"/>
      <c r="R90" s="452"/>
      <c r="S90" s="392"/>
      <c r="T90" s="445"/>
      <c r="U90" s="445"/>
      <c r="V90" s="445"/>
    </row>
    <row r="91" spans="1:22">
      <c r="A91" s="435">
        <v>44986</v>
      </c>
      <c r="B91" s="436">
        <f>SUM($T$10:T63)</f>
        <v>398599.89273809519</v>
      </c>
      <c r="C91" s="436">
        <f>SUM($U$10:U63)</f>
        <v>946296.54809523816</v>
      </c>
      <c r="D91" s="436">
        <f>SUM($V$10:V63)</f>
        <v>93380.574999999983</v>
      </c>
      <c r="E91" s="436">
        <f t="shared" si="10"/>
        <v>48235.109999999993</v>
      </c>
      <c r="F91" s="437">
        <f t="shared" si="8"/>
        <v>1486512.1258333335</v>
      </c>
      <c r="H91" s="438"/>
      <c r="I91" s="438"/>
      <c r="J91" s="429"/>
      <c r="K91" s="438">
        <f t="shared" si="9"/>
        <v>54</v>
      </c>
      <c r="L91" s="451"/>
      <c r="M91" s="451"/>
      <c r="N91" s="451"/>
      <c r="O91" s="431"/>
      <c r="P91" s="452"/>
      <c r="Q91" s="452"/>
      <c r="R91" s="452"/>
      <c r="S91" s="392"/>
      <c r="T91" s="445"/>
      <c r="U91" s="445"/>
      <c r="V91" s="445"/>
    </row>
    <row r="92" spans="1:22">
      <c r="A92" s="435">
        <v>45017</v>
      </c>
      <c r="B92" s="436">
        <f>SUM($T$10:T64)</f>
        <v>398599.89273809519</v>
      </c>
      <c r="C92" s="436">
        <f>SUM($U$10:U64)</f>
        <v>946296.54809523816</v>
      </c>
      <c r="D92" s="436">
        <f>SUM($V$10:V64)</f>
        <v>93380.574999999983</v>
      </c>
      <c r="E92" s="436">
        <f t="shared" si="10"/>
        <v>48235.109999999993</v>
      </c>
      <c r="F92" s="437">
        <f t="shared" si="8"/>
        <v>1486512.1258333335</v>
      </c>
      <c r="H92" s="438"/>
      <c r="I92" s="438"/>
      <c r="J92" s="429"/>
      <c r="K92" s="438">
        <f t="shared" si="9"/>
        <v>55</v>
      </c>
      <c r="L92" s="451"/>
      <c r="M92" s="451"/>
      <c r="N92" s="451"/>
      <c r="O92" s="431"/>
      <c r="P92" s="452"/>
      <c r="Q92" s="452"/>
      <c r="R92" s="452"/>
      <c r="S92" s="392"/>
      <c r="T92" s="445"/>
      <c r="U92" s="445"/>
      <c r="V92" s="445"/>
    </row>
    <row r="93" spans="1:22">
      <c r="A93" s="435">
        <v>45047</v>
      </c>
      <c r="B93" s="436">
        <f>SUM($T$10:T65)</f>
        <v>398599.89273809519</v>
      </c>
      <c r="C93" s="436">
        <f>SUM($U$10:U65)</f>
        <v>946296.54809523816</v>
      </c>
      <c r="D93" s="436">
        <f>SUM($V$10:V65)</f>
        <v>93380.574999999983</v>
      </c>
      <c r="E93" s="436">
        <f t="shared" si="10"/>
        <v>48235.109999999993</v>
      </c>
      <c r="F93" s="437">
        <f t="shared" si="8"/>
        <v>1486512.1258333335</v>
      </c>
      <c r="H93" s="438"/>
      <c r="I93" s="438"/>
      <c r="J93" s="429"/>
      <c r="K93" s="438">
        <f t="shared" si="9"/>
        <v>56</v>
      </c>
      <c r="L93" s="451"/>
      <c r="M93" s="451"/>
      <c r="N93" s="451"/>
      <c r="O93" s="431"/>
      <c r="P93" s="452"/>
      <c r="Q93" s="452"/>
      <c r="R93" s="452"/>
      <c r="S93" s="392"/>
      <c r="T93" s="445"/>
      <c r="U93" s="445"/>
      <c r="V93" s="445"/>
    </row>
    <row r="94" spans="1:22">
      <c r="A94" s="435">
        <v>45078</v>
      </c>
      <c r="B94" s="436">
        <f>SUM($T$10:T66)</f>
        <v>398599.89273809519</v>
      </c>
      <c r="C94" s="436">
        <f>SUM($U$10:U66)</f>
        <v>946296.54809523816</v>
      </c>
      <c r="D94" s="436">
        <f>SUM($V$10:V66)</f>
        <v>93380.574999999983</v>
      </c>
      <c r="E94" s="436">
        <f t="shared" si="10"/>
        <v>48235.109999999993</v>
      </c>
      <c r="F94" s="437">
        <f t="shared" si="8"/>
        <v>1486512.1258333335</v>
      </c>
      <c r="H94" s="438"/>
      <c r="I94" s="438"/>
      <c r="J94" s="429"/>
      <c r="K94" s="438">
        <f t="shared" si="9"/>
        <v>57</v>
      </c>
      <c r="L94" s="451"/>
      <c r="M94" s="451"/>
      <c r="N94" s="451"/>
      <c r="O94" s="431"/>
      <c r="P94" s="452"/>
      <c r="Q94" s="452"/>
      <c r="R94" s="452"/>
      <c r="S94" s="392"/>
      <c r="T94" s="445"/>
      <c r="U94" s="445"/>
      <c r="V94" s="445"/>
    </row>
    <row r="95" spans="1:22">
      <c r="A95" s="435">
        <v>45108</v>
      </c>
      <c r="B95" s="436">
        <f>SUM($T$10:T67)</f>
        <v>398599.89273809519</v>
      </c>
      <c r="C95" s="436">
        <f>SUM($U$10:U67)</f>
        <v>946296.54809523816</v>
      </c>
      <c r="D95" s="436">
        <f>SUM($V$10:V67)</f>
        <v>93380.574999999983</v>
      </c>
      <c r="E95" s="436">
        <f t="shared" si="10"/>
        <v>48235.109999999993</v>
      </c>
      <c r="F95" s="437">
        <f t="shared" si="8"/>
        <v>1486512.1258333335</v>
      </c>
      <c r="H95" s="438"/>
      <c r="I95" s="438"/>
      <c r="J95" s="429"/>
      <c r="K95" s="438">
        <f t="shared" si="9"/>
        <v>58</v>
      </c>
      <c r="L95" s="451"/>
      <c r="M95" s="451"/>
      <c r="N95" s="451"/>
      <c r="O95" s="431"/>
      <c r="P95" s="452"/>
      <c r="Q95" s="452"/>
      <c r="R95" s="452"/>
      <c r="S95" s="392"/>
      <c r="T95" s="445"/>
      <c r="U95" s="445"/>
      <c r="V95" s="445"/>
    </row>
    <row r="96" spans="1:22">
      <c r="A96" s="435">
        <v>45139</v>
      </c>
      <c r="B96" s="436">
        <f>SUM($T$10:T68)</f>
        <v>398599.89273809519</v>
      </c>
      <c r="C96" s="436">
        <f>SUM($U$10:U68)</f>
        <v>946296.54809523816</v>
      </c>
      <c r="D96" s="436">
        <f>SUM($V$10:V68)</f>
        <v>93380.574999999983</v>
      </c>
      <c r="E96" s="436">
        <f t="shared" si="10"/>
        <v>48235.109999999993</v>
      </c>
      <c r="F96" s="437">
        <f t="shared" si="8"/>
        <v>1486512.1258333335</v>
      </c>
      <c r="H96" s="438"/>
      <c r="I96" s="438"/>
      <c r="J96" s="429"/>
      <c r="K96" s="438">
        <f t="shared" si="9"/>
        <v>59</v>
      </c>
      <c r="L96" s="451"/>
      <c r="M96" s="451"/>
      <c r="N96" s="451"/>
      <c r="O96" s="431"/>
      <c r="P96" s="452"/>
      <c r="Q96" s="452"/>
      <c r="R96" s="452"/>
      <c r="S96" s="392"/>
      <c r="T96" s="445"/>
      <c r="U96" s="445"/>
      <c r="V96" s="445"/>
    </row>
    <row r="97" spans="1:22">
      <c r="A97" s="435">
        <v>45170</v>
      </c>
      <c r="B97" s="436">
        <f>SUM($T$10:T69)</f>
        <v>398599.89273809519</v>
      </c>
      <c r="C97" s="436">
        <f>SUM($U$10:U69)</f>
        <v>946296.54809523816</v>
      </c>
      <c r="D97" s="436">
        <f>SUM($V$10:V69)</f>
        <v>93380.574999999983</v>
      </c>
      <c r="E97" s="436">
        <f t="shared" si="10"/>
        <v>48235.109999999993</v>
      </c>
      <c r="F97" s="437">
        <f t="shared" si="8"/>
        <v>1486512.1258333335</v>
      </c>
      <c r="H97" s="438"/>
      <c r="I97" s="438"/>
      <c r="J97" s="429"/>
      <c r="K97" s="438">
        <f t="shared" si="9"/>
        <v>60</v>
      </c>
      <c r="L97" s="451"/>
      <c r="M97" s="451"/>
      <c r="N97" s="451"/>
      <c r="O97" s="431"/>
      <c r="P97" s="452"/>
      <c r="Q97" s="452"/>
      <c r="R97" s="452"/>
      <c r="S97" s="392"/>
      <c r="T97" s="445"/>
      <c r="U97" s="445"/>
      <c r="V97" s="445"/>
    </row>
    <row r="98" spans="1:22">
      <c r="A98" s="435">
        <v>45200</v>
      </c>
      <c r="B98" s="436">
        <f>SUM($T$10:T70)</f>
        <v>398599.89273809519</v>
      </c>
      <c r="C98" s="436">
        <f>SUM($U$10:U70)</f>
        <v>946296.54809523816</v>
      </c>
      <c r="D98" s="436">
        <f>SUM($V$10:V70)</f>
        <v>93380.574999999983</v>
      </c>
      <c r="E98" s="436">
        <f t="shared" si="10"/>
        <v>48235.109999999993</v>
      </c>
      <c r="F98" s="437">
        <f t="shared" si="8"/>
        <v>1486512.1258333335</v>
      </c>
      <c r="H98" s="438"/>
      <c r="I98" s="438"/>
      <c r="J98" s="429"/>
      <c r="K98" s="438">
        <f t="shared" si="9"/>
        <v>61</v>
      </c>
      <c r="L98" s="451"/>
      <c r="M98" s="451"/>
      <c r="N98" s="451"/>
      <c r="O98" s="431"/>
      <c r="P98" s="452"/>
      <c r="Q98" s="452"/>
      <c r="R98" s="452"/>
      <c r="S98" s="392"/>
      <c r="T98" s="445"/>
      <c r="U98" s="445"/>
      <c r="V98" s="445"/>
    </row>
    <row r="99" spans="1:22">
      <c r="A99" s="435">
        <v>45231</v>
      </c>
      <c r="B99" s="436">
        <f>SUM($T$10:T71)</f>
        <v>398599.89273809519</v>
      </c>
      <c r="C99" s="436">
        <f>SUM($U$10:U71)</f>
        <v>946296.54809523816</v>
      </c>
      <c r="D99" s="436">
        <f>SUM($V$10:V71)</f>
        <v>93380.574999999983</v>
      </c>
      <c r="E99" s="436">
        <f t="shared" si="10"/>
        <v>48235.109999999993</v>
      </c>
      <c r="F99" s="437">
        <f t="shared" si="8"/>
        <v>1486512.1258333335</v>
      </c>
      <c r="H99" s="438"/>
      <c r="I99" s="438"/>
      <c r="J99" s="429"/>
      <c r="K99" s="438">
        <f t="shared" si="9"/>
        <v>62</v>
      </c>
      <c r="L99" s="451"/>
      <c r="M99" s="451"/>
      <c r="N99" s="451"/>
      <c r="O99" s="431"/>
      <c r="P99" s="452"/>
      <c r="Q99" s="452"/>
      <c r="R99" s="452"/>
      <c r="S99" s="392"/>
      <c r="T99" s="445"/>
      <c r="U99" s="445"/>
      <c r="V99" s="445"/>
    </row>
    <row r="100" spans="1:22">
      <c r="A100" s="435">
        <v>45261</v>
      </c>
      <c r="B100" s="436">
        <f>SUM($T$10:T72)</f>
        <v>398599.89273809519</v>
      </c>
      <c r="C100" s="436">
        <f>SUM($U$10:U72)</f>
        <v>946296.54809523816</v>
      </c>
      <c r="D100" s="436">
        <f>SUM($V$10:V72)</f>
        <v>93380.574999999983</v>
      </c>
      <c r="E100" s="436">
        <f t="shared" si="10"/>
        <v>48235.109999999993</v>
      </c>
      <c r="F100" s="437">
        <f t="shared" si="8"/>
        <v>1486512.1258333335</v>
      </c>
      <c r="H100" s="438"/>
      <c r="I100" s="438"/>
      <c r="J100" s="429"/>
      <c r="K100" s="438">
        <f t="shared" si="9"/>
        <v>63</v>
      </c>
      <c r="L100" s="451"/>
      <c r="M100" s="451"/>
      <c r="N100" s="451"/>
      <c r="O100" s="431"/>
      <c r="P100" s="452"/>
      <c r="Q100" s="452"/>
      <c r="R100" s="452"/>
      <c r="S100" s="392"/>
      <c r="T100" s="445"/>
      <c r="U100" s="445"/>
      <c r="V100" s="445"/>
    </row>
    <row r="101" spans="1:22">
      <c r="A101" s="435">
        <v>45292</v>
      </c>
      <c r="B101" s="436">
        <f>SUM($T$10:T73)</f>
        <v>398599.89273809519</v>
      </c>
      <c r="C101" s="436">
        <f>SUM($U$10:U73)</f>
        <v>946296.54809523816</v>
      </c>
      <c r="D101" s="436">
        <f>SUM($V$10:V73)</f>
        <v>93380.574999999983</v>
      </c>
      <c r="E101" s="436">
        <f t="shared" si="10"/>
        <v>48235.109999999993</v>
      </c>
      <c r="F101" s="437">
        <f t="shared" si="8"/>
        <v>1486512.1258333335</v>
      </c>
      <c r="H101" s="438"/>
      <c r="I101" s="438"/>
      <c r="J101" s="429"/>
      <c r="K101" s="438">
        <f t="shared" si="9"/>
        <v>64</v>
      </c>
      <c r="L101" s="451"/>
      <c r="M101" s="451"/>
      <c r="N101" s="451"/>
      <c r="O101" s="431"/>
      <c r="P101" s="452"/>
      <c r="Q101" s="452"/>
      <c r="R101" s="452"/>
      <c r="S101" s="392"/>
      <c r="T101" s="445"/>
      <c r="U101" s="445"/>
      <c r="V101" s="445"/>
    </row>
    <row r="102" spans="1:22">
      <c r="A102" s="435">
        <v>45323</v>
      </c>
      <c r="B102" s="436">
        <f>SUM($T$10:T74)</f>
        <v>398599.89273809519</v>
      </c>
      <c r="C102" s="436">
        <f>SUM($U$10:U74)</f>
        <v>946296.54809523816</v>
      </c>
      <c r="D102" s="436">
        <f>SUM($V$10:V74)</f>
        <v>93380.574999999983</v>
      </c>
      <c r="E102" s="436">
        <f t="shared" si="10"/>
        <v>48235.109999999993</v>
      </c>
      <c r="F102" s="437">
        <f t="shared" ref="F102:F165" si="11">SUM(B102:E102)</f>
        <v>1486512.1258333335</v>
      </c>
      <c r="H102" s="438"/>
      <c r="I102" s="438"/>
      <c r="J102" s="429"/>
      <c r="K102" s="438">
        <f t="shared" si="9"/>
        <v>65</v>
      </c>
      <c r="L102" s="451"/>
      <c r="M102" s="451"/>
      <c r="N102" s="451"/>
      <c r="O102" s="431"/>
      <c r="P102" s="452"/>
      <c r="Q102" s="452"/>
      <c r="R102" s="452"/>
      <c r="S102" s="392"/>
      <c r="T102" s="445"/>
      <c r="U102" s="445"/>
      <c r="V102" s="445"/>
    </row>
    <row r="103" spans="1:22">
      <c r="A103" s="435">
        <v>45352</v>
      </c>
      <c r="B103" s="436">
        <f>SUM($T$10:T75)</f>
        <v>398599.89273809519</v>
      </c>
      <c r="C103" s="436">
        <f>SUM($U$10:U75)</f>
        <v>946296.54809523816</v>
      </c>
      <c r="D103" s="436">
        <f>SUM($V$10:V75)</f>
        <v>93380.574999999983</v>
      </c>
      <c r="E103" s="436">
        <f t="shared" si="10"/>
        <v>48235.109999999993</v>
      </c>
      <c r="F103" s="437">
        <f t="shared" si="11"/>
        <v>1486512.1258333335</v>
      </c>
      <c r="H103" s="438"/>
      <c r="I103" s="438"/>
      <c r="J103" s="429"/>
      <c r="K103" s="438">
        <f t="shared" si="9"/>
        <v>66</v>
      </c>
      <c r="L103" s="451"/>
      <c r="M103" s="451"/>
      <c r="N103" s="451"/>
      <c r="O103" s="431"/>
      <c r="P103" s="452"/>
      <c r="Q103" s="452"/>
      <c r="R103" s="452"/>
      <c r="S103" s="392"/>
      <c r="T103" s="445"/>
      <c r="U103" s="445"/>
      <c r="V103" s="445"/>
    </row>
    <row r="104" spans="1:22">
      <c r="A104" s="435">
        <v>45383</v>
      </c>
      <c r="B104" s="436">
        <f>SUM($T$10:T76)</f>
        <v>398599.89273809519</v>
      </c>
      <c r="C104" s="436">
        <f>SUM($U$10:U76)</f>
        <v>946296.54809523816</v>
      </c>
      <c r="D104" s="436">
        <f>SUM($V$10:V76)</f>
        <v>93380.574999999983</v>
      </c>
      <c r="E104" s="436">
        <f t="shared" si="10"/>
        <v>48235.109999999993</v>
      </c>
      <c r="F104" s="437">
        <f t="shared" si="11"/>
        <v>1486512.1258333335</v>
      </c>
      <c r="H104" s="438"/>
      <c r="I104" s="438"/>
      <c r="J104" s="429"/>
      <c r="K104" s="438">
        <f t="shared" ref="K104:K156" si="12">K103+1</f>
        <v>67</v>
      </c>
      <c r="L104" s="451"/>
      <c r="M104" s="451"/>
      <c r="N104" s="451"/>
      <c r="O104" s="431"/>
      <c r="P104" s="452"/>
      <c r="Q104" s="452"/>
      <c r="R104" s="452"/>
      <c r="S104" s="392"/>
      <c r="T104" s="445"/>
      <c r="U104" s="445"/>
      <c r="V104" s="445"/>
    </row>
    <row r="105" spans="1:22">
      <c r="A105" s="435">
        <v>45413</v>
      </c>
      <c r="B105" s="436">
        <f>SUM($T$10:T77)</f>
        <v>398599.89273809519</v>
      </c>
      <c r="C105" s="436">
        <f>SUM($U$10:U77)</f>
        <v>946296.54809523816</v>
      </c>
      <c r="D105" s="436">
        <f>SUM($V$10:V77)</f>
        <v>93380.574999999983</v>
      </c>
      <c r="E105" s="436">
        <f t="shared" si="10"/>
        <v>48235.109999999993</v>
      </c>
      <c r="F105" s="437">
        <f t="shared" si="11"/>
        <v>1486512.1258333335</v>
      </c>
      <c r="H105" s="438"/>
      <c r="I105" s="438"/>
      <c r="J105" s="429"/>
      <c r="K105" s="438">
        <f t="shared" si="12"/>
        <v>68</v>
      </c>
      <c r="L105" s="451"/>
      <c r="M105" s="451"/>
      <c r="N105" s="451"/>
      <c r="O105" s="431"/>
      <c r="P105" s="452"/>
      <c r="Q105" s="452"/>
      <c r="R105" s="452"/>
      <c r="S105" s="392"/>
      <c r="T105" s="445"/>
      <c r="U105" s="445"/>
      <c r="V105" s="445"/>
    </row>
    <row r="106" spans="1:22">
      <c r="A106" s="435">
        <v>45444</v>
      </c>
      <c r="B106" s="436">
        <f>SUM($T$10:T78)</f>
        <v>398599.89273809519</v>
      </c>
      <c r="C106" s="436">
        <f>SUM($U$10:U78)</f>
        <v>946296.54809523816</v>
      </c>
      <c r="D106" s="436">
        <f>SUM($V$10:V78)</f>
        <v>93380.574999999983</v>
      </c>
      <c r="E106" s="436">
        <f t="shared" si="10"/>
        <v>48235.109999999993</v>
      </c>
      <c r="F106" s="437">
        <f t="shared" si="11"/>
        <v>1486512.1258333335</v>
      </c>
      <c r="H106" s="438"/>
      <c r="I106" s="438"/>
      <c r="J106" s="429"/>
      <c r="K106" s="438">
        <f t="shared" si="12"/>
        <v>69</v>
      </c>
      <c r="L106" s="451"/>
      <c r="M106" s="451"/>
      <c r="N106" s="451"/>
      <c r="O106" s="431"/>
      <c r="P106" s="452"/>
      <c r="Q106" s="452"/>
      <c r="R106" s="452"/>
      <c r="S106" s="392"/>
      <c r="T106" s="445"/>
      <c r="U106" s="445"/>
      <c r="V106" s="445"/>
    </row>
    <row r="107" spans="1:22">
      <c r="A107" s="435">
        <v>45474</v>
      </c>
      <c r="B107" s="436">
        <f>SUM($T$10:T79)</f>
        <v>398599.89273809519</v>
      </c>
      <c r="C107" s="436">
        <f>SUM($U$10:U79)</f>
        <v>946296.54809523816</v>
      </c>
      <c r="D107" s="436">
        <f>SUM($V$10:V79)</f>
        <v>93380.574999999983</v>
      </c>
      <c r="E107" s="436">
        <f t="shared" si="10"/>
        <v>48235.109999999993</v>
      </c>
      <c r="F107" s="437">
        <f t="shared" si="11"/>
        <v>1486512.1258333335</v>
      </c>
      <c r="H107" s="438"/>
      <c r="I107" s="438"/>
      <c r="J107" s="429"/>
      <c r="K107" s="438">
        <f t="shared" si="12"/>
        <v>70</v>
      </c>
      <c r="L107" s="451"/>
      <c r="M107" s="451"/>
      <c r="N107" s="451"/>
      <c r="O107" s="431"/>
      <c r="P107" s="452"/>
      <c r="Q107" s="452"/>
      <c r="R107" s="452"/>
      <c r="S107" s="392"/>
      <c r="T107" s="445"/>
      <c r="U107" s="445"/>
      <c r="V107" s="445"/>
    </row>
    <row r="108" spans="1:22">
      <c r="A108" s="435">
        <v>45505</v>
      </c>
      <c r="B108" s="436">
        <f>SUM($T$10:T80)</f>
        <v>398599.89273809519</v>
      </c>
      <c r="C108" s="436">
        <f>SUM($U$10:U80)</f>
        <v>946296.54809523816</v>
      </c>
      <c r="D108" s="436">
        <f>SUM($V$10:V80)</f>
        <v>93380.574999999983</v>
      </c>
      <c r="E108" s="436">
        <f t="shared" si="10"/>
        <v>48235.109999999993</v>
      </c>
      <c r="F108" s="437">
        <f t="shared" si="11"/>
        <v>1486512.1258333335</v>
      </c>
      <c r="H108" s="438"/>
      <c r="I108" s="438"/>
      <c r="J108" s="429"/>
      <c r="K108" s="438">
        <f t="shared" si="12"/>
        <v>71</v>
      </c>
      <c r="L108" s="451"/>
      <c r="M108" s="451"/>
      <c r="N108" s="451"/>
      <c r="O108" s="431"/>
      <c r="P108" s="452"/>
      <c r="Q108" s="452"/>
      <c r="R108" s="452"/>
      <c r="S108" s="392"/>
      <c r="T108" s="445"/>
      <c r="U108" s="445"/>
      <c r="V108" s="445"/>
    </row>
    <row r="109" spans="1:22">
      <c r="A109" s="435">
        <v>45536</v>
      </c>
      <c r="B109" s="436">
        <f>SUM($T$10:T81)</f>
        <v>398599.89273809519</v>
      </c>
      <c r="C109" s="436">
        <f>SUM($U$10:U81)</f>
        <v>946296.54809523816</v>
      </c>
      <c r="D109" s="436">
        <f>SUM($V$10:V81)</f>
        <v>93380.574999999983</v>
      </c>
      <c r="E109" s="436">
        <f t="shared" si="10"/>
        <v>48235.109999999993</v>
      </c>
      <c r="F109" s="437">
        <f t="shared" si="11"/>
        <v>1486512.1258333335</v>
      </c>
      <c r="H109" s="438"/>
      <c r="I109" s="438"/>
      <c r="J109" s="429"/>
      <c r="K109" s="438">
        <f t="shared" si="12"/>
        <v>72</v>
      </c>
      <c r="L109" s="451"/>
      <c r="M109" s="451"/>
      <c r="N109" s="451"/>
      <c r="O109" s="431"/>
      <c r="P109" s="452"/>
      <c r="Q109" s="452"/>
      <c r="R109" s="452"/>
      <c r="S109" s="392"/>
      <c r="T109" s="445"/>
      <c r="U109" s="445"/>
      <c r="V109" s="445"/>
    </row>
    <row r="110" spans="1:22">
      <c r="A110" s="435">
        <v>45566</v>
      </c>
      <c r="B110" s="436">
        <f>SUM($T$10:T82)</f>
        <v>398599.89273809519</v>
      </c>
      <c r="C110" s="436">
        <f>SUM($U$10:U82)</f>
        <v>946296.54809523816</v>
      </c>
      <c r="D110" s="436">
        <f>SUM($V$10:V82)</f>
        <v>93380.574999999983</v>
      </c>
      <c r="E110" s="436">
        <f t="shared" si="10"/>
        <v>48235.109999999993</v>
      </c>
      <c r="F110" s="437">
        <f t="shared" si="11"/>
        <v>1486512.1258333335</v>
      </c>
      <c r="H110" s="438"/>
      <c r="I110" s="438"/>
      <c r="J110" s="429"/>
      <c r="K110" s="438">
        <f t="shared" si="12"/>
        <v>73</v>
      </c>
      <c r="L110" s="451"/>
      <c r="M110" s="451"/>
      <c r="N110" s="451"/>
      <c r="O110" s="431"/>
      <c r="P110" s="452"/>
      <c r="Q110" s="452"/>
      <c r="R110" s="452"/>
      <c r="S110" s="392"/>
      <c r="T110" s="445"/>
      <c r="U110" s="445"/>
      <c r="V110" s="445"/>
    </row>
    <row r="111" spans="1:22">
      <c r="A111" s="435">
        <v>45597</v>
      </c>
      <c r="B111" s="436">
        <f>SUM($T$10:T83)</f>
        <v>398599.89273809519</v>
      </c>
      <c r="C111" s="436">
        <f>SUM($U$10:U83)</f>
        <v>946296.54809523816</v>
      </c>
      <c r="D111" s="436">
        <f>SUM($V$10:V83)</f>
        <v>93380.574999999983</v>
      </c>
      <c r="E111" s="436">
        <f t="shared" si="10"/>
        <v>48235.109999999993</v>
      </c>
      <c r="F111" s="437">
        <f t="shared" si="11"/>
        <v>1486512.1258333335</v>
      </c>
      <c r="H111" s="438"/>
      <c r="I111" s="438"/>
      <c r="J111" s="429"/>
      <c r="K111" s="438">
        <f t="shared" si="12"/>
        <v>74</v>
      </c>
      <c r="L111" s="451"/>
      <c r="M111" s="451"/>
      <c r="N111" s="451"/>
      <c r="O111" s="431"/>
      <c r="P111" s="452"/>
      <c r="Q111" s="452"/>
      <c r="R111" s="452"/>
      <c r="S111" s="392"/>
      <c r="T111" s="445"/>
      <c r="U111" s="445"/>
      <c r="V111" s="445"/>
    </row>
    <row r="112" spans="1:22">
      <c r="A112" s="435">
        <v>45627</v>
      </c>
      <c r="B112" s="436">
        <f>SUM($T$10:T84)</f>
        <v>398599.89273809519</v>
      </c>
      <c r="C112" s="436">
        <f>SUM($U$10:U84)</f>
        <v>946296.54809523816</v>
      </c>
      <c r="D112" s="436">
        <f>SUM($V$10:V84)</f>
        <v>93380.574999999983</v>
      </c>
      <c r="E112" s="436">
        <f t="shared" si="10"/>
        <v>48235.109999999993</v>
      </c>
      <c r="F112" s="437">
        <f t="shared" si="11"/>
        <v>1486512.1258333335</v>
      </c>
      <c r="H112" s="438"/>
      <c r="I112" s="438"/>
      <c r="J112" s="429"/>
      <c r="K112" s="438">
        <f t="shared" si="12"/>
        <v>75</v>
      </c>
      <c r="L112" s="451"/>
      <c r="M112" s="451"/>
      <c r="N112" s="451"/>
      <c r="O112" s="431"/>
      <c r="P112" s="461"/>
      <c r="Q112" s="461"/>
      <c r="R112" s="461"/>
      <c r="S112" s="392"/>
      <c r="T112" s="445"/>
      <c r="U112" s="445"/>
      <c r="V112" s="445"/>
    </row>
    <row r="113" spans="1:22">
      <c r="A113" s="435">
        <v>45658</v>
      </c>
      <c r="B113" s="436">
        <f>SUM($T$10:T85)</f>
        <v>398599.89273809519</v>
      </c>
      <c r="C113" s="436">
        <f>SUM($U$10:U85)</f>
        <v>946296.54809523816</v>
      </c>
      <c r="D113" s="436">
        <f>SUM($V$10:V85)</f>
        <v>93380.574999999983</v>
      </c>
      <c r="E113" s="436">
        <f t="shared" si="10"/>
        <v>48235.109999999993</v>
      </c>
      <c r="F113" s="437">
        <f t="shared" si="11"/>
        <v>1486512.1258333335</v>
      </c>
      <c r="H113" s="438"/>
      <c r="I113" s="438"/>
      <c r="J113" s="429"/>
      <c r="K113" s="438">
        <f t="shared" si="12"/>
        <v>76</v>
      </c>
      <c r="L113" s="453"/>
      <c r="M113" s="453"/>
      <c r="N113" s="453"/>
      <c r="O113" s="350"/>
      <c r="P113" s="452"/>
      <c r="Q113" s="452"/>
      <c r="R113" s="452"/>
      <c r="S113" s="392"/>
      <c r="T113" s="445"/>
      <c r="U113" s="445"/>
      <c r="V113" s="445"/>
    </row>
    <row r="114" spans="1:22">
      <c r="A114" s="435">
        <v>45689</v>
      </c>
      <c r="B114" s="436">
        <f>SUM($T$10:T86)</f>
        <v>398599.89273809519</v>
      </c>
      <c r="C114" s="436">
        <f>SUM($U$10:U86)</f>
        <v>946296.54809523816</v>
      </c>
      <c r="D114" s="436">
        <f>SUM($V$10:V86)</f>
        <v>93380.574999999983</v>
      </c>
      <c r="E114" s="436">
        <f t="shared" si="10"/>
        <v>48235.109999999993</v>
      </c>
      <c r="F114" s="437">
        <f t="shared" si="11"/>
        <v>1486512.1258333335</v>
      </c>
      <c r="H114" s="438"/>
      <c r="I114" s="438"/>
      <c r="J114" s="429"/>
      <c r="K114" s="438">
        <f t="shared" si="12"/>
        <v>77</v>
      </c>
      <c r="L114" s="451"/>
      <c r="M114" s="451"/>
      <c r="N114" s="451"/>
      <c r="O114" s="431"/>
      <c r="P114" s="452"/>
      <c r="Q114" s="452"/>
      <c r="R114" s="452"/>
      <c r="S114" s="392"/>
      <c r="T114" s="445"/>
      <c r="U114" s="445"/>
      <c r="V114" s="445"/>
    </row>
    <row r="115" spans="1:22">
      <c r="A115" s="435">
        <v>45717</v>
      </c>
      <c r="B115" s="436">
        <f>SUM($T$10:T87)</f>
        <v>398599.89273809519</v>
      </c>
      <c r="C115" s="436">
        <f>SUM($U$10:U87)</f>
        <v>946296.54809523816</v>
      </c>
      <c r="D115" s="436">
        <f>SUM($V$10:V87)</f>
        <v>93380.574999999983</v>
      </c>
      <c r="E115" s="436">
        <f t="shared" si="10"/>
        <v>48235.109999999993</v>
      </c>
      <c r="F115" s="437">
        <f t="shared" si="11"/>
        <v>1486512.1258333335</v>
      </c>
      <c r="H115" s="438"/>
      <c r="I115" s="438"/>
      <c r="J115" s="429"/>
      <c r="K115" s="438">
        <f t="shared" si="12"/>
        <v>78</v>
      </c>
      <c r="L115" s="451"/>
      <c r="M115" s="451"/>
      <c r="N115" s="451"/>
      <c r="O115" s="431"/>
      <c r="P115" s="452"/>
      <c r="Q115" s="452"/>
      <c r="R115" s="452"/>
      <c r="S115" s="392"/>
      <c r="T115" s="445"/>
      <c r="U115" s="445"/>
      <c r="V115" s="445"/>
    </row>
    <row r="116" spans="1:22">
      <c r="A116" s="435">
        <v>45748</v>
      </c>
      <c r="B116" s="436">
        <f>SUM($T$10:T88)</f>
        <v>398599.89273809519</v>
      </c>
      <c r="C116" s="436">
        <f>SUM($U$10:U88)</f>
        <v>946296.54809523816</v>
      </c>
      <c r="D116" s="436">
        <f>SUM($V$10:V88)</f>
        <v>93380.574999999983</v>
      </c>
      <c r="E116" s="436">
        <f t="shared" si="10"/>
        <v>48235.109999999993</v>
      </c>
      <c r="F116" s="437">
        <f t="shared" si="11"/>
        <v>1486512.1258333335</v>
      </c>
      <c r="H116" s="438"/>
      <c r="I116" s="438"/>
      <c r="J116" s="429"/>
      <c r="K116" s="438">
        <f t="shared" si="12"/>
        <v>79</v>
      </c>
      <c r="L116" s="451"/>
      <c r="M116" s="451"/>
      <c r="N116" s="451"/>
      <c r="O116" s="431"/>
      <c r="P116" s="452"/>
      <c r="Q116" s="452"/>
      <c r="R116" s="452"/>
      <c r="S116" s="392"/>
      <c r="T116" s="445"/>
      <c r="U116" s="445"/>
      <c r="V116" s="445"/>
    </row>
    <row r="117" spans="1:22">
      <c r="A117" s="435">
        <v>45778</v>
      </c>
      <c r="B117" s="436">
        <f>SUM($T$10:T89)</f>
        <v>398599.89273809519</v>
      </c>
      <c r="C117" s="436">
        <f>SUM($U$10:U89)</f>
        <v>946296.54809523816</v>
      </c>
      <c r="D117" s="436">
        <f>SUM($V$10:V89)</f>
        <v>93380.574999999983</v>
      </c>
      <c r="E117" s="436">
        <f t="shared" si="10"/>
        <v>48235.109999999993</v>
      </c>
      <c r="F117" s="437">
        <f t="shared" si="11"/>
        <v>1486512.1258333335</v>
      </c>
      <c r="H117" s="438"/>
      <c r="I117" s="438"/>
      <c r="J117" s="429"/>
      <c r="K117" s="438">
        <f t="shared" si="12"/>
        <v>80</v>
      </c>
      <c r="L117" s="451"/>
      <c r="M117" s="451"/>
      <c r="N117" s="451"/>
      <c r="O117" s="431"/>
      <c r="P117" s="452"/>
      <c r="Q117" s="452"/>
      <c r="R117" s="452"/>
      <c r="S117" s="392"/>
      <c r="T117" s="445"/>
      <c r="U117" s="445"/>
      <c r="V117" s="445"/>
    </row>
    <row r="118" spans="1:22">
      <c r="A118" s="435">
        <v>45809</v>
      </c>
      <c r="B118" s="436">
        <f>SUM($T$10:T90)</f>
        <v>398599.89273809519</v>
      </c>
      <c r="C118" s="436">
        <f>SUM($U$10:U90)</f>
        <v>946296.54809523816</v>
      </c>
      <c r="D118" s="436">
        <f>SUM($V$10:V90)</f>
        <v>93380.574999999983</v>
      </c>
      <c r="E118" s="436">
        <f t="shared" si="10"/>
        <v>48235.109999999993</v>
      </c>
      <c r="F118" s="437">
        <f t="shared" si="11"/>
        <v>1486512.1258333335</v>
      </c>
      <c r="H118" s="438"/>
      <c r="I118" s="438"/>
      <c r="J118" s="429"/>
      <c r="K118" s="438">
        <f t="shared" si="12"/>
        <v>81</v>
      </c>
      <c r="L118" s="451"/>
      <c r="M118" s="451"/>
      <c r="N118" s="451"/>
      <c r="O118" s="431"/>
      <c r="P118" s="461"/>
      <c r="Q118" s="461"/>
      <c r="R118" s="461"/>
      <c r="S118" s="392"/>
      <c r="T118" s="445"/>
      <c r="U118" s="445"/>
      <c r="V118" s="445"/>
    </row>
    <row r="119" spans="1:22">
      <c r="A119" s="435">
        <v>45839</v>
      </c>
      <c r="B119" s="436">
        <f>SUM($T$10:T91)</f>
        <v>398599.89273809519</v>
      </c>
      <c r="C119" s="436">
        <f>SUM($U$10:U91)</f>
        <v>946296.54809523816</v>
      </c>
      <c r="D119" s="436">
        <f>SUM($V$10:V91)</f>
        <v>93380.574999999983</v>
      </c>
      <c r="E119" s="436">
        <f t="shared" si="10"/>
        <v>48235.109999999993</v>
      </c>
      <c r="F119" s="437">
        <f t="shared" si="11"/>
        <v>1486512.1258333335</v>
      </c>
      <c r="H119" s="438"/>
      <c r="I119" s="438"/>
      <c r="J119" s="462"/>
      <c r="K119" s="438">
        <f t="shared" si="12"/>
        <v>82</v>
      </c>
      <c r="L119" s="462"/>
      <c r="M119" s="462"/>
      <c r="N119" s="462"/>
      <c r="O119" s="462"/>
      <c r="P119" s="462"/>
      <c r="Q119" s="462"/>
      <c r="R119" s="462"/>
      <c r="S119" s="462"/>
      <c r="T119" s="462"/>
      <c r="U119" s="462"/>
      <c r="V119" s="462"/>
    </row>
    <row r="120" spans="1:22">
      <c r="A120" s="435">
        <v>45870</v>
      </c>
      <c r="B120" s="436">
        <f>SUM($T$10:T92)</f>
        <v>398599.89273809519</v>
      </c>
      <c r="C120" s="436">
        <f>SUM($U$10:U92)</f>
        <v>946296.54809523816</v>
      </c>
      <c r="D120" s="436">
        <f>SUM($V$10:V92)</f>
        <v>93380.574999999983</v>
      </c>
      <c r="E120" s="436">
        <f t="shared" si="10"/>
        <v>48235.109999999993</v>
      </c>
      <c r="F120" s="437">
        <f t="shared" si="11"/>
        <v>1486512.1258333335</v>
      </c>
      <c r="H120" s="438"/>
      <c r="I120" s="438"/>
      <c r="J120" s="462"/>
      <c r="K120" s="438">
        <f t="shared" si="12"/>
        <v>83</v>
      </c>
      <c r="L120" s="462"/>
      <c r="M120" s="462"/>
      <c r="N120" s="462"/>
      <c r="O120" s="462"/>
      <c r="P120" s="462"/>
      <c r="Q120" s="462"/>
      <c r="R120" s="462"/>
      <c r="S120" s="462"/>
      <c r="T120" s="462"/>
      <c r="U120" s="462"/>
      <c r="V120" s="462"/>
    </row>
    <row r="121" spans="1:22">
      <c r="A121" s="435">
        <v>45901</v>
      </c>
      <c r="B121" s="436">
        <f>SUM($T$10:T93)</f>
        <v>398599.89273809519</v>
      </c>
      <c r="C121" s="436">
        <f>SUM($U$10:U93)</f>
        <v>946296.54809523816</v>
      </c>
      <c r="D121" s="436">
        <f>SUM($V$10:V93)</f>
        <v>93380.574999999983</v>
      </c>
      <c r="E121" s="436">
        <f t="shared" si="10"/>
        <v>48235.109999999993</v>
      </c>
      <c r="F121" s="437">
        <f t="shared" si="11"/>
        <v>1486512.1258333335</v>
      </c>
      <c r="H121" s="438"/>
      <c r="I121" s="438"/>
      <c r="J121" s="462"/>
      <c r="K121" s="463">
        <f t="shared" si="12"/>
        <v>84</v>
      </c>
      <c r="L121" s="462"/>
      <c r="M121" s="462"/>
      <c r="N121" s="462"/>
      <c r="O121" s="462"/>
      <c r="P121" s="462"/>
      <c r="Q121" s="462"/>
      <c r="R121" s="462"/>
      <c r="S121" s="462"/>
      <c r="T121" s="462"/>
      <c r="U121" s="462"/>
      <c r="V121" s="462"/>
    </row>
    <row r="122" spans="1:22">
      <c r="A122" s="435">
        <v>45931</v>
      </c>
      <c r="B122" s="436">
        <f>SUM(T11:T94)</f>
        <v>358136.50202380953</v>
      </c>
      <c r="C122" s="436">
        <f>SUM(U11:U94)</f>
        <v>868773.61952380964</v>
      </c>
      <c r="D122" s="436">
        <f>SUM($V$10:V94)</f>
        <v>93380.574999999983</v>
      </c>
      <c r="E122" s="436">
        <f t="shared" si="10"/>
        <v>48235.109999999993</v>
      </c>
      <c r="F122" s="437">
        <f t="shared" si="11"/>
        <v>1368525.8065476192</v>
      </c>
      <c r="H122" s="438"/>
      <c r="I122" s="438"/>
      <c r="J122" s="462"/>
      <c r="K122" s="438">
        <f t="shared" si="12"/>
        <v>85</v>
      </c>
      <c r="L122" s="462"/>
      <c r="M122" s="462"/>
      <c r="N122" s="462"/>
      <c r="O122" s="462"/>
      <c r="P122" s="462"/>
      <c r="Q122" s="462"/>
      <c r="R122" s="462"/>
      <c r="S122" s="462"/>
      <c r="T122" s="462"/>
      <c r="U122" s="462"/>
      <c r="V122" s="462"/>
    </row>
    <row r="123" spans="1:22">
      <c r="A123" s="435">
        <v>45962</v>
      </c>
      <c r="B123" s="436">
        <f t="shared" ref="B123:C138" si="13">SUM(T12:T95)</f>
        <v>322642.29964285711</v>
      </c>
      <c r="C123" s="436">
        <f t="shared" si="13"/>
        <v>822259.86238095246</v>
      </c>
      <c r="D123" s="436">
        <f>SUM($V$10:V95)</f>
        <v>93380.574999999983</v>
      </c>
      <c r="E123" s="436">
        <f t="shared" si="10"/>
        <v>48235.109999999993</v>
      </c>
      <c r="F123" s="437">
        <f t="shared" si="11"/>
        <v>1286517.8470238096</v>
      </c>
      <c r="H123" s="438"/>
      <c r="I123" s="438"/>
      <c r="J123" s="462"/>
      <c r="K123" s="438">
        <f t="shared" si="12"/>
        <v>86</v>
      </c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</row>
    <row r="124" spans="1:22">
      <c r="A124" s="435">
        <v>45992</v>
      </c>
      <c r="B124" s="436">
        <f t="shared" si="13"/>
        <v>313768.749047619</v>
      </c>
      <c r="C124" s="436">
        <f t="shared" si="13"/>
        <v>780397.48095238104</v>
      </c>
      <c r="D124" s="436">
        <f>SUM($V$10:V96)</f>
        <v>93380.574999999983</v>
      </c>
      <c r="E124" s="436">
        <f t="shared" ref="E124:E145" si="14">SUM($W$10:$W$24)</f>
        <v>48235.109999999993</v>
      </c>
      <c r="F124" s="437">
        <f t="shared" si="11"/>
        <v>1235781.915</v>
      </c>
      <c r="H124" s="438"/>
      <c r="I124" s="438"/>
      <c r="J124" s="462"/>
      <c r="K124" s="438">
        <f t="shared" si="12"/>
        <v>87</v>
      </c>
      <c r="L124" s="462"/>
      <c r="M124" s="462"/>
      <c r="N124" s="462"/>
      <c r="O124" s="462"/>
      <c r="P124" s="462"/>
      <c r="Q124" s="462"/>
      <c r="R124" s="462"/>
      <c r="S124" s="462"/>
      <c r="T124" s="462"/>
      <c r="U124" s="462"/>
      <c r="V124" s="462"/>
    </row>
    <row r="125" spans="1:22">
      <c r="A125" s="435">
        <v>46023</v>
      </c>
      <c r="B125" s="436">
        <f t="shared" si="13"/>
        <v>296021.64785714285</v>
      </c>
      <c r="C125" s="436">
        <f t="shared" si="13"/>
        <v>728715.52857142861</v>
      </c>
      <c r="D125" s="436">
        <f>SUM($V$10:V97)</f>
        <v>93380.574999999983</v>
      </c>
      <c r="E125" s="436">
        <f t="shared" si="14"/>
        <v>48235.109999999993</v>
      </c>
      <c r="F125" s="437">
        <f t="shared" si="11"/>
        <v>1166352.8614285716</v>
      </c>
      <c r="H125" s="438"/>
      <c r="I125" s="438"/>
      <c r="J125" s="462"/>
      <c r="K125" s="438">
        <f t="shared" si="12"/>
        <v>88</v>
      </c>
      <c r="L125" s="462"/>
      <c r="M125" s="462"/>
      <c r="N125" s="462"/>
      <c r="O125" s="462"/>
      <c r="P125" s="462"/>
      <c r="Q125" s="462"/>
      <c r="R125" s="462"/>
      <c r="S125" s="462"/>
      <c r="T125" s="462"/>
      <c r="U125" s="462"/>
      <c r="V125" s="462"/>
    </row>
    <row r="126" spans="1:22">
      <c r="A126" s="435">
        <v>46054</v>
      </c>
      <c r="B126" s="436">
        <f t="shared" si="13"/>
        <v>285373.38714285719</v>
      </c>
      <c r="C126" s="436">
        <f t="shared" si="13"/>
        <v>702874.5523809524</v>
      </c>
      <c r="D126" s="436">
        <f>SUM($V$10:V98)</f>
        <v>93380.574999999983</v>
      </c>
      <c r="E126" s="436">
        <f t="shared" si="14"/>
        <v>48235.109999999993</v>
      </c>
      <c r="F126" s="437">
        <f t="shared" si="11"/>
        <v>1129863.6245238096</v>
      </c>
      <c r="H126" s="438"/>
      <c r="I126" s="438"/>
      <c r="J126" s="462"/>
      <c r="K126" s="438">
        <f t="shared" si="12"/>
        <v>89</v>
      </c>
      <c r="L126" s="462"/>
      <c r="M126" s="462"/>
      <c r="N126" s="462"/>
      <c r="O126" s="462"/>
      <c r="P126" s="462"/>
      <c r="Q126" s="462"/>
      <c r="R126" s="462"/>
      <c r="S126" s="462"/>
      <c r="T126" s="462"/>
      <c r="U126" s="462"/>
      <c r="V126" s="462"/>
    </row>
    <row r="127" spans="1:22">
      <c r="A127" s="435">
        <v>46082</v>
      </c>
      <c r="B127" s="436">
        <f t="shared" si="13"/>
        <v>214384.9823809524</v>
      </c>
      <c r="C127" s="436">
        <f t="shared" si="13"/>
        <v>547828.69523809524</v>
      </c>
      <c r="D127" s="436">
        <f>SUM($V$10:V99)</f>
        <v>93380.574999999983</v>
      </c>
      <c r="E127" s="436">
        <f t="shared" si="14"/>
        <v>48235.109999999993</v>
      </c>
      <c r="F127" s="437">
        <f t="shared" si="11"/>
        <v>903829.36261904764</v>
      </c>
      <c r="H127" s="438"/>
      <c r="I127" s="438"/>
      <c r="J127" s="462"/>
      <c r="K127" s="438">
        <f t="shared" si="12"/>
        <v>90</v>
      </c>
      <c r="L127" s="462"/>
      <c r="M127" s="462"/>
      <c r="N127" s="462"/>
      <c r="O127" s="462"/>
      <c r="P127" s="462"/>
      <c r="Q127" s="462"/>
      <c r="R127" s="462"/>
      <c r="S127" s="462"/>
      <c r="T127" s="462"/>
      <c r="U127" s="462"/>
      <c r="V127" s="462"/>
    </row>
    <row r="128" spans="1:22">
      <c r="A128" s="435">
        <v>46113</v>
      </c>
      <c r="B128" s="436">
        <f t="shared" si="13"/>
        <v>178890.77999999997</v>
      </c>
      <c r="C128" s="436">
        <f t="shared" si="13"/>
        <v>470305.76666666666</v>
      </c>
      <c r="D128" s="436">
        <f>SUM($V$10:V100)</f>
        <v>93380.574999999983</v>
      </c>
      <c r="E128" s="436">
        <f t="shared" si="14"/>
        <v>48235.109999999993</v>
      </c>
      <c r="F128" s="437">
        <f t="shared" si="11"/>
        <v>790812.23166666657</v>
      </c>
      <c r="H128" s="438"/>
      <c r="I128" s="438"/>
      <c r="J128" s="462"/>
      <c r="K128" s="438">
        <f t="shared" si="12"/>
        <v>91</v>
      </c>
      <c r="L128" s="462"/>
      <c r="M128" s="462"/>
      <c r="N128" s="462"/>
      <c r="O128" s="462"/>
      <c r="P128" s="462"/>
      <c r="Q128" s="462"/>
      <c r="R128" s="462"/>
      <c r="S128" s="462"/>
      <c r="T128" s="462"/>
      <c r="U128" s="462"/>
      <c r="V128" s="462"/>
    </row>
    <row r="129" spans="1:22">
      <c r="A129" s="435">
        <v>46143</v>
      </c>
      <c r="B129" s="436">
        <f t="shared" si="13"/>
        <v>162918.38892857142</v>
      </c>
      <c r="C129" s="436">
        <f t="shared" si="13"/>
        <v>418623.8142857143</v>
      </c>
      <c r="D129" s="436">
        <f>SUM($V$10:V101)</f>
        <v>93380.574999999983</v>
      </c>
      <c r="E129" s="436">
        <f t="shared" si="14"/>
        <v>48235.109999999993</v>
      </c>
      <c r="F129" s="437">
        <f t="shared" si="11"/>
        <v>723157.8882142856</v>
      </c>
      <c r="H129" s="438"/>
      <c r="I129" s="438"/>
      <c r="J129" s="462"/>
      <c r="K129" s="438">
        <f t="shared" si="12"/>
        <v>92</v>
      </c>
      <c r="L129" s="462"/>
      <c r="M129" s="462"/>
      <c r="N129" s="462"/>
      <c r="O129" s="462"/>
      <c r="P129" s="462"/>
      <c r="Q129" s="462"/>
      <c r="R129" s="462"/>
      <c r="S129" s="462"/>
      <c r="T129" s="462"/>
      <c r="U129" s="462"/>
      <c r="V129" s="462"/>
    </row>
    <row r="130" spans="1:22">
      <c r="A130" s="435">
        <v>46174</v>
      </c>
      <c r="B130" s="436">
        <f t="shared" si="13"/>
        <v>155819.54845238099</v>
      </c>
      <c r="C130" s="436">
        <f t="shared" si="13"/>
        <v>408287.42380952381</v>
      </c>
      <c r="D130" s="436">
        <f>SUM($V$10:V102)</f>
        <v>93380.574999999983</v>
      </c>
      <c r="E130" s="436">
        <f t="shared" si="14"/>
        <v>48235.109999999993</v>
      </c>
      <c r="F130" s="437">
        <f t="shared" si="11"/>
        <v>705722.65726190468</v>
      </c>
      <c r="H130" s="438"/>
      <c r="I130" s="438"/>
      <c r="J130" s="462"/>
      <c r="K130" s="438">
        <f t="shared" si="12"/>
        <v>93</v>
      </c>
      <c r="L130" s="462"/>
      <c r="M130" s="462"/>
      <c r="N130" s="462"/>
      <c r="O130" s="462"/>
      <c r="P130" s="462"/>
      <c r="Q130" s="462"/>
      <c r="R130" s="462"/>
      <c r="S130" s="462"/>
      <c r="T130" s="462"/>
      <c r="U130" s="462"/>
      <c r="V130" s="462"/>
    </row>
    <row r="131" spans="1:22">
      <c r="A131" s="435">
        <v>46204</v>
      </c>
      <c r="B131" s="436">
        <f t="shared" si="13"/>
        <v>138072.44726190477</v>
      </c>
      <c r="C131" s="436">
        <f t="shared" si="13"/>
        <v>387614.6428571429</v>
      </c>
      <c r="D131" s="436">
        <f>SUM($V$10:V103)</f>
        <v>93380.574999999983</v>
      </c>
      <c r="E131" s="436">
        <f t="shared" si="14"/>
        <v>48235.109999999993</v>
      </c>
      <c r="F131" s="437">
        <f t="shared" si="11"/>
        <v>667302.77511904761</v>
      </c>
      <c r="H131" s="438"/>
      <c r="I131" s="438"/>
      <c r="J131" s="462"/>
      <c r="K131" s="438">
        <f t="shared" si="12"/>
        <v>94</v>
      </c>
      <c r="L131" s="462"/>
      <c r="M131" s="462"/>
      <c r="N131" s="462"/>
      <c r="O131" s="462"/>
      <c r="P131" s="462"/>
      <c r="Q131" s="462"/>
      <c r="R131" s="462"/>
      <c r="S131" s="462"/>
      <c r="T131" s="462"/>
      <c r="U131" s="462"/>
      <c r="V131" s="462"/>
    </row>
    <row r="132" spans="1:22">
      <c r="A132" s="435">
        <v>46235</v>
      </c>
      <c r="B132" s="436">
        <f t="shared" si="13"/>
        <v>113226.50559523811</v>
      </c>
      <c r="C132" s="436">
        <f t="shared" si="13"/>
        <v>361773.66666666669</v>
      </c>
      <c r="D132" s="436">
        <f>SUM($V$10:V104)</f>
        <v>93380.574999999983</v>
      </c>
      <c r="E132" s="436">
        <f t="shared" si="14"/>
        <v>48235.109999999993</v>
      </c>
      <c r="F132" s="437">
        <f t="shared" si="11"/>
        <v>616615.85726190475</v>
      </c>
      <c r="H132" s="438"/>
      <c r="I132" s="438"/>
      <c r="J132" s="462"/>
      <c r="K132" s="438">
        <f t="shared" si="12"/>
        <v>95</v>
      </c>
      <c r="L132" s="462"/>
      <c r="M132" s="462"/>
      <c r="N132" s="462"/>
      <c r="O132" s="462"/>
      <c r="P132" s="462"/>
      <c r="Q132" s="462"/>
      <c r="R132" s="462"/>
      <c r="S132" s="462"/>
      <c r="T132" s="462"/>
      <c r="U132" s="462"/>
      <c r="V132" s="462"/>
    </row>
    <row r="133" spans="1:22">
      <c r="A133" s="435">
        <v>46266</v>
      </c>
      <c r="B133" s="436">
        <f t="shared" si="13"/>
        <v>95479.40440476191</v>
      </c>
      <c r="C133" s="436">
        <f t="shared" si="13"/>
        <v>312675.81190476194</v>
      </c>
      <c r="D133" s="436">
        <f>SUM($V$10:V105)</f>
        <v>93380.574999999983</v>
      </c>
      <c r="E133" s="436">
        <f t="shared" si="14"/>
        <v>48235.109999999993</v>
      </c>
      <c r="F133" s="437">
        <f t="shared" si="11"/>
        <v>549770.90130952385</v>
      </c>
      <c r="H133" s="438"/>
      <c r="I133" s="438"/>
      <c r="J133" s="462"/>
      <c r="K133" s="463">
        <f t="shared" si="12"/>
        <v>96</v>
      </c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</row>
    <row r="134" spans="1:22">
      <c r="A134" s="435">
        <v>46296</v>
      </c>
      <c r="B134" s="436">
        <f t="shared" si="13"/>
        <v>59985.202023809528</v>
      </c>
      <c r="C134" s="436">
        <f t="shared" si="13"/>
        <v>67186.538095238095</v>
      </c>
      <c r="D134" s="436">
        <f>SUM(V11:V106)</f>
        <v>74400.783333333326</v>
      </c>
      <c r="E134" s="436">
        <f t="shared" si="14"/>
        <v>48235.109999999993</v>
      </c>
      <c r="F134" s="437">
        <f t="shared" si="11"/>
        <v>249807.63345238095</v>
      </c>
      <c r="H134" s="438"/>
      <c r="I134" s="438"/>
      <c r="J134" s="462"/>
      <c r="K134" s="438">
        <f t="shared" si="12"/>
        <v>97</v>
      </c>
      <c r="L134" s="462"/>
      <c r="M134" s="462"/>
      <c r="N134" s="462"/>
      <c r="O134" s="462"/>
      <c r="P134" s="462"/>
      <c r="Q134" s="462"/>
      <c r="R134" s="462"/>
      <c r="S134" s="462"/>
      <c r="T134" s="462"/>
      <c r="U134" s="462"/>
      <c r="V134" s="462"/>
    </row>
    <row r="135" spans="1:22">
      <c r="A135" s="435">
        <v>46327</v>
      </c>
      <c r="B135" s="436">
        <f t="shared" si="13"/>
        <v>39753.506666666668</v>
      </c>
      <c r="C135" s="436">
        <f t="shared" si="13"/>
        <v>15504.585714285713</v>
      </c>
      <c r="D135" s="436">
        <f t="shared" ref="D135:D166" si="15">SUM(V12:V107)</f>
        <v>70604.825000000012</v>
      </c>
      <c r="E135" s="436">
        <f t="shared" si="14"/>
        <v>48235.109999999993</v>
      </c>
      <c r="F135" s="437">
        <f t="shared" si="11"/>
        <v>174098.02738095238</v>
      </c>
      <c r="H135" s="438"/>
      <c r="I135" s="438"/>
      <c r="J135" s="429"/>
      <c r="K135" s="438">
        <f t="shared" si="12"/>
        <v>98</v>
      </c>
      <c r="L135" s="392"/>
      <c r="M135" s="392"/>
      <c r="N135" s="392"/>
      <c r="O135" s="431"/>
      <c r="P135" s="452"/>
      <c r="Q135" s="452"/>
      <c r="R135" s="452"/>
      <c r="S135" s="392"/>
      <c r="T135" s="445"/>
      <c r="U135" s="445"/>
      <c r="V135" s="445"/>
    </row>
    <row r="136" spans="1:22">
      <c r="A136" s="435">
        <v>46357</v>
      </c>
      <c r="B136" s="436">
        <f t="shared" si="13"/>
        <v>0</v>
      </c>
      <c r="C136" s="436">
        <f t="shared" si="13"/>
        <v>0</v>
      </c>
      <c r="D136" s="436">
        <f t="shared" si="15"/>
        <v>66808.866666666669</v>
      </c>
      <c r="E136" s="436">
        <f t="shared" si="14"/>
        <v>48235.109999999993</v>
      </c>
      <c r="F136" s="437">
        <f t="shared" si="11"/>
        <v>115043.97666666665</v>
      </c>
      <c r="H136" s="438"/>
      <c r="I136" s="438"/>
      <c r="J136" s="429"/>
      <c r="K136" s="438">
        <f t="shared" si="12"/>
        <v>99</v>
      </c>
      <c r="L136" s="392"/>
      <c r="M136" s="392"/>
      <c r="N136" s="392"/>
      <c r="O136" s="431"/>
      <c r="P136" s="452"/>
      <c r="Q136" s="452"/>
      <c r="R136" s="452"/>
      <c r="S136" s="392"/>
      <c r="T136" s="445"/>
      <c r="U136" s="445"/>
      <c r="V136" s="445"/>
    </row>
    <row r="137" spans="1:22">
      <c r="A137" s="435">
        <v>46388</v>
      </c>
      <c r="B137" s="436">
        <f t="shared" si="13"/>
        <v>0</v>
      </c>
      <c r="C137" s="436">
        <f t="shared" si="13"/>
        <v>0</v>
      </c>
      <c r="D137" s="436">
        <f t="shared" si="15"/>
        <v>65670.079166666663</v>
      </c>
      <c r="E137" s="436">
        <f t="shared" si="14"/>
        <v>48235.109999999993</v>
      </c>
      <c r="F137" s="437">
        <f t="shared" si="11"/>
        <v>113905.18916666665</v>
      </c>
      <c r="H137" s="438"/>
      <c r="I137" s="438"/>
      <c r="J137" s="429"/>
      <c r="K137" s="438">
        <f t="shared" si="12"/>
        <v>100</v>
      </c>
      <c r="L137" s="392"/>
      <c r="M137" s="392"/>
      <c r="N137" s="392"/>
      <c r="O137" s="431"/>
      <c r="P137" s="452"/>
      <c r="Q137" s="452"/>
      <c r="R137" s="452"/>
      <c r="S137" s="392"/>
      <c r="T137" s="445"/>
      <c r="U137" s="445"/>
      <c r="V137" s="445"/>
    </row>
    <row r="138" spans="1:22">
      <c r="A138" s="435">
        <v>46419</v>
      </c>
      <c r="B138" s="436">
        <f>SUM(T27:T110)</f>
        <v>0</v>
      </c>
      <c r="C138" s="436">
        <f t="shared" si="13"/>
        <v>0</v>
      </c>
      <c r="D138" s="436">
        <f t="shared" si="15"/>
        <v>63772.1</v>
      </c>
      <c r="E138" s="436">
        <f t="shared" si="14"/>
        <v>48235.109999999993</v>
      </c>
      <c r="F138" s="437">
        <f t="shared" si="11"/>
        <v>112007.20999999999</v>
      </c>
      <c r="H138" s="438"/>
      <c r="I138" s="438"/>
      <c r="J138" s="429"/>
      <c r="K138" s="438">
        <f t="shared" si="12"/>
        <v>101</v>
      </c>
      <c r="L138" s="392"/>
      <c r="M138" s="392"/>
      <c r="N138" s="392"/>
      <c r="O138" s="431"/>
      <c r="P138" s="452"/>
      <c r="Q138" s="452"/>
      <c r="R138" s="452"/>
      <c r="S138" s="392"/>
      <c r="T138" s="445"/>
      <c r="U138" s="445"/>
      <c r="V138" s="445"/>
    </row>
    <row r="139" spans="1:22">
      <c r="A139" s="435">
        <v>46447</v>
      </c>
      <c r="B139" s="436">
        <f t="shared" ref="B139:C150" si="16">SUM(T28:T111)</f>
        <v>0</v>
      </c>
      <c r="C139" s="436">
        <f t="shared" si="16"/>
        <v>0</v>
      </c>
      <c r="D139" s="436">
        <f t="shared" si="15"/>
        <v>59596.545833333337</v>
      </c>
      <c r="E139" s="436">
        <f t="shared" si="14"/>
        <v>48235.109999999993</v>
      </c>
      <c r="F139" s="437">
        <f t="shared" si="11"/>
        <v>107831.65583333332</v>
      </c>
      <c r="H139" s="438"/>
      <c r="I139" s="438"/>
      <c r="J139" s="429"/>
      <c r="K139" s="438">
        <f t="shared" si="12"/>
        <v>102</v>
      </c>
      <c r="L139" s="392"/>
      <c r="M139" s="392"/>
      <c r="N139" s="392"/>
      <c r="O139" s="431"/>
      <c r="P139" s="452"/>
      <c r="Q139" s="452"/>
      <c r="R139" s="452"/>
      <c r="S139" s="392"/>
      <c r="T139" s="445"/>
      <c r="U139" s="445"/>
      <c r="V139" s="445"/>
    </row>
    <row r="140" spans="1:22">
      <c r="A140" s="435">
        <v>46478</v>
      </c>
      <c r="B140" s="436">
        <f t="shared" si="16"/>
        <v>0</v>
      </c>
      <c r="C140" s="436">
        <f t="shared" si="16"/>
        <v>0</v>
      </c>
      <c r="D140" s="436">
        <f t="shared" si="15"/>
        <v>52004.629166666666</v>
      </c>
      <c r="E140" s="436">
        <f t="shared" si="14"/>
        <v>48235.109999999993</v>
      </c>
      <c r="F140" s="437">
        <f t="shared" si="11"/>
        <v>100239.73916666667</v>
      </c>
      <c r="H140" s="438"/>
      <c r="I140" s="438"/>
      <c r="J140" s="429"/>
      <c r="K140" s="438">
        <f t="shared" si="12"/>
        <v>103</v>
      </c>
      <c r="L140" s="392"/>
      <c r="M140" s="392"/>
      <c r="N140" s="392"/>
      <c r="O140" s="431"/>
      <c r="P140" s="452"/>
      <c r="Q140" s="452"/>
      <c r="R140" s="452"/>
      <c r="S140" s="392"/>
      <c r="T140" s="445"/>
      <c r="U140" s="445"/>
      <c r="V140" s="445"/>
    </row>
    <row r="141" spans="1:22">
      <c r="A141" s="435">
        <v>46508</v>
      </c>
      <c r="B141" s="436">
        <f t="shared" si="16"/>
        <v>0</v>
      </c>
      <c r="C141" s="436">
        <f t="shared" si="16"/>
        <v>0</v>
      </c>
      <c r="D141" s="436">
        <f t="shared" si="15"/>
        <v>50106.65</v>
      </c>
      <c r="E141" s="436">
        <f t="shared" si="14"/>
        <v>48235.109999999993</v>
      </c>
      <c r="F141" s="437">
        <f t="shared" si="11"/>
        <v>98341.759999999995</v>
      </c>
      <c r="H141" s="438"/>
      <c r="I141" s="438"/>
      <c r="J141" s="429"/>
      <c r="K141" s="438">
        <f t="shared" si="12"/>
        <v>104</v>
      </c>
      <c r="L141" s="392"/>
      <c r="M141" s="392"/>
      <c r="N141" s="392"/>
      <c r="O141" s="431"/>
      <c r="P141" s="452"/>
      <c r="Q141" s="452"/>
      <c r="R141" s="452"/>
      <c r="S141" s="392"/>
      <c r="T141" s="445"/>
      <c r="U141" s="445"/>
      <c r="V141" s="445"/>
    </row>
    <row r="142" spans="1:22">
      <c r="A142" s="435">
        <v>46539</v>
      </c>
      <c r="B142" s="436">
        <v>0</v>
      </c>
      <c r="C142" s="436">
        <f t="shared" si="16"/>
        <v>0</v>
      </c>
      <c r="D142" s="436">
        <f t="shared" si="15"/>
        <v>48208.670833333337</v>
      </c>
      <c r="E142" s="436">
        <f t="shared" si="14"/>
        <v>48235.109999999993</v>
      </c>
      <c r="F142" s="437">
        <f t="shared" si="11"/>
        <v>96443.780833333323</v>
      </c>
      <c r="H142" s="438"/>
      <c r="I142" s="438"/>
      <c r="J142" s="429"/>
      <c r="K142" s="438">
        <f t="shared" si="12"/>
        <v>105</v>
      </c>
      <c r="L142" s="392"/>
      <c r="M142" s="392"/>
      <c r="N142" s="392"/>
      <c r="O142" s="431"/>
      <c r="P142" s="452"/>
      <c r="Q142" s="452"/>
      <c r="R142" s="452"/>
      <c r="S142" s="392"/>
      <c r="T142" s="445"/>
      <c r="U142" s="445"/>
      <c r="V142" s="445"/>
    </row>
    <row r="143" spans="1:22">
      <c r="A143" s="435">
        <v>46569</v>
      </c>
      <c r="B143" s="436">
        <v>0</v>
      </c>
      <c r="C143" s="436">
        <f t="shared" si="16"/>
        <v>0</v>
      </c>
      <c r="D143" s="436">
        <f t="shared" si="15"/>
        <v>44412.712500000001</v>
      </c>
      <c r="E143" s="436">
        <f t="shared" si="14"/>
        <v>48235.109999999993</v>
      </c>
      <c r="F143" s="437">
        <f t="shared" si="11"/>
        <v>92647.822499999995</v>
      </c>
      <c r="H143" s="438"/>
      <c r="I143" s="438"/>
      <c r="J143" s="429"/>
      <c r="K143" s="438">
        <f t="shared" si="12"/>
        <v>106</v>
      </c>
      <c r="L143" s="392"/>
      <c r="M143" s="392"/>
      <c r="N143" s="392"/>
      <c r="O143" s="431"/>
      <c r="P143" s="452"/>
      <c r="Q143" s="452"/>
      <c r="R143" s="452"/>
      <c r="S143" s="392"/>
      <c r="T143" s="445"/>
      <c r="U143" s="445"/>
      <c r="V143" s="445"/>
    </row>
    <row r="144" spans="1:22">
      <c r="A144" s="435">
        <v>46600</v>
      </c>
      <c r="B144" s="436">
        <v>0</v>
      </c>
      <c r="C144" s="436">
        <f t="shared" si="16"/>
        <v>0</v>
      </c>
      <c r="D144" s="436">
        <f t="shared" si="15"/>
        <v>42514.733333333337</v>
      </c>
      <c r="E144" s="436">
        <f t="shared" si="14"/>
        <v>48235.109999999993</v>
      </c>
      <c r="F144" s="437">
        <f t="shared" si="11"/>
        <v>90749.843333333323</v>
      </c>
      <c r="H144" s="451"/>
      <c r="I144" s="451"/>
      <c r="J144" s="429"/>
      <c r="K144" s="438">
        <f t="shared" si="12"/>
        <v>107</v>
      </c>
      <c r="L144" s="392"/>
      <c r="M144" s="392"/>
      <c r="N144" s="392"/>
      <c r="O144" s="431"/>
      <c r="P144" s="452"/>
      <c r="Q144" s="452"/>
      <c r="R144" s="452"/>
      <c r="S144" s="392"/>
    </row>
    <row r="145" spans="1:28">
      <c r="A145" s="435">
        <v>46631</v>
      </c>
      <c r="B145" s="436">
        <v>0</v>
      </c>
      <c r="C145" s="436">
        <f t="shared" si="16"/>
        <v>0</v>
      </c>
      <c r="D145" s="436">
        <f t="shared" si="15"/>
        <v>40616.754166666666</v>
      </c>
      <c r="E145" s="436">
        <f t="shared" si="14"/>
        <v>48235.109999999993</v>
      </c>
      <c r="F145" s="437">
        <f t="shared" si="11"/>
        <v>88851.864166666666</v>
      </c>
      <c r="H145" s="451"/>
      <c r="I145" s="451"/>
      <c r="J145" s="429"/>
      <c r="K145" s="463">
        <f t="shared" si="12"/>
        <v>108</v>
      </c>
      <c r="L145" s="392"/>
      <c r="M145" s="392"/>
      <c r="N145" s="392"/>
      <c r="O145" s="431"/>
      <c r="P145" s="452"/>
      <c r="Q145" s="452"/>
      <c r="R145" s="452"/>
      <c r="S145" s="392"/>
    </row>
    <row r="146" spans="1:28">
      <c r="A146" s="435">
        <v>46661</v>
      </c>
      <c r="B146" s="436">
        <v>0</v>
      </c>
      <c r="C146" s="436">
        <f t="shared" si="16"/>
        <v>0</v>
      </c>
      <c r="D146" s="436">
        <f t="shared" si="15"/>
        <v>34922.816666666666</v>
      </c>
      <c r="E146" s="436">
        <f>SUM(W10:$W$24)</f>
        <v>48235.109999999993</v>
      </c>
      <c r="F146" s="437">
        <f t="shared" si="11"/>
        <v>83157.926666666666</v>
      </c>
      <c r="H146" s="451"/>
      <c r="I146" s="451"/>
      <c r="J146" s="429"/>
      <c r="K146" s="438">
        <f t="shared" si="12"/>
        <v>109</v>
      </c>
      <c r="L146" s="392"/>
      <c r="M146" s="392"/>
      <c r="N146" s="392"/>
      <c r="O146" s="431"/>
      <c r="P146" s="452"/>
      <c r="Q146" s="452"/>
      <c r="R146" s="452"/>
      <c r="S146" s="392"/>
    </row>
    <row r="147" spans="1:28">
      <c r="A147" s="435">
        <v>46692</v>
      </c>
      <c r="B147" s="436">
        <v>0</v>
      </c>
      <c r="C147" s="436">
        <f t="shared" si="16"/>
        <v>0</v>
      </c>
      <c r="D147" s="436">
        <f t="shared" si="15"/>
        <v>29228.879166666666</v>
      </c>
      <c r="E147" s="436">
        <f>SUM(W11:$W$24)</f>
        <v>38391.209999999992</v>
      </c>
      <c r="F147" s="437">
        <f t="shared" si="11"/>
        <v>67620.089166666658</v>
      </c>
      <c r="H147" s="451"/>
      <c r="I147" s="451"/>
      <c r="J147" s="429"/>
      <c r="K147" s="438">
        <f t="shared" si="12"/>
        <v>110</v>
      </c>
      <c r="L147" s="392"/>
      <c r="M147" s="392"/>
      <c r="N147" s="392"/>
      <c r="O147" s="392"/>
      <c r="P147" s="452"/>
      <c r="Q147" s="452"/>
      <c r="R147" s="452"/>
    </row>
    <row r="148" spans="1:28">
      <c r="A148" s="435">
        <v>46722</v>
      </c>
      <c r="B148" s="436">
        <f>SUM(T36:$T$93)</f>
        <v>0</v>
      </c>
      <c r="C148" s="436">
        <f t="shared" si="16"/>
        <v>0</v>
      </c>
      <c r="D148" s="436">
        <f t="shared" si="15"/>
        <v>0</v>
      </c>
      <c r="E148" s="436">
        <f>SUM(W12:$W$24)</f>
        <v>28547.31</v>
      </c>
      <c r="F148" s="437">
        <f t="shared" si="11"/>
        <v>28547.31</v>
      </c>
      <c r="H148" s="451"/>
      <c r="I148" s="451"/>
      <c r="J148" s="429"/>
      <c r="K148" s="438">
        <f t="shared" si="12"/>
        <v>111</v>
      </c>
      <c r="L148" s="392"/>
      <c r="M148" s="392"/>
      <c r="N148" s="392"/>
      <c r="O148" s="392"/>
      <c r="P148" s="452"/>
      <c r="Q148" s="452"/>
      <c r="R148" s="452"/>
    </row>
    <row r="149" spans="1:28">
      <c r="A149" s="435">
        <v>46753</v>
      </c>
      <c r="B149" s="436">
        <f>SUM(T37:$T$93)</f>
        <v>0</v>
      </c>
      <c r="C149" s="436">
        <f t="shared" si="16"/>
        <v>0</v>
      </c>
      <c r="D149" s="436">
        <f t="shared" si="15"/>
        <v>0</v>
      </c>
      <c r="E149" s="436">
        <f>SUM(W13:$W$24)</f>
        <v>21164.384999999998</v>
      </c>
      <c r="F149" s="437">
        <f t="shared" si="11"/>
        <v>21164.384999999998</v>
      </c>
      <c r="H149" s="451"/>
      <c r="I149" s="451"/>
      <c r="J149" s="429"/>
      <c r="K149" s="438">
        <f t="shared" si="12"/>
        <v>112</v>
      </c>
      <c r="L149" s="392"/>
      <c r="M149" s="392"/>
      <c r="N149" s="392"/>
      <c r="O149" s="392"/>
      <c r="P149" s="452"/>
      <c r="Q149" s="452"/>
      <c r="R149" s="452"/>
    </row>
    <row r="150" spans="1:28">
      <c r="A150" s="435">
        <v>46784</v>
      </c>
      <c r="B150" s="436">
        <f>SUM(T38:$T$93)</f>
        <v>0</v>
      </c>
      <c r="C150" s="436">
        <f t="shared" si="16"/>
        <v>0</v>
      </c>
      <c r="D150" s="436">
        <f t="shared" si="15"/>
        <v>0</v>
      </c>
      <c r="E150" s="436">
        <f>SUM(W14:$W$24)</f>
        <v>13781.46</v>
      </c>
      <c r="F150" s="437">
        <f t="shared" si="11"/>
        <v>13781.46</v>
      </c>
      <c r="H150" s="451"/>
      <c r="I150" s="451"/>
      <c r="J150" s="429"/>
      <c r="K150" s="438">
        <f t="shared" si="12"/>
        <v>113</v>
      </c>
      <c r="L150" s="392"/>
      <c r="M150" s="392"/>
      <c r="N150" s="392"/>
      <c r="O150" s="392"/>
      <c r="P150" s="452"/>
      <c r="Q150" s="452"/>
      <c r="R150" s="452"/>
    </row>
    <row r="151" spans="1:28">
      <c r="A151" s="435">
        <v>46813</v>
      </c>
      <c r="B151" s="436">
        <v>0</v>
      </c>
      <c r="C151" s="436">
        <f>SUM(U39:$U$93)</f>
        <v>0</v>
      </c>
      <c r="D151" s="436">
        <f t="shared" si="15"/>
        <v>0</v>
      </c>
      <c r="E151" s="436">
        <f>SUM(W15:$W$24)</f>
        <v>3937.56</v>
      </c>
      <c r="F151" s="437">
        <f t="shared" si="11"/>
        <v>3937.56</v>
      </c>
      <c r="H151" s="451"/>
      <c r="I151" s="451"/>
      <c r="J151" s="429"/>
      <c r="K151" s="438">
        <f t="shared" si="12"/>
        <v>114</v>
      </c>
      <c r="L151" s="392"/>
      <c r="M151" s="392"/>
      <c r="N151" s="392"/>
      <c r="O151" s="392"/>
      <c r="P151" s="452"/>
      <c r="Q151" s="452"/>
      <c r="R151" s="452"/>
    </row>
    <row r="152" spans="1:28" s="440" customFormat="1">
      <c r="A152" s="435">
        <v>46844</v>
      </c>
      <c r="B152" s="436">
        <v>0</v>
      </c>
      <c r="C152" s="436">
        <f>SUM(U40:$U$93)</f>
        <v>0</v>
      </c>
      <c r="D152" s="436">
        <f t="shared" si="15"/>
        <v>0</v>
      </c>
      <c r="E152" s="436">
        <f>SUM(W16:$W$24)</f>
        <v>0</v>
      </c>
      <c r="F152" s="437">
        <f t="shared" si="11"/>
        <v>0</v>
      </c>
      <c r="H152" s="344"/>
      <c r="I152" s="344"/>
      <c r="J152" s="429"/>
      <c r="K152" s="438">
        <f t="shared" si="12"/>
        <v>115</v>
      </c>
      <c r="L152" s="392"/>
      <c r="M152" s="392"/>
      <c r="N152" s="392"/>
      <c r="O152" s="392"/>
      <c r="P152" s="452"/>
      <c r="Q152" s="452"/>
      <c r="R152" s="452"/>
      <c r="S152" s="344"/>
      <c r="T152" s="344"/>
      <c r="U152" s="344"/>
      <c r="V152" s="344"/>
      <c r="W152" s="344"/>
      <c r="X152" s="344"/>
      <c r="Y152" s="344"/>
      <c r="Z152" s="344"/>
      <c r="AA152" s="344"/>
      <c r="AB152" s="344"/>
    </row>
    <row r="153" spans="1:28" s="440" customFormat="1">
      <c r="A153" s="435">
        <v>46874</v>
      </c>
      <c r="B153" s="436">
        <v>0</v>
      </c>
      <c r="C153" s="436">
        <f>SUM(U41:$U$93)</f>
        <v>0</v>
      </c>
      <c r="D153" s="436">
        <f t="shared" si="15"/>
        <v>0</v>
      </c>
      <c r="E153" s="436">
        <f>SUM(W17:$W$24)</f>
        <v>0</v>
      </c>
      <c r="F153" s="437">
        <f t="shared" si="11"/>
        <v>0</v>
      </c>
      <c r="H153" s="344"/>
      <c r="I153" s="344"/>
      <c r="J153" s="429"/>
      <c r="K153" s="438">
        <f t="shared" si="12"/>
        <v>116</v>
      </c>
      <c r="L153" s="392"/>
      <c r="M153" s="392"/>
      <c r="N153" s="392"/>
      <c r="O153" s="392"/>
      <c r="P153" s="452"/>
      <c r="Q153" s="452"/>
      <c r="R153" s="452"/>
      <c r="S153" s="344"/>
      <c r="T153" s="344"/>
      <c r="U153" s="344"/>
      <c r="V153" s="344"/>
      <c r="W153" s="344"/>
      <c r="X153" s="344"/>
      <c r="Y153" s="344"/>
      <c r="Z153" s="344"/>
      <c r="AA153" s="344"/>
      <c r="AB153" s="344"/>
    </row>
    <row r="154" spans="1:28" s="440" customFormat="1">
      <c r="A154" s="435">
        <v>46905</v>
      </c>
      <c r="B154" s="436">
        <v>0</v>
      </c>
      <c r="C154" s="436">
        <f>SUM(U42:$U$93)</f>
        <v>0</v>
      </c>
      <c r="D154" s="436">
        <f t="shared" si="15"/>
        <v>0</v>
      </c>
      <c r="E154" s="436">
        <f>SUM(W18:$W$24)</f>
        <v>0</v>
      </c>
      <c r="F154" s="437">
        <f t="shared" si="11"/>
        <v>0</v>
      </c>
      <c r="H154" s="344"/>
      <c r="I154" s="344"/>
      <c r="J154" s="429"/>
      <c r="K154" s="438">
        <f t="shared" si="12"/>
        <v>117</v>
      </c>
      <c r="L154" s="392"/>
      <c r="M154" s="392"/>
      <c r="N154" s="392"/>
      <c r="O154" s="392"/>
      <c r="P154" s="452"/>
      <c r="Q154" s="452"/>
      <c r="R154" s="452"/>
      <c r="S154" s="344"/>
      <c r="T154" s="344"/>
      <c r="U154" s="344"/>
      <c r="V154" s="344"/>
      <c r="W154" s="344"/>
      <c r="X154" s="344"/>
      <c r="Y154" s="344"/>
      <c r="Z154" s="344"/>
      <c r="AA154" s="344"/>
      <c r="AB154" s="344"/>
    </row>
    <row r="155" spans="1:28" s="440" customFormat="1">
      <c r="A155" s="435">
        <v>46935</v>
      </c>
      <c r="B155" s="436">
        <v>0</v>
      </c>
      <c r="C155" s="436">
        <v>0</v>
      </c>
      <c r="D155" s="436">
        <f t="shared" si="15"/>
        <v>0</v>
      </c>
      <c r="E155" s="436">
        <f>SUM(W19:$W$24)</f>
        <v>0</v>
      </c>
      <c r="F155" s="437">
        <f t="shared" si="11"/>
        <v>0</v>
      </c>
      <c r="H155" s="344"/>
      <c r="I155" s="344"/>
      <c r="J155" s="429"/>
      <c r="K155" s="438">
        <f t="shared" si="12"/>
        <v>118</v>
      </c>
      <c r="L155" s="392"/>
      <c r="M155" s="392"/>
      <c r="O155" s="392"/>
      <c r="P155" s="452"/>
      <c r="Q155" s="452"/>
      <c r="R155" s="452"/>
      <c r="S155" s="344"/>
      <c r="T155" s="344"/>
      <c r="U155" s="344"/>
      <c r="V155" s="344"/>
      <c r="W155" s="344"/>
      <c r="X155" s="344"/>
      <c r="Y155" s="344"/>
      <c r="Z155" s="344"/>
      <c r="AA155" s="344"/>
      <c r="AB155" s="344"/>
    </row>
    <row r="156" spans="1:28" s="440" customFormat="1">
      <c r="A156" s="435">
        <v>46966</v>
      </c>
      <c r="B156" s="436">
        <v>0</v>
      </c>
      <c r="C156" s="436">
        <v>0</v>
      </c>
      <c r="D156" s="436">
        <f t="shared" si="15"/>
        <v>0</v>
      </c>
      <c r="E156" s="436">
        <f>SUM(W20:$W$24)</f>
        <v>0</v>
      </c>
      <c r="F156" s="437">
        <f t="shared" si="11"/>
        <v>0</v>
      </c>
      <c r="H156" s="344"/>
      <c r="I156" s="344"/>
      <c r="J156" s="429"/>
      <c r="K156" s="438">
        <f t="shared" si="12"/>
        <v>119</v>
      </c>
      <c r="L156" s="392"/>
      <c r="M156" s="392"/>
      <c r="O156" s="392"/>
      <c r="P156" s="452"/>
      <c r="Q156" s="452"/>
      <c r="R156" s="452"/>
      <c r="S156" s="344"/>
      <c r="T156" s="344"/>
      <c r="U156" s="344"/>
      <c r="V156" s="344"/>
      <c r="W156" s="344"/>
      <c r="X156" s="344"/>
      <c r="Y156" s="344"/>
      <c r="Z156" s="344"/>
      <c r="AA156" s="344"/>
      <c r="AB156" s="344"/>
    </row>
    <row r="157" spans="1:28" s="440" customFormat="1">
      <c r="A157" s="435">
        <v>46997</v>
      </c>
      <c r="B157" s="436">
        <v>0</v>
      </c>
      <c r="C157" s="436">
        <v>0</v>
      </c>
      <c r="D157" s="436">
        <f t="shared" si="15"/>
        <v>0</v>
      </c>
      <c r="E157" s="436">
        <f>SUM(W21:$W$24)</f>
        <v>0</v>
      </c>
      <c r="F157" s="437">
        <f t="shared" si="11"/>
        <v>0</v>
      </c>
      <c r="H157" s="344"/>
      <c r="I157" s="344"/>
      <c r="J157" s="429"/>
      <c r="K157" s="438"/>
      <c r="L157" s="392"/>
      <c r="M157" s="392"/>
      <c r="O157" s="392"/>
      <c r="P157" s="452"/>
      <c r="Q157" s="452"/>
      <c r="R157" s="452"/>
      <c r="S157" s="344"/>
      <c r="T157" s="344"/>
      <c r="U157" s="344"/>
      <c r="V157" s="344"/>
      <c r="W157" s="344"/>
      <c r="X157" s="344"/>
      <c r="Y157" s="344"/>
      <c r="Z157" s="344"/>
      <c r="AA157" s="344"/>
      <c r="AB157" s="344"/>
    </row>
    <row r="158" spans="1:28" s="440" customFormat="1">
      <c r="A158" s="435">
        <v>47027</v>
      </c>
      <c r="B158" s="436">
        <v>0</v>
      </c>
      <c r="C158" s="436">
        <v>0</v>
      </c>
      <c r="D158" s="436">
        <f t="shared" si="15"/>
        <v>0</v>
      </c>
      <c r="E158" s="436">
        <f>SUM(W22:$W$24)</f>
        <v>0</v>
      </c>
      <c r="F158" s="437">
        <f t="shared" si="11"/>
        <v>0</v>
      </c>
      <c r="H158" s="344"/>
      <c r="I158" s="344"/>
      <c r="J158" s="429"/>
      <c r="K158" s="438"/>
      <c r="L158" s="392"/>
      <c r="M158" s="392"/>
      <c r="O158" s="392"/>
      <c r="P158" s="452"/>
      <c r="Q158" s="452"/>
      <c r="R158" s="452"/>
      <c r="S158" s="344"/>
      <c r="T158" s="344"/>
      <c r="U158" s="344"/>
      <c r="V158" s="344"/>
      <c r="W158" s="344"/>
      <c r="X158" s="344"/>
      <c r="Y158" s="344"/>
      <c r="Z158" s="344"/>
      <c r="AA158" s="344"/>
      <c r="AB158" s="344"/>
    </row>
    <row r="159" spans="1:28" s="440" customFormat="1">
      <c r="A159" s="435">
        <v>47058</v>
      </c>
      <c r="B159" s="436">
        <v>0</v>
      </c>
      <c r="C159" s="436">
        <v>0</v>
      </c>
      <c r="D159" s="436">
        <f t="shared" si="15"/>
        <v>0</v>
      </c>
      <c r="E159" s="436">
        <f>SUM(W23:$W$24)</f>
        <v>0</v>
      </c>
      <c r="F159" s="437">
        <f t="shared" si="11"/>
        <v>0</v>
      </c>
      <c r="H159" s="344"/>
      <c r="I159" s="344"/>
      <c r="J159" s="429"/>
      <c r="K159" s="438"/>
      <c r="L159" s="392"/>
      <c r="M159" s="392"/>
      <c r="O159" s="392"/>
      <c r="P159" s="452"/>
      <c r="Q159" s="452"/>
      <c r="R159" s="452"/>
      <c r="S159" s="344"/>
      <c r="T159" s="344"/>
      <c r="U159" s="344"/>
      <c r="V159" s="344"/>
      <c r="W159" s="344"/>
      <c r="X159" s="344"/>
      <c r="Y159" s="344"/>
      <c r="Z159" s="344"/>
      <c r="AA159" s="344"/>
      <c r="AB159" s="344"/>
    </row>
    <row r="160" spans="1:28" s="440" customFormat="1">
      <c r="A160" s="435">
        <v>47088</v>
      </c>
      <c r="B160" s="436">
        <v>0</v>
      </c>
      <c r="C160" s="436">
        <v>0</v>
      </c>
      <c r="D160" s="436">
        <f t="shared" si="15"/>
        <v>0</v>
      </c>
      <c r="E160" s="436">
        <f>SUM(W24:$W$24)</f>
        <v>0</v>
      </c>
      <c r="F160" s="437">
        <f t="shared" si="11"/>
        <v>0</v>
      </c>
      <c r="H160" s="344"/>
      <c r="I160" s="344"/>
      <c r="J160" s="429"/>
      <c r="K160" s="438"/>
      <c r="L160" s="392"/>
      <c r="M160" s="392"/>
      <c r="O160" s="392"/>
      <c r="P160" s="452"/>
      <c r="Q160" s="452"/>
      <c r="R160" s="452"/>
      <c r="S160" s="344"/>
      <c r="T160" s="344"/>
      <c r="U160" s="344"/>
      <c r="V160" s="344"/>
      <c r="W160" s="344"/>
      <c r="X160" s="344"/>
      <c r="Y160" s="344"/>
      <c r="Z160" s="344"/>
      <c r="AA160" s="344"/>
      <c r="AB160" s="344"/>
    </row>
    <row r="161" spans="1:28" s="440" customFormat="1">
      <c r="A161" s="435">
        <v>47119</v>
      </c>
      <c r="B161" s="436">
        <v>0</v>
      </c>
      <c r="C161" s="436">
        <v>0</v>
      </c>
      <c r="D161" s="436">
        <f t="shared" si="15"/>
        <v>0</v>
      </c>
      <c r="E161" s="436">
        <f>SUM(W$24:$W25)</f>
        <v>0</v>
      </c>
      <c r="F161" s="437">
        <f t="shared" si="11"/>
        <v>0</v>
      </c>
      <c r="H161" s="344"/>
      <c r="I161" s="344"/>
      <c r="J161" s="429"/>
      <c r="K161" s="438"/>
      <c r="L161" s="392"/>
      <c r="M161" s="392"/>
      <c r="O161" s="392"/>
      <c r="P161" s="452"/>
      <c r="Q161" s="452"/>
      <c r="R161" s="452"/>
      <c r="S161" s="344"/>
      <c r="T161" s="344"/>
      <c r="U161" s="344"/>
      <c r="V161" s="344"/>
      <c r="W161" s="344"/>
      <c r="X161" s="344"/>
      <c r="Y161" s="344"/>
      <c r="Z161" s="344"/>
      <c r="AA161" s="344"/>
      <c r="AB161" s="344"/>
    </row>
    <row r="162" spans="1:28" s="440" customFormat="1">
      <c r="A162" s="435">
        <v>47150</v>
      </c>
      <c r="B162" s="436">
        <v>0</v>
      </c>
      <c r="C162" s="436">
        <v>0</v>
      </c>
      <c r="D162" s="436">
        <f t="shared" si="15"/>
        <v>0</v>
      </c>
      <c r="E162" s="436">
        <f>SUM(W$24:$W26)</f>
        <v>0</v>
      </c>
      <c r="F162" s="437">
        <f t="shared" si="11"/>
        <v>0</v>
      </c>
      <c r="H162" s="344"/>
      <c r="I162" s="344"/>
      <c r="J162" s="429"/>
      <c r="K162" s="438"/>
      <c r="L162" s="392"/>
      <c r="M162" s="392"/>
      <c r="O162" s="392"/>
      <c r="P162" s="452"/>
      <c r="Q162" s="452"/>
      <c r="R162" s="452"/>
      <c r="S162" s="344"/>
      <c r="T162" s="344"/>
      <c r="U162" s="344"/>
      <c r="V162" s="344"/>
      <c r="W162" s="344"/>
      <c r="X162" s="344"/>
      <c r="Y162" s="344"/>
      <c r="Z162" s="344"/>
      <c r="AA162" s="344"/>
      <c r="AB162" s="344"/>
    </row>
    <row r="163" spans="1:28" s="440" customFormat="1">
      <c r="A163" s="435">
        <v>47178</v>
      </c>
      <c r="B163" s="436">
        <v>0</v>
      </c>
      <c r="C163" s="436">
        <v>0</v>
      </c>
      <c r="D163" s="436">
        <f t="shared" si="15"/>
        <v>0</v>
      </c>
      <c r="E163" s="436">
        <f>SUM(W$24:$W27)</f>
        <v>0</v>
      </c>
      <c r="F163" s="437">
        <f t="shared" si="11"/>
        <v>0</v>
      </c>
      <c r="H163" s="344"/>
      <c r="I163" s="344"/>
      <c r="J163" s="429"/>
      <c r="K163" s="438"/>
      <c r="L163" s="392"/>
      <c r="M163" s="392"/>
      <c r="O163" s="392"/>
      <c r="P163" s="452"/>
      <c r="Q163" s="452"/>
      <c r="R163" s="452"/>
      <c r="S163" s="344"/>
      <c r="T163" s="344"/>
      <c r="U163" s="344"/>
      <c r="V163" s="344"/>
      <c r="W163" s="344"/>
      <c r="X163" s="344"/>
      <c r="Y163" s="344"/>
      <c r="Z163" s="344"/>
      <c r="AA163" s="344"/>
      <c r="AB163" s="344"/>
    </row>
    <row r="164" spans="1:28" s="440" customFormat="1">
      <c r="A164" s="435">
        <v>47209</v>
      </c>
      <c r="B164" s="436">
        <v>0</v>
      </c>
      <c r="C164" s="436">
        <v>0</v>
      </c>
      <c r="D164" s="436">
        <f t="shared" si="15"/>
        <v>0</v>
      </c>
      <c r="E164" s="436">
        <f>SUM(W$24:$W28)</f>
        <v>0</v>
      </c>
      <c r="F164" s="437">
        <f t="shared" si="11"/>
        <v>0</v>
      </c>
      <c r="H164" s="344"/>
      <c r="I164" s="344"/>
      <c r="J164" s="429"/>
      <c r="K164" s="438"/>
      <c r="L164" s="392"/>
      <c r="M164" s="392"/>
      <c r="O164" s="392"/>
      <c r="P164" s="452"/>
      <c r="Q164" s="452"/>
      <c r="R164" s="452"/>
      <c r="S164" s="344"/>
      <c r="T164" s="344"/>
      <c r="U164" s="344"/>
      <c r="V164" s="344"/>
      <c r="W164" s="344"/>
      <c r="X164" s="344"/>
      <c r="Y164" s="344"/>
      <c r="Z164" s="344"/>
      <c r="AA164" s="344"/>
      <c r="AB164" s="344"/>
    </row>
    <row r="165" spans="1:28" s="440" customFormat="1">
      <c r="A165" s="435">
        <v>47239</v>
      </c>
      <c r="B165" s="436">
        <v>0</v>
      </c>
      <c r="C165" s="436">
        <v>0</v>
      </c>
      <c r="D165" s="436">
        <f t="shared" si="15"/>
        <v>0</v>
      </c>
      <c r="E165" s="436">
        <f>SUM(W$24:$W29)</f>
        <v>0</v>
      </c>
      <c r="F165" s="437">
        <f t="shared" si="11"/>
        <v>0</v>
      </c>
      <c r="H165" s="344"/>
      <c r="I165" s="344"/>
      <c r="J165" s="429"/>
      <c r="K165" s="438"/>
      <c r="L165" s="392"/>
      <c r="M165" s="392"/>
      <c r="O165" s="392"/>
      <c r="P165" s="452"/>
      <c r="Q165" s="452"/>
      <c r="R165" s="452"/>
      <c r="S165" s="344"/>
      <c r="T165" s="344"/>
      <c r="U165" s="344"/>
      <c r="V165" s="344"/>
      <c r="W165" s="344"/>
      <c r="X165" s="344"/>
      <c r="Y165" s="344"/>
      <c r="Z165" s="344"/>
      <c r="AA165" s="344"/>
      <c r="AB165" s="344"/>
    </row>
    <row r="166" spans="1:28" s="440" customFormat="1">
      <c r="A166" s="435">
        <v>47270</v>
      </c>
      <c r="B166" s="436">
        <v>0</v>
      </c>
      <c r="C166" s="436">
        <v>0</v>
      </c>
      <c r="D166" s="436">
        <f t="shared" si="15"/>
        <v>0</v>
      </c>
      <c r="E166" s="436">
        <f>SUM(W$24:$W30)</f>
        <v>0</v>
      </c>
      <c r="F166" s="437">
        <f t="shared" ref="F166" si="17">SUM(B166:E166)</f>
        <v>0</v>
      </c>
      <c r="H166" s="344"/>
      <c r="I166" s="344"/>
      <c r="J166" s="429"/>
      <c r="K166" s="438"/>
      <c r="L166" s="392"/>
      <c r="M166" s="392"/>
      <c r="O166" s="392"/>
      <c r="P166" s="452"/>
      <c r="Q166" s="452"/>
      <c r="R166" s="452"/>
      <c r="S166" s="344"/>
      <c r="T166" s="344"/>
      <c r="U166" s="344"/>
      <c r="V166" s="344"/>
      <c r="W166" s="344"/>
      <c r="X166" s="344"/>
      <c r="Y166" s="344"/>
      <c r="Z166" s="344"/>
      <c r="AA166" s="344"/>
      <c r="AB166" s="344"/>
    </row>
    <row r="167" spans="1:28" s="440" customFormat="1">
      <c r="A167" s="464"/>
      <c r="B167" s="465"/>
      <c r="C167" s="465"/>
      <c r="D167" s="465"/>
      <c r="E167" s="465"/>
      <c r="F167" s="466"/>
      <c r="H167" s="344"/>
      <c r="I167" s="344"/>
      <c r="J167" s="429"/>
      <c r="K167" s="438"/>
      <c r="L167" s="392"/>
      <c r="M167" s="392"/>
      <c r="O167" s="392"/>
      <c r="P167" s="452"/>
      <c r="Q167" s="452"/>
      <c r="R167" s="452"/>
      <c r="S167" s="344"/>
      <c r="T167" s="344"/>
      <c r="U167" s="344"/>
      <c r="V167" s="344"/>
      <c r="W167" s="344"/>
      <c r="X167" s="344"/>
      <c r="Y167" s="344"/>
      <c r="Z167" s="344"/>
      <c r="AA167" s="344"/>
      <c r="AB167" s="344"/>
    </row>
    <row r="168" spans="1:28" s="440" customFormat="1">
      <c r="A168" s="464"/>
      <c r="B168" s="465"/>
      <c r="C168" s="465"/>
      <c r="D168" s="465"/>
      <c r="E168" s="465"/>
      <c r="F168" s="466"/>
      <c r="H168" s="344"/>
      <c r="I168" s="344"/>
      <c r="J168" s="429"/>
      <c r="K168" s="438"/>
      <c r="L168" s="392"/>
      <c r="M168" s="392"/>
      <c r="O168" s="392"/>
      <c r="P168" s="452"/>
      <c r="Q168" s="452"/>
      <c r="R168" s="452"/>
      <c r="S168" s="344"/>
      <c r="T168" s="344"/>
      <c r="U168" s="344"/>
      <c r="V168" s="344"/>
      <c r="W168" s="344"/>
      <c r="X168" s="344"/>
      <c r="Y168" s="344"/>
      <c r="Z168" s="344"/>
      <c r="AA168" s="344"/>
      <c r="AB168" s="344"/>
    </row>
    <row r="169" spans="1:28" s="440" customFormat="1">
      <c r="A169" s="429"/>
      <c r="B169" s="354">
        <f>SUM(B38:B153)</f>
        <v>33482390.990000024</v>
      </c>
      <c r="C169" s="354">
        <f t="shared" ref="C169:F169" si="18">SUM(C38:C156)</f>
        <v>79488910.040000111</v>
      </c>
      <c r="D169" s="354">
        <f t="shared" si="18"/>
        <v>8964535.2000000086</v>
      </c>
      <c r="E169" s="354">
        <f t="shared" si="18"/>
        <v>5219235.7800000021</v>
      </c>
      <c r="F169" s="354">
        <f t="shared" si="18"/>
        <v>127155072.00999998</v>
      </c>
      <c r="G169" s="344"/>
      <c r="H169" s="344"/>
      <c r="I169" s="344"/>
      <c r="J169" s="429"/>
      <c r="K169" s="392"/>
      <c r="L169" s="392"/>
      <c r="M169" s="392"/>
      <c r="O169" s="392"/>
      <c r="P169" s="452"/>
      <c r="Q169" s="452"/>
      <c r="R169" s="452"/>
      <c r="S169" s="344"/>
      <c r="T169" s="344"/>
      <c r="U169" s="344"/>
      <c r="V169" s="344"/>
      <c r="W169" s="344"/>
      <c r="X169" s="344"/>
      <c r="Y169" s="344"/>
      <c r="Z169" s="344"/>
      <c r="AA169" s="344"/>
      <c r="AB169" s="344"/>
    </row>
    <row r="170" spans="1:28" s="440" customFormat="1">
      <c r="A170" s="429"/>
      <c r="B170" s="354">
        <f>+B169-K30</f>
        <v>0</v>
      </c>
      <c r="C170" s="354">
        <f>+C169-L30</f>
        <v>1.1920928955078125E-7</v>
      </c>
      <c r="D170" s="354">
        <f>+D169-M30</f>
        <v>0</v>
      </c>
      <c r="E170" s="354">
        <f>+E169-N30</f>
        <v>9843.9000000031665</v>
      </c>
      <c r="F170" s="467">
        <f>+F169-O30</f>
        <v>9843.9000000059605</v>
      </c>
      <c r="G170" s="344"/>
      <c r="H170" s="344"/>
      <c r="I170" s="344"/>
      <c r="J170" s="429"/>
      <c r="K170" s="392"/>
      <c r="L170" s="392"/>
      <c r="M170" s="392"/>
      <c r="O170" s="392"/>
      <c r="P170" s="452"/>
      <c r="Q170" s="452"/>
      <c r="R170" s="452"/>
      <c r="S170" s="344"/>
      <c r="T170" s="344"/>
      <c r="U170" s="344"/>
      <c r="V170" s="344"/>
      <c r="W170" s="344"/>
      <c r="X170" s="344"/>
      <c r="Y170" s="344"/>
      <c r="Z170" s="344"/>
      <c r="AA170" s="344"/>
      <c r="AB170" s="344"/>
    </row>
    <row r="171" spans="1:28" s="440" customFormat="1">
      <c r="A171" s="344"/>
      <c r="B171" s="354"/>
      <c r="C171" s="354"/>
      <c r="D171" s="354"/>
      <c r="E171" s="354"/>
      <c r="F171" s="467"/>
      <c r="G171" s="344"/>
      <c r="H171" s="344"/>
      <c r="I171" s="344"/>
      <c r="J171" s="429"/>
      <c r="K171" s="392"/>
      <c r="L171" s="392"/>
      <c r="M171" s="392"/>
      <c r="O171" s="392"/>
      <c r="P171" s="452"/>
      <c r="Q171" s="452"/>
      <c r="R171" s="452"/>
      <c r="S171" s="344"/>
      <c r="T171" s="344"/>
      <c r="U171" s="344"/>
      <c r="V171" s="344"/>
      <c r="W171" s="344"/>
      <c r="X171" s="344"/>
      <c r="Y171" s="344"/>
      <c r="Z171" s="344"/>
      <c r="AA171" s="344"/>
      <c r="AB171" s="344"/>
    </row>
    <row r="172" spans="1:28" s="440" customFormat="1">
      <c r="A172" s="344"/>
      <c r="B172" s="354"/>
      <c r="C172" s="354"/>
      <c r="D172" s="354"/>
      <c r="E172" s="354"/>
      <c r="F172" s="467"/>
      <c r="G172" s="344"/>
      <c r="H172" s="344"/>
      <c r="I172" s="344"/>
      <c r="J172" s="344"/>
      <c r="K172" s="392"/>
      <c r="L172" s="392"/>
      <c r="M172" s="392"/>
      <c r="N172" s="344"/>
      <c r="O172" s="392"/>
      <c r="P172" s="452"/>
      <c r="Q172" s="452"/>
      <c r="R172" s="452"/>
      <c r="S172" s="344"/>
      <c r="T172" s="344"/>
      <c r="U172" s="344"/>
      <c r="V172" s="344"/>
      <c r="W172" s="344"/>
      <c r="X172" s="344"/>
      <c r="Y172" s="344"/>
      <c r="Z172" s="344"/>
      <c r="AA172" s="344"/>
      <c r="AB172" s="344"/>
    </row>
    <row r="173" spans="1:28" s="440" customFormat="1">
      <c r="A173" s="344"/>
      <c r="B173" s="354"/>
      <c r="C173" s="354"/>
      <c r="D173" s="354"/>
      <c r="E173" s="354"/>
      <c r="F173" s="467"/>
      <c r="G173" s="344"/>
      <c r="H173" s="344"/>
      <c r="I173" s="344"/>
      <c r="J173" s="344"/>
      <c r="K173" s="468"/>
      <c r="L173" s="468"/>
      <c r="M173" s="468"/>
      <c r="N173" s="468"/>
      <c r="O173" s="468"/>
      <c r="P173" s="452"/>
      <c r="Q173" s="452"/>
      <c r="R173" s="452"/>
      <c r="S173" s="344"/>
      <c r="T173" s="344"/>
      <c r="U173" s="344"/>
      <c r="V173" s="344"/>
      <c r="W173" s="344"/>
      <c r="X173" s="344"/>
      <c r="Y173" s="344"/>
      <c r="Z173" s="344"/>
      <c r="AA173" s="344"/>
      <c r="AB173" s="344"/>
    </row>
    <row r="174" spans="1:28" s="440" customFormat="1">
      <c r="A174" s="344"/>
      <c r="B174" s="354"/>
      <c r="C174" s="354"/>
      <c r="D174" s="354"/>
      <c r="E174" s="354"/>
      <c r="F174" s="467"/>
      <c r="G174" s="344"/>
      <c r="H174" s="344"/>
      <c r="I174" s="344"/>
      <c r="J174" s="344"/>
      <c r="K174" s="451"/>
      <c r="L174" s="451"/>
      <c r="M174" s="451"/>
      <c r="N174" s="451"/>
      <c r="O174" s="451"/>
      <c r="P174" s="452"/>
      <c r="Q174" s="452"/>
      <c r="R174" s="452"/>
      <c r="S174" s="344"/>
      <c r="T174" s="344"/>
      <c r="U174" s="344"/>
      <c r="V174" s="344"/>
      <c r="W174" s="344"/>
      <c r="X174" s="344"/>
      <c r="Y174" s="344"/>
      <c r="Z174" s="344"/>
      <c r="AA174" s="344"/>
      <c r="AB174" s="344"/>
    </row>
    <row r="175" spans="1:28" s="440" customFormat="1">
      <c r="A175" s="344"/>
      <c r="B175" s="354"/>
      <c r="C175" s="354"/>
      <c r="D175" s="354"/>
      <c r="E175" s="354"/>
      <c r="F175" s="467"/>
      <c r="G175" s="344"/>
      <c r="H175" s="344"/>
      <c r="I175" s="344"/>
      <c r="J175" s="344"/>
      <c r="K175" s="431"/>
      <c r="L175" s="431"/>
      <c r="M175" s="431"/>
      <c r="N175" s="344"/>
      <c r="O175" s="344"/>
      <c r="P175" s="344"/>
      <c r="Q175" s="344"/>
      <c r="R175" s="344"/>
      <c r="S175" s="344"/>
      <c r="T175" s="344"/>
      <c r="U175" s="344"/>
      <c r="V175" s="344"/>
      <c r="W175" s="344"/>
      <c r="X175" s="344"/>
      <c r="Y175" s="344"/>
      <c r="Z175" s="344"/>
      <c r="AA175" s="344"/>
      <c r="AB175" s="344"/>
    </row>
    <row r="176" spans="1:28" s="440" customFormat="1">
      <c r="A176" s="344"/>
      <c r="B176" s="354"/>
      <c r="C176" s="354"/>
      <c r="D176" s="354"/>
      <c r="E176" s="354"/>
      <c r="F176" s="467"/>
      <c r="G176" s="344"/>
      <c r="H176" s="344"/>
      <c r="I176" s="344"/>
      <c r="J176" s="344"/>
      <c r="K176" s="431"/>
      <c r="L176" s="431"/>
      <c r="M176" s="431"/>
      <c r="N176" s="344"/>
      <c r="O176" s="344"/>
      <c r="P176" s="344"/>
      <c r="Q176" s="344"/>
      <c r="R176" s="344"/>
      <c r="S176" s="344"/>
      <c r="T176" s="344"/>
      <c r="U176" s="344"/>
      <c r="V176" s="344"/>
      <c r="W176" s="344"/>
      <c r="X176" s="344"/>
      <c r="Y176" s="344"/>
      <c r="Z176" s="344"/>
      <c r="AA176" s="344"/>
      <c r="AB176" s="344"/>
    </row>
    <row r="177" spans="1:28" s="440" customFormat="1">
      <c r="A177" s="344"/>
      <c r="B177" s="354"/>
      <c r="C177" s="354"/>
      <c r="D177" s="354"/>
      <c r="E177" s="354"/>
      <c r="F177" s="467"/>
      <c r="G177" s="344"/>
      <c r="H177" s="344"/>
      <c r="I177" s="344"/>
      <c r="J177" s="344"/>
      <c r="K177" s="431"/>
      <c r="L177" s="431"/>
      <c r="M177" s="431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344"/>
      <c r="AB177" s="344"/>
    </row>
    <row r="178" spans="1:28" s="440" customFormat="1">
      <c r="A178" s="344"/>
      <c r="B178" s="354"/>
      <c r="C178" s="354"/>
      <c r="D178" s="354"/>
      <c r="E178" s="354"/>
      <c r="F178" s="467"/>
      <c r="G178" s="344"/>
      <c r="H178" s="344"/>
      <c r="I178" s="344"/>
      <c r="J178" s="344"/>
      <c r="K178" s="431"/>
      <c r="L178" s="431"/>
      <c r="M178" s="431"/>
      <c r="N178" s="344"/>
      <c r="O178" s="451"/>
      <c r="P178" s="344"/>
      <c r="Q178" s="344"/>
      <c r="R178" s="344"/>
      <c r="S178" s="344"/>
      <c r="T178" s="344"/>
      <c r="U178" s="344"/>
      <c r="V178" s="344"/>
      <c r="W178" s="344"/>
      <c r="X178" s="344"/>
      <c r="Y178" s="344"/>
      <c r="Z178" s="344"/>
      <c r="AA178" s="344"/>
      <c r="AB178" s="344"/>
    </row>
    <row r="179" spans="1:28" s="440" customFormat="1">
      <c r="A179" s="344"/>
      <c r="B179" s="354"/>
      <c r="C179" s="354"/>
      <c r="D179" s="354"/>
      <c r="E179" s="354"/>
      <c r="F179" s="467"/>
      <c r="G179" s="344"/>
      <c r="H179" s="344"/>
      <c r="I179" s="344"/>
      <c r="J179" s="344"/>
      <c r="K179" s="344"/>
      <c r="L179" s="344"/>
      <c r="M179" s="344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  <c r="AA179" s="344"/>
      <c r="AB179" s="344"/>
    </row>
    <row r="180" spans="1:28" s="440" customFormat="1">
      <c r="A180" s="344"/>
      <c r="B180" s="354"/>
      <c r="C180" s="354"/>
      <c r="D180" s="354"/>
      <c r="E180" s="354"/>
      <c r="F180" s="467"/>
      <c r="G180" s="344"/>
      <c r="H180" s="344"/>
      <c r="I180" s="344"/>
      <c r="J180" s="344"/>
      <c r="K180" s="344"/>
      <c r="L180" s="344"/>
      <c r="M180" s="344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  <c r="AA180" s="344"/>
      <c r="AB180" s="344"/>
    </row>
    <row r="181" spans="1:28" s="440" customFormat="1">
      <c r="A181" s="344"/>
      <c r="B181" s="354"/>
      <c r="C181" s="354"/>
      <c r="D181" s="354"/>
      <c r="E181" s="354"/>
      <c r="F181" s="467"/>
      <c r="G181" s="344"/>
      <c r="H181" s="344"/>
      <c r="I181" s="344"/>
      <c r="J181" s="344"/>
      <c r="K181" s="344"/>
      <c r="L181" s="344"/>
      <c r="M181" s="344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  <c r="AA181" s="344"/>
      <c r="AB181" s="344"/>
    </row>
    <row r="182" spans="1:28" s="440" customFormat="1">
      <c r="A182" s="344"/>
      <c r="B182" s="354"/>
      <c r="C182" s="354"/>
      <c r="D182" s="354"/>
      <c r="E182" s="354"/>
      <c r="F182" s="467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  <c r="AA182" s="344"/>
      <c r="AB182" s="344"/>
    </row>
    <row r="183" spans="1:28" s="440" customFormat="1">
      <c r="A183" s="344"/>
      <c r="B183" s="354"/>
      <c r="C183" s="354"/>
      <c r="D183" s="354"/>
      <c r="E183" s="354"/>
      <c r="F183" s="467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  <c r="AA183" s="344"/>
      <c r="AB183" s="344"/>
    </row>
    <row r="184" spans="1:28" s="440" customFormat="1">
      <c r="A184" s="344"/>
      <c r="B184" s="354"/>
      <c r="C184" s="354"/>
      <c r="D184" s="354"/>
      <c r="E184" s="354"/>
      <c r="F184" s="467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  <c r="AA184" s="344"/>
      <c r="AB184" s="344"/>
    </row>
    <row r="185" spans="1:28" s="440" customFormat="1">
      <c r="A185" s="344"/>
      <c r="B185" s="354"/>
      <c r="C185" s="354"/>
      <c r="D185" s="354"/>
      <c r="E185" s="354"/>
      <c r="F185" s="467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  <c r="AA185" s="344"/>
      <c r="AB185" s="344"/>
    </row>
    <row r="186" spans="1:28" s="440" customFormat="1">
      <c r="A186" s="344"/>
      <c r="B186" s="354"/>
      <c r="C186" s="354"/>
      <c r="D186" s="354"/>
      <c r="E186" s="354"/>
      <c r="F186" s="467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344"/>
      <c r="AB186" s="344"/>
    </row>
    <row r="187" spans="1:28" s="440" customFormat="1">
      <c r="A187" s="344"/>
      <c r="B187" s="354"/>
      <c r="C187" s="354"/>
      <c r="D187" s="354"/>
      <c r="E187" s="354"/>
      <c r="F187" s="467"/>
      <c r="G187" s="344"/>
      <c r="H187" s="344"/>
      <c r="I187" s="344"/>
      <c r="J187" s="344"/>
      <c r="K187" s="344"/>
      <c r="L187" s="344"/>
      <c r="M187" s="344"/>
      <c r="N187" s="344"/>
      <c r="O187" s="344"/>
      <c r="P187" s="344"/>
      <c r="Q187" s="344"/>
      <c r="R187" s="344"/>
      <c r="S187" s="344"/>
      <c r="T187" s="344"/>
      <c r="U187" s="344"/>
      <c r="V187" s="344"/>
      <c r="W187" s="344"/>
      <c r="X187" s="344"/>
      <c r="Y187" s="344"/>
      <c r="Z187" s="344"/>
      <c r="AA187" s="344"/>
      <c r="AB187" s="344"/>
    </row>
    <row r="188" spans="1:28" s="440" customFormat="1">
      <c r="A188" s="344"/>
      <c r="B188" s="354"/>
      <c r="C188" s="354"/>
      <c r="D188" s="354"/>
      <c r="E188" s="354"/>
      <c r="F188" s="467"/>
      <c r="G188" s="344"/>
      <c r="H188" s="344"/>
      <c r="I188" s="344"/>
      <c r="J188" s="344"/>
      <c r="K188" s="344"/>
      <c r="L188" s="344"/>
      <c r="M188" s="344"/>
      <c r="N188" s="344"/>
      <c r="O188" s="344"/>
      <c r="P188" s="344"/>
      <c r="Q188" s="344"/>
      <c r="R188" s="344"/>
      <c r="S188" s="344"/>
      <c r="T188" s="344"/>
      <c r="U188" s="344"/>
      <c r="V188" s="344"/>
      <c r="W188" s="344"/>
      <c r="X188" s="344"/>
      <c r="Y188" s="344"/>
      <c r="Z188" s="344"/>
      <c r="AA188" s="344"/>
      <c r="AB188" s="344"/>
    </row>
    <row r="189" spans="1:28" s="440" customFormat="1">
      <c r="A189" s="344"/>
      <c r="B189" s="354"/>
      <c r="C189" s="354"/>
      <c r="D189" s="354"/>
      <c r="E189" s="354"/>
      <c r="F189" s="467"/>
      <c r="G189" s="344"/>
      <c r="H189" s="344"/>
      <c r="I189" s="344"/>
      <c r="J189" s="344"/>
      <c r="K189" s="344"/>
      <c r="L189" s="344"/>
      <c r="M189" s="344"/>
      <c r="N189" s="344"/>
      <c r="O189" s="344"/>
      <c r="P189" s="344"/>
      <c r="Q189" s="344"/>
      <c r="R189" s="344"/>
      <c r="S189" s="344"/>
      <c r="T189" s="344"/>
      <c r="U189" s="344"/>
      <c r="V189" s="344"/>
      <c r="W189" s="344"/>
      <c r="X189" s="344"/>
      <c r="Y189" s="344"/>
      <c r="Z189" s="344"/>
      <c r="AA189" s="344"/>
      <c r="AB189" s="344"/>
    </row>
    <row r="190" spans="1:28" s="440" customFormat="1">
      <c r="A190" s="344"/>
      <c r="B190" s="354"/>
      <c r="C190" s="354"/>
      <c r="D190" s="354"/>
      <c r="E190" s="354"/>
      <c r="F190" s="467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344"/>
      <c r="AB190" s="344"/>
    </row>
    <row r="191" spans="1:28" s="440" customFormat="1">
      <c r="A191" s="344"/>
      <c r="B191" s="354"/>
      <c r="C191" s="354"/>
      <c r="D191" s="354"/>
      <c r="E191" s="354"/>
      <c r="F191" s="467"/>
      <c r="G191" s="344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344"/>
      <c r="U191" s="344"/>
      <c r="V191" s="344"/>
      <c r="W191" s="344"/>
      <c r="X191" s="344"/>
      <c r="Y191" s="344"/>
      <c r="Z191" s="344"/>
      <c r="AA191" s="344"/>
      <c r="AB191" s="344"/>
    </row>
    <row r="192" spans="1:28" s="440" customFormat="1">
      <c r="A192" s="344"/>
      <c r="B192" s="354"/>
      <c r="C192" s="354"/>
      <c r="D192" s="354"/>
      <c r="E192" s="354"/>
      <c r="F192" s="467"/>
      <c r="G192" s="344"/>
      <c r="H192" s="344"/>
      <c r="I192" s="344"/>
      <c r="J192" s="344"/>
      <c r="K192" s="344"/>
      <c r="L192" s="344"/>
      <c r="M192" s="344"/>
      <c r="N192" s="344"/>
      <c r="O192" s="344"/>
      <c r="P192" s="344"/>
      <c r="Q192" s="344"/>
      <c r="R192" s="344"/>
      <c r="S192" s="344"/>
      <c r="T192" s="344"/>
      <c r="U192" s="344"/>
      <c r="V192" s="344"/>
      <c r="W192" s="344"/>
      <c r="X192" s="344"/>
      <c r="Y192" s="344"/>
      <c r="Z192" s="344"/>
      <c r="AA192" s="344"/>
      <c r="AB192" s="344"/>
    </row>
    <row r="193" spans="1:28" s="440" customFormat="1">
      <c r="A193" s="344"/>
      <c r="B193" s="354"/>
      <c r="C193" s="354"/>
      <c r="D193" s="354"/>
      <c r="E193" s="354"/>
      <c r="F193" s="467"/>
      <c r="G193" s="344"/>
      <c r="H193" s="344"/>
      <c r="I193" s="344"/>
      <c r="J193" s="344"/>
      <c r="K193" s="344"/>
      <c r="L193" s="344"/>
      <c r="M193" s="344"/>
      <c r="N193" s="344"/>
      <c r="O193" s="344"/>
      <c r="P193" s="344"/>
      <c r="Q193" s="344"/>
      <c r="R193" s="344"/>
      <c r="S193" s="344"/>
      <c r="T193" s="344"/>
      <c r="U193" s="344"/>
      <c r="V193" s="344"/>
      <c r="W193" s="344"/>
      <c r="X193" s="344"/>
      <c r="Y193" s="344"/>
      <c r="Z193" s="344"/>
      <c r="AA193" s="344"/>
      <c r="AB193" s="344"/>
    </row>
    <row r="194" spans="1:28" s="440" customFormat="1">
      <c r="A194" s="344"/>
      <c r="B194" s="354"/>
      <c r="C194" s="354"/>
      <c r="D194" s="354"/>
      <c r="E194" s="354"/>
      <c r="F194" s="467"/>
      <c r="G194" s="344"/>
      <c r="H194" s="344"/>
      <c r="I194" s="344"/>
      <c r="J194" s="344"/>
      <c r="K194" s="344"/>
      <c r="L194" s="344"/>
      <c r="M194" s="344"/>
      <c r="N194" s="344"/>
      <c r="O194" s="344"/>
      <c r="P194" s="344"/>
      <c r="Q194" s="344"/>
      <c r="R194" s="344"/>
      <c r="S194" s="344"/>
      <c r="T194" s="344"/>
      <c r="U194" s="344"/>
      <c r="V194" s="344"/>
      <c r="W194" s="344"/>
      <c r="X194" s="344"/>
      <c r="Y194" s="344"/>
      <c r="Z194" s="344"/>
      <c r="AA194" s="344"/>
      <c r="AB194" s="344"/>
    </row>
  </sheetData>
  <mergeCells count="8">
    <mergeCell ref="K4:O4"/>
    <mergeCell ref="G6:J6"/>
    <mergeCell ref="T6:W6"/>
    <mergeCell ref="B8:F8"/>
    <mergeCell ref="G8:J8"/>
    <mergeCell ref="K8:O8"/>
    <mergeCell ref="P8:S8"/>
    <mergeCell ref="T8:W8"/>
  </mergeCells>
  <conditionalFormatting sqref="A38:A16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16" fitToHeight="0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Fluxo Consolidado</vt:lpstr>
      <vt:lpstr>Indicadores</vt:lpstr>
      <vt:lpstr>Fluxo - Com Terreno</vt:lpstr>
      <vt:lpstr>Resumo Ano</vt:lpstr>
      <vt:lpstr>DRE - Grafico</vt:lpstr>
      <vt:lpstr>Planejamento Estoque</vt:lpstr>
    </vt:vector>
  </TitlesOfParts>
  <Company>OPEN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</dc:creator>
  <cp:lastModifiedBy>Lorena Soares</cp:lastModifiedBy>
  <cp:lastPrinted>2018-03-21T13:36:22Z</cp:lastPrinted>
  <dcterms:created xsi:type="dcterms:W3CDTF">2011-07-21T13:31:04Z</dcterms:created>
  <dcterms:modified xsi:type="dcterms:W3CDTF">2018-08-27T18:34:45Z</dcterms:modified>
</cp:coreProperties>
</file>